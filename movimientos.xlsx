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979BB255-84DF-4DCF-8A90-E4954AE7F9A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4" i="1" l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5" i="1"/>
  <c r="K16" i="1"/>
  <c r="K17" i="1"/>
  <c r="K18" i="1"/>
  <c r="K19" i="1"/>
  <c r="K20" i="1"/>
  <c r="K21" i="1"/>
  <c r="K22" i="1"/>
  <c r="K23" i="1"/>
  <c r="S15" i="1"/>
  <c r="T15" i="1"/>
  <c r="H15" i="1" s="1"/>
  <c r="R15" i="1" s="1"/>
  <c r="S16" i="1"/>
  <c r="T16" i="1"/>
  <c r="H16" i="1" s="1"/>
  <c r="R16" i="1" s="1"/>
  <c r="S17" i="1"/>
  <c r="T17" i="1"/>
  <c r="H17" i="1" s="1"/>
  <c r="R17" i="1" s="1"/>
  <c r="S18" i="1"/>
  <c r="T18" i="1"/>
  <c r="H18" i="1" s="1"/>
  <c r="R18" i="1" s="1"/>
  <c r="S19" i="1"/>
  <c r="T19" i="1"/>
  <c r="H19" i="1" s="1"/>
  <c r="R19" i="1" s="1"/>
  <c r="S20" i="1"/>
  <c r="T20" i="1"/>
  <c r="R20" i="1" s="1"/>
  <c r="S21" i="1"/>
  <c r="T21" i="1"/>
  <c r="R21" i="1" s="1"/>
  <c r="S22" i="1"/>
  <c r="T22" i="1"/>
  <c r="R22" i="1" s="1"/>
  <c r="S23" i="1"/>
  <c r="T23" i="1"/>
  <c r="R23" i="1" s="1"/>
  <c r="S24" i="1"/>
  <c r="T24" i="1"/>
  <c r="S25" i="1"/>
  <c r="T25" i="1"/>
  <c r="S26" i="1"/>
  <c r="T26" i="1"/>
  <c r="S27" i="1"/>
  <c r="T27" i="1"/>
  <c r="S28" i="1"/>
  <c r="T28" i="1"/>
  <c r="S29" i="1"/>
  <c r="T29" i="1"/>
  <c r="S30" i="1"/>
  <c r="T30" i="1"/>
  <c r="S31" i="1"/>
  <c r="T31" i="1"/>
  <c r="S32" i="1"/>
  <c r="T32" i="1"/>
  <c r="S33" i="1"/>
  <c r="T33" i="1"/>
  <c r="S34" i="1"/>
  <c r="T34" i="1"/>
  <c r="S35" i="1"/>
  <c r="T35" i="1"/>
  <c r="S36" i="1"/>
  <c r="T36" i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3" i="1"/>
  <c r="T63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T73" i="1"/>
  <c r="S74" i="1"/>
  <c r="T74" i="1"/>
  <c r="S75" i="1"/>
  <c r="T75" i="1"/>
  <c r="S76" i="1"/>
  <c r="T76" i="1"/>
  <c r="S77" i="1"/>
  <c r="T77" i="1"/>
  <c r="S78" i="1"/>
  <c r="T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T6" i="1"/>
  <c r="T7" i="1"/>
  <c r="T8" i="1"/>
  <c r="T9" i="1"/>
  <c r="T10" i="1"/>
  <c r="T11" i="1"/>
  <c r="T12" i="1"/>
  <c r="T13" i="1"/>
  <c r="T14" i="1"/>
  <c r="T5" i="1"/>
  <c r="H12" i="1"/>
  <c r="R24" i="1"/>
  <c r="R25" i="1"/>
  <c r="R26" i="1"/>
  <c r="H27" i="1"/>
  <c r="R27" i="1" s="1"/>
  <c r="H28" i="1"/>
  <c r="R28" i="1" s="1"/>
  <c r="H29" i="1"/>
  <c r="R29" i="1" s="1"/>
  <c r="H30" i="1"/>
  <c r="R30" i="1" s="1"/>
  <c r="H31" i="1"/>
  <c r="R31" i="1" s="1"/>
  <c r="H32" i="1"/>
  <c r="R32" i="1" s="1"/>
  <c r="H33" i="1"/>
  <c r="R33" i="1" s="1"/>
  <c r="H34" i="1"/>
  <c r="R34" i="1" s="1"/>
  <c r="H35" i="1"/>
  <c r="R35" i="1" s="1"/>
  <c r="H36" i="1"/>
  <c r="R36" i="1" s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H47" i="1"/>
  <c r="R47" i="1" s="1"/>
  <c r="H48" i="1"/>
  <c r="R48" i="1" s="1"/>
  <c r="H49" i="1"/>
  <c r="R49" i="1" s="1"/>
  <c r="H50" i="1"/>
  <c r="R50" i="1" s="1"/>
  <c r="H51" i="1"/>
  <c r="R51" i="1" s="1"/>
  <c r="H52" i="1"/>
  <c r="R52" i="1" s="1"/>
  <c r="H53" i="1"/>
  <c r="R53" i="1" s="1"/>
  <c r="H54" i="1"/>
  <c r="R54" i="1" s="1"/>
  <c r="H55" i="1"/>
  <c r="R55" i="1" s="1"/>
  <c r="H56" i="1"/>
  <c r="R56" i="1" s="1"/>
  <c r="H57" i="1"/>
  <c r="R57" i="1" s="1"/>
  <c r="H58" i="1"/>
  <c r="R58" i="1" s="1"/>
  <c r="H59" i="1"/>
  <c r="R59" i="1" s="1"/>
  <c r="H60" i="1"/>
  <c r="R60" i="1" s="1"/>
  <c r="H61" i="1"/>
  <c r="R61" i="1" s="1"/>
  <c r="H62" i="1"/>
  <c r="R62" i="1" s="1"/>
  <c r="H63" i="1"/>
  <c r="R63" i="1" s="1"/>
  <c r="H64" i="1"/>
  <c r="R64" i="1" s="1"/>
  <c r="H65" i="1"/>
  <c r="R65" i="1" s="1"/>
  <c r="H66" i="1"/>
  <c r="R66" i="1" s="1"/>
  <c r="H67" i="1"/>
  <c r="R67" i="1" s="1"/>
  <c r="H68" i="1"/>
  <c r="R68" i="1" s="1"/>
  <c r="H69" i="1"/>
  <c r="R69" i="1" s="1"/>
  <c r="H70" i="1"/>
  <c r="R70" i="1" s="1"/>
  <c r="H71" i="1"/>
  <c r="R71" i="1" s="1"/>
  <c r="H72" i="1"/>
  <c r="R72" i="1" s="1"/>
  <c r="H73" i="1"/>
  <c r="R73" i="1" s="1"/>
  <c r="H74" i="1"/>
  <c r="R74" i="1" s="1"/>
  <c r="H75" i="1"/>
  <c r="R75" i="1" s="1"/>
  <c r="H76" i="1"/>
  <c r="R76" i="1" s="1"/>
  <c r="H77" i="1"/>
  <c r="R77" i="1" s="1"/>
  <c r="H78" i="1"/>
  <c r="R78" i="1" s="1"/>
  <c r="H79" i="1"/>
  <c r="R79" i="1" s="1"/>
  <c r="H80" i="1"/>
  <c r="R80" i="1" s="1"/>
  <c r="H81" i="1"/>
  <c r="R81" i="1" s="1"/>
  <c r="H82" i="1"/>
  <c r="R82" i="1" s="1"/>
  <c r="H83" i="1"/>
  <c r="R83" i="1" s="1"/>
  <c r="H84" i="1"/>
  <c r="R84" i="1" s="1"/>
  <c r="H85" i="1"/>
  <c r="R85" i="1" s="1"/>
  <c r="H86" i="1"/>
  <c r="R86" i="1" s="1"/>
  <c r="H87" i="1"/>
  <c r="R87" i="1" s="1"/>
  <c r="H88" i="1"/>
  <c r="R88" i="1" s="1"/>
  <c r="H89" i="1"/>
  <c r="R89" i="1" s="1"/>
  <c r="H90" i="1"/>
  <c r="R90" i="1" s="1"/>
  <c r="H91" i="1"/>
  <c r="R91" i="1" s="1"/>
  <c r="H92" i="1"/>
  <c r="R92" i="1" s="1"/>
  <c r="H93" i="1"/>
  <c r="R93" i="1" s="1"/>
  <c r="H94" i="1"/>
  <c r="R94" i="1" s="1"/>
  <c r="H95" i="1"/>
  <c r="R95" i="1" s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501" i="1"/>
  <c r="R501" i="1" s="1"/>
  <c r="H502" i="1"/>
  <c r="R502" i="1" s="1"/>
  <c r="H6" i="1"/>
  <c r="H7" i="1"/>
  <c r="H8" i="1"/>
  <c r="H9" i="1"/>
  <c r="H10" i="1"/>
  <c r="H11" i="1"/>
  <c r="H5" i="1"/>
  <c r="T2" i="1"/>
  <c r="T3" i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H1999" i="1"/>
  <c r="R1999" i="1" s="1"/>
  <c r="H2000" i="1"/>
  <c r="R2000" i="1" s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T12000" i="1"/>
  <c r="T12001" i="1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C53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S6" i="1"/>
  <c r="S7" i="1"/>
  <c r="S8" i="1"/>
  <c r="S9" i="1"/>
  <c r="S10" i="1"/>
  <c r="S11" i="1"/>
  <c r="S12" i="1"/>
  <c r="S13" i="1"/>
  <c r="S14" i="1"/>
  <c r="S5" i="1"/>
  <c r="R6" i="1"/>
  <c r="R7" i="1"/>
  <c r="R8" i="1"/>
  <c r="R9" i="1"/>
  <c r="R10" i="1"/>
  <c r="R11" i="1"/>
  <c r="R12" i="1"/>
  <c r="R13" i="1"/>
  <c r="R14" i="1"/>
  <c r="R5" i="1"/>
  <c r="K14" i="1"/>
  <c r="K13" i="1"/>
  <c r="K12" i="1"/>
  <c r="K11" i="1"/>
  <c r="K10" i="1"/>
  <c r="K9" i="1"/>
  <c r="J7" i="2" s="1"/>
  <c r="K7" i="1"/>
  <c r="K6" i="1"/>
  <c r="K5" i="1"/>
  <c r="J8" i="2" l="1"/>
  <c r="J4" i="2"/>
  <c r="J5" i="2"/>
  <c r="J6" i="2"/>
  <c r="E11" i="3"/>
  <c r="D11" i="3"/>
  <c r="C11" i="3"/>
  <c r="B11" i="3"/>
  <c r="J11" i="2"/>
  <c r="J12" i="2"/>
  <c r="G11" i="3"/>
  <c r="J9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B13" i="2"/>
  <c r="C13" i="2"/>
  <c r="D13" i="2"/>
  <c r="E13" i="2"/>
  <c r="F13" i="2"/>
  <c r="G13" i="2"/>
  <c r="H13" i="2"/>
  <c r="I13" i="2" s="1"/>
  <c r="B14" i="2"/>
  <c r="C14" i="2"/>
  <c r="D14" i="2"/>
  <c r="E14" i="2"/>
  <c r="F14" i="2"/>
  <c r="G14" i="2"/>
  <c r="H14" i="2"/>
  <c r="I14" i="2" s="1"/>
  <c r="B15" i="2"/>
  <c r="C15" i="2"/>
  <c r="D15" i="2"/>
  <c r="E15" i="2"/>
  <c r="F15" i="2"/>
  <c r="G15" i="2"/>
  <c r="H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I17" i="2" s="1"/>
  <c r="B18" i="2"/>
  <c r="C18" i="2"/>
  <c r="D18" i="2"/>
  <c r="E18" i="2"/>
  <c r="F18" i="2"/>
  <c r="G18" i="2"/>
  <c r="H18" i="2"/>
  <c r="I18" i="2" s="1"/>
  <c r="B19" i="2"/>
  <c r="C19" i="2"/>
  <c r="D19" i="2"/>
  <c r="E19" i="2"/>
  <c r="F19" i="2"/>
  <c r="G19" i="2"/>
  <c r="H19" i="2"/>
  <c r="I19" i="2" s="1"/>
  <c r="B20" i="2"/>
  <c r="C20" i="2"/>
  <c r="D20" i="2"/>
  <c r="E20" i="2"/>
  <c r="F20" i="2"/>
  <c r="G20" i="2"/>
  <c r="H20" i="2"/>
  <c r="I20" i="2" s="1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I23" i="2" s="1"/>
  <c r="B24" i="2"/>
  <c r="C24" i="2"/>
  <c r="D24" i="2"/>
  <c r="E24" i="2"/>
  <c r="F24" i="2"/>
  <c r="G24" i="2"/>
  <c r="H24" i="2"/>
  <c r="I24" i="2" s="1"/>
  <c r="B25" i="2"/>
  <c r="C25" i="2"/>
  <c r="D25" i="2"/>
  <c r="E25" i="2"/>
  <c r="F25" i="2"/>
  <c r="G25" i="2"/>
  <c r="H25" i="2"/>
  <c r="I25" i="2" s="1"/>
  <c r="B26" i="2"/>
  <c r="C26" i="2"/>
  <c r="D26" i="2"/>
  <c r="E26" i="2"/>
  <c r="F26" i="2"/>
  <c r="G26" i="2"/>
  <c r="H26" i="2"/>
  <c r="I26" i="2" s="1"/>
  <c r="B27" i="2"/>
  <c r="C27" i="2"/>
  <c r="D27" i="2"/>
  <c r="E27" i="2"/>
  <c r="F27" i="2"/>
  <c r="G27" i="2"/>
  <c r="H27" i="2"/>
  <c r="B28" i="2"/>
  <c r="C28" i="2"/>
  <c r="D28" i="2"/>
  <c r="E28" i="2"/>
  <c r="F28" i="2"/>
  <c r="G28" i="2"/>
  <c r="H28" i="2"/>
  <c r="B29" i="2"/>
  <c r="C29" i="2"/>
  <c r="D29" i="2"/>
  <c r="E29" i="2"/>
  <c r="F29" i="2"/>
  <c r="G29" i="2"/>
  <c r="H29" i="2"/>
  <c r="I29" i="2" s="1"/>
  <c r="B30" i="2"/>
  <c r="C30" i="2"/>
  <c r="D30" i="2"/>
  <c r="E30" i="2"/>
  <c r="F30" i="2"/>
  <c r="G30" i="2"/>
  <c r="H30" i="2"/>
  <c r="I30" i="2" s="1"/>
  <c r="B31" i="2"/>
  <c r="C31" i="2"/>
  <c r="D31" i="2"/>
  <c r="E31" i="2"/>
  <c r="F31" i="2"/>
  <c r="G31" i="2"/>
  <c r="H31" i="2"/>
  <c r="I31" i="2" s="1"/>
  <c r="B32" i="2"/>
  <c r="C32" i="2"/>
  <c r="D32" i="2"/>
  <c r="E32" i="2"/>
  <c r="F32" i="2"/>
  <c r="G32" i="2"/>
  <c r="H32" i="2"/>
  <c r="I32" i="2" s="1"/>
  <c r="B33" i="2"/>
  <c r="C33" i="2"/>
  <c r="D33" i="2"/>
  <c r="E33" i="2"/>
  <c r="F33" i="2"/>
  <c r="G33" i="2"/>
  <c r="H33" i="2"/>
  <c r="B34" i="2"/>
  <c r="C34" i="2"/>
  <c r="D34" i="2"/>
  <c r="E34" i="2"/>
  <c r="F34" i="2"/>
  <c r="G34" i="2"/>
  <c r="H34" i="2"/>
  <c r="B35" i="2"/>
  <c r="C35" i="2"/>
  <c r="D35" i="2"/>
  <c r="E35" i="2"/>
  <c r="F35" i="2"/>
  <c r="G35" i="2"/>
  <c r="H35" i="2"/>
  <c r="B36" i="2"/>
  <c r="C36" i="2"/>
  <c r="D36" i="2"/>
  <c r="E36" i="2"/>
  <c r="F36" i="2"/>
  <c r="G36" i="2"/>
  <c r="H36" i="2"/>
  <c r="B37" i="2"/>
  <c r="C37" i="2"/>
  <c r="D37" i="2"/>
  <c r="E37" i="2"/>
  <c r="F37" i="2"/>
  <c r="G37" i="2"/>
  <c r="H37" i="2"/>
  <c r="I37" i="2" s="1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I40" i="2" s="1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I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I52" i="2" s="1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I64" i="2" s="1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I80" i="2" s="1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I98" i="2" s="1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K105" i="2" s="1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K109" i="2" s="1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I116" i="2" s="1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K123" i="2" s="1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K127" i="2" s="1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I134" i="2" s="1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K141" i="2" s="1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I152" i="2" s="1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K159" i="2" s="1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I170" i="2" s="1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K177" i="2" s="1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I185" i="2" s="1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I197" i="2" s="1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I209" i="2" s="1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K217" i="2" s="1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I228" i="2" s="1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K253" i="2" s="1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K262" i="2" s="1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I283" i="2" s="1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I297" i="2" s="1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K312" i="2" s="1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I315" i="2" s="1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I327" i="2" s="1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K330" i="2" s="1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I333" i="2" s="1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I345" i="2" s="1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K348" i="2" s="1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K350" i="2" s="1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I363" i="2" s="1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K366" i="2" s="1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I373" i="2" s="1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K376" i="2" s="1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I381" i="2" s="1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K384" i="2" s="1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K394" i="2" s="1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I399" i="2" s="1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K402" i="2" s="1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I409" i="2" s="1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K412" i="2" s="1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I414" i="2" s="1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I423" i="2" s="1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K430" i="2" s="1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K434" i="2" s="1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K442" i="2" s="1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I455" i="2" s="1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K460" i="2" s="1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I467" i="2" s="1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K472" i="2" s="1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I479" i="2" s="1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K484" i="2" s="1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I491" i="2" s="1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K496" i="2" s="1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I501" i="2" s="1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I507" i="2" s="1"/>
  <c r="B508" i="2"/>
  <c r="C508" i="2"/>
  <c r="D508" i="2"/>
  <c r="E508" i="2"/>
  <c r="F508" i="2"/>
  <c r="G508" i="2"/>
  <c r="H508" i="2"/>
  <c r="K508" i="2" s="1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I513" i="2" s="1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I519" i="2" s="1"/>
  <c r="B520" i="2"/>
  <c r="C520" i="2"/>
  <c r="D520" i="2"/>
  <c r="E520" i="2"/>
  <c r="F520" i="2"/>
  <c r="G520" i="2"/>
  <c r="H520" i="2"/>
  <c r="K520" i="2" s="1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I523" i="2" s="1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I525" i="2" s="1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I527" i="2" s="1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I533" i="2" s="1"/>
  <c r="B534" i="2"/>
  <c r="C534" i="2"/>
  <c r="D534" i="2"/>
  <c r="E534" i="2"/>
  <c r="F534" i="2"/>
  <c r="G534" i="2"/>
  <c r="H534" i="2"/>
  <c r="K534" i="2" s="1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K538" i="2" s="1"/>
  <c r="B539" i="2"/>
  <c r="C539" i="2"/>
  <c r="D539" i="2"/>
  <c r="E539" i="2"/>
  <c r="F539" i="2"/>
  <c r="G539" i="2"/>
  <c r="H539" i="2"/>
  <c r="I539" i="2" s="1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I542" i="2" s="1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K546" i="2" s="1"/>
  <c r="B547" i="2"/>
  <c r="C547" i="2"/>
  <c r="D547" i="2"/>
  <c r="E547" i="2"/>
  <c r="F547" i="2"/>
  <c r="G547" i="2"/>
  <c r="H547" i="2"/>
  <c r="I547" i="2" s="1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K550" i="2" s="1"/>
  <c r="B551" i="2"/>
  <c r="C551" i="2"/>
  <c r="D551" i="2"/>
  <c r="E551" i="2"/>
  <c r="F551" i="2"/>
  <c r="G551" i="2"/>
  <c r="H551" i="2"/>
  <c r="I551" i="2" s="1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K554" i="2" s="1"/>
  <c r="B555" i="2"/>
  <c r="C555" i="2"/>
  <c r="D555" i="2"/>
  <c r="E555" i="2"/>
  <c r="F555" i="2"/>
  <c r="G555" i="2"/>
  <c r="H555" i="2"/>
  <c r="I555" i="2" s="1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K558" i="2" s="1"/>
  <c r="B559" i="2"/>
  <c r="C559" i="2"/>
  <c r="D559" i="2"/>
  <c r="E559" i="2"/>
  <c r="F559" i="2"/>
  <c r="G559" i="2"/>
  <c r="H559" i="2"/>
  <c r="I559" i="2" s="1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K562" i="2" s="1"/>
  <c r="B563" i="2"/>
  <c r="C563" i="2"/>
  <c r="D563" i="2"/>
  <c r="E563" i="2"/>
  <c r="F563" i="2"/>
  <c r="G563" i="2"/>
  <c r="H563" i="2"/>
  <c r="I563" i="2" s="1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K566" i="2" s="1"/>
  <c r="B567" i="2"/>
  <c r="C567" i="2"/>
  <c r="D567" i="2"/>
  <c r="E567" i="2"/>
  <c r="F567" i="2"/>
  <c r="G567" i="2"/>
  <c r="H567" i="2"/>
  <c r="I567" i="2" s="1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K570" i="2" s="1"/>
  <c r="B571" i="2"/>
  <c r="C571" i="2"/>
  <c r="D571" i="2"/>
  <c r="E571" i="2"/>
  <c r="F571" i="2"/>
  <c r="G571" i="2"/>
  <c r="H571" i="2"/>
  <c r="I571" i="2" s="1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K574" i="2" s="1"/>
  <c r="B575" i="2"/>
  <c r="C575" i="2"/>
  <c r="D575" i="2"/>
  <c r="E575" i="2"/>
  <c r="F575" i="2"/>
  <c r="G575" i="2"/>
  <c r="H575" i="2"/>
  <c r="I575" i="2" s="1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K578" i="2" s="1"/>
  <c r="B579" i="2"/>
  <c r="C579" i="2"/>
  <c r="D579" i="2"/>
  <c r="E579" i="2"/>
  <c r="F579" i="2"/>
  <c r="G579" i="2"/>
  <c r="H579" i="2"/>
  <c r="I579" i="2" s="1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K582" i="2" s="1"/>
  <c r="B583" i="2"/>
  <c r="C583" i="2"/>
  <c r="D583" i="2"/>
  <c r="E583" i="2"/>
  <c r="F583" i="2"/>
  <c r="G583" i="2"/>
  <c r="H583" i="2"/>
  <c r="I583" i="2" s="1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K586" i="2" s="1"/>
  <c r="B587" i="2"/>
  <c r="C587" i="2"/>
  <c r="D587" i="2"/>
  <c r="E587" i="2"/>
  <c r="F587" i="2"/>
  <c r="G587" i="2"/>
  <c r="H587" i="2"/>
  <c r="I587" i="2" s="1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K590" i="2" s="1"/>
  <c r="B591" i="2"/>
  <c r="C591" i="2"/>
  <c r="D591" i="2"/>
  <c r="E591" i="2"/>
  <c r="F591" i="2"/>
  <c r="G591" i="2"/>
  <c r="H591" i="2"/>
  <c r="I591" i="2" s="1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K594" i="2" s="1"/>
  <c r="B595" i="2"/>
  <c r="C595" i="2"/>
  <c r="D595" i="2"/>
  <c r="E595" i="2"/>
  <c r="F595" i="2"/>
  <c r="G595" i="2"/>
  <c r="H595" i="2"/>
  <c r="I595" i="2" s="1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K598" i="2" s="1"/>
  <c r="B599" i="2"/>
  <c r="C599" i="2"/>
  <c r="D599" i="2"/>
  <c r="E599" i="2"/>
  <c r="F599" i="2"/>
  <c r="G599" i="2"/>
  <c r="H599" i="2"/>
  <c r="I599" i="2" s="1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K602" i="2" s="1"/>
  <c r="B603" i="2"/>
  <c r="C603" i="2"/>
  <c r="D603" i="2"/>
  <c r="E603" i="2"/>
  <c r="F603" i="2"/>
  <c r="G603" i="2"/>
  <c r="H603" i="2"/>
  <c r="I603" i="2" s="1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K606" i="2" s="1"/>
  <c r="B607" i="2"/>
  <c r="C607" i="2"/>
  <c r="D607" i="2"/>
  <c r="E607" i="2"/>
  <c r="F607" i="2"/>
  <c r="G607" i="2"/>
  <c r="H607" i="2"/>
  <c r="I607" i="2" s="1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K610" i="2" s="1"/>
  <c r="B611" i="2"/>
  <c r="C611" i="2"/>
  <c r="D611" i="2"/>
  <c r="E611" i="2"/>
  <c r="F611" i="2"/>
  <c r="G611" i="2"/>
  <c r="H611" i="2"/>
  <c r="I611" i="2" s="1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I613" i="2" s="1"/>
  <c r="B614" i="2"/>
  <c r="C614" i="2"/>
  <c r="D614" i="2"/>
  <c r="E614" i="2"/>
  <c r="F614" i="2"/>
  <c r="G614" i="2"/>
  <c r="H614" i="2"/>
  <c r="K614" i="2" s="1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I617" i="2" s="1"/>
  <c r="B618" i="2"/>
  <c r="C618" i="2"/>
  <c r="D618" i="2"/>
  <c r="E618" i="2"/>
  <c r="F618" i="2"/>
  <c r="G618" i="2"/>
  <c r="H618" i="2"/>
  <c r="K618" i="2" s="1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I621" i="2" s="1"/>
  <c r="B622" i="2"/>
  <c r="C622" i="2"/>
  <c r="D622" i="2"/>
  <c r="E622" i="2"/>
  <c r="F622" i="2"/>
  <c r="G622" i="2"/>
  <c r="H622" i="2"/>
  <c r="K622" i="2" s="1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I625" i="2" s="1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I630" i="2" s="1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I635" i="2" s="1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I640" i="2" s="1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I645" i="2" s="1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I649" i="2" s="1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I654" i="2" s="1"/>
  <c r="B655" i="2"/>
  <c r="C655" i="2"/>
  <c r="D655" i="2"/>
  <c r="E655" i="2"/>
  <c r="F655" i="2"/>
  <c r="G655" i="2"/>
  <c r="H655" i="2"/>
  <c r="I655" i="2" s="1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K657" i="2" s="1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I659" i="2" s="1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K662" i="2" s="1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I664" i="2" s="1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I666" i="2" s="1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K668" i="2" s="1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I671" i="2" s="1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I673" i="2" s="1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I676" i="2" s="1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K678" i="2" s="1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I681" i="2" s="1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I684" i="2" s="1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I687" i="2" s="1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K689" i="2" s="1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I691" i="2" s="1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I693" i="2" s="1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I697" i="2" s="1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I702" i="2" s="1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K707" i="2" s="1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I709" i="2" s="1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I714" i="2" s="1"/>
  <c r="B715" i="2"/>
  <c r="C715" i="2"/>
  <c r="D715" i="2"/>
  <c r="E715" i="2"/>
  <c r="F715" i="2"/>
  <c r="G715" i="2"/>
  <c r="H715" i="2"/>
  <c r="I715" i="2" s="1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I720" i="2" s="1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K725" i="2" s="1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I727" i="2" s="1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I732" i="2" s="1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I734" i="2" s="1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I738" i="2" s="1"/>
  <c r="B739" i="2"/>
  <c r="C739" i="2"/>
  <c r="D739" i="2"/>
  <c r="E739" i="2"/>
  <c r="F739" i="2"/>
  <c r="G739" i="2"/>
  <c r="H739" i="2"/>
  <c r="I739" i="2" s="1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I744" i="2" s="1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I746" i="2" s="1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I750" i="2" s="1"/>
  <c r="B751" i="2"/>
  <c r="C751" i="2"/>
  <c r="D751" i="2"/>
  <c r="E751" i="2"/>
  <c r="F751" i="2"/>
  <c r="G751" i="2"/>
  <c r="H751" i="2"/>
  <c r="I751" i="2" s="1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I755" i="2" s="1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I757" i="2" s="1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I761" i="2" s="1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I764" i="2" s="1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K766" i="2" s="1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I768" i="2" s="1"/>
  <c r="B769" i="2"/>
  <c r="C769" i="2"/>
  <c r="D769" i="2"/>
  <c r="E769" i="2"/>
  <c r="F769" i="2"/>
  <c r="G769" i="2"/>
  <c r="H769" i="2"/>
  <c r="I769" i="2" s="1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I773" i="2" s="1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I775" i="2" s="1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I777" i="2" s="1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I780" i="2" s="1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I783" i="2" s="1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I785" i="2" s="1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I788" i="2" s="1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I793" i="2" s="1"/>
  <c r="B794" i="2"/>
  <c r="C794" i="2"/>
  <c r="D794" i="2"/>
  <c r="E794" i="2"/>
  <c r="F794" i="2"/>
  <c r="G794" i="2"/>
  <c r="H794" i="2"/>
  <c r="I794" i="2" s="1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K796" i="2" s="1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I798" i="2" s="1"/>
  <c r="B799" i="2"/>
  <c r="C799" i="2"/>
  <c r="D799" i="2"/>
  <c r="E799" i="2"/>
  <c r="F799" i="2"/>
  <c r="G799" i="2"/>
  <c r="H799" i="2"/>
  <c r="I799" i="2" s="1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I801" i="2" s="1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I803" i="2" s="1"/>
  <c r="B804" i="2"/>
  <c r="C804" i="2"/>
  <c r="D804" i="2"/>
  <c r="E804" i="2"/>
  <c r="F804" i="2"/>
  <c r="G804" i="2"/>
  <c r="H804" i="2"/>
  <c r="I804" i="2" s="1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I806" i="2" s="1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I809" i="2" s="1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I811" i="2" s="1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I813" i="2" s="1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I815" i="2" s="1"/>
  <c r="B816" i="2"/>
  <c r="C816" i="2"/>
  <c r="D816" i="2"/>
  <c r="E816" i="2"/>
  <c r="F816" i="2"/>
  <c r="G816" i="2"/>
  <c r="H816" i="2"/>
  <c r="I816" i="2" s="1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I819" i="2" s="1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I821" i="2" s="1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I824" i="2" s="1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I829" i="2" s="1"/>
  <c r="B830" i="2"/>
  <c r="C830" i="2"/>
  <c r="D830" i="2"/>
  <c r="E830" i="2"/>
  <c r="F830" i="2"/>
  <c r="G830" i="2"/>
  <c r="H830" i="2"/>
  <c r="I830" i="2" s="1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I832" i="2" s="1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I838" i="2" s="1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I844" i="2" s="1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I850" i="2" s="1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I856" i="2" s="1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I862" i="2" s="1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I868" i="2" s="1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I874" i="2" s="1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I880" i="2" s="1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I886" i="2" s="1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I892" i="2" s="1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I897" i="2" s="1"/>
  <c r="B898" i="2"/>
  <c r="C898" i="2"/>
  <c r="D898" i="2"/>
  <c r="E898" i="2"/>
  <c r="F898" i="2"/>
  <c r="G898" i="2"/>
  <c r="H898" i="2"/>
  <c r="I898" i="2" s="1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I903" i="2" s="1"/>
  <c r="B904" i="2"/>
  <c r="C904" i="2"/>
  <c r="D904" i="2"/>
  <c r="E904" i="2"/>
  <c r="F904" i="2"/>
  <c r="G904" i="2"/>
  <c r="H904" i="2"/>
  <c r="I904" i="2" s="1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I909" i="2" s="1"/>
  <c r="B910" i="2"/>
  <c r="C910" i="2"/>
  <c r="D910" i="2"/>
  <c r="E910" i="2"/>
  <c r="F910" i="2"/>
  <c r="G910" i="2"/>
  <c r="H910" i="2"/>
  <c r="I910" i="2" s="1"/>
  <c r="B911" i="2"/>
  <c r="C911" i="2"/>
  <c r="D911" i="2"/>
  <c r="E911" i="2"/>
  <c r="F911" i="2"/>
  <c r="G911" i="2"/>
  <c r="H911" i="2"/>
  <c r="K911" i="2" s="1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I915" i="2" s="1"/>
  <c r="B916" i="2"/>
  <c r="C916" i="2"/>
  <c r="D916" i="2"/>
  <c r="E916" i="2"/>
  <c r="F916" i="2"/>
  <c r="G916" i="2"/>
  <c r="H916" i="2"/>
  <c r="I916" i="2" s="1"/>
  <c r="B917" i="2"/>
  <c r="C917" i="2"/>
  <c r="D917" i="2"/>
  <c r="E917" i="2"/>
  <c r="F917" i="2"/>
  <c r="G917" i="2"/>
  <c r="H917" i="2"/>
  <c r="K917" i="2" s="1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I921" i="2" s="1"/>
  <c r="B922" i="2"/>
  <c r="C922" i="2"/>
  <c r="D922" i="2"/>
  <c r="E922" i="2"/>
  <c r="F922" i="2"/>
  <c r="G922" i="2"/>
  <c r="H922" i="2"/>
  <c r="I922" i="2" s="1"/>
  <c r="B923" i="2"/>
  <c r="C923" i="2"/>
  <c r="D923" i="2"/>
  <c r="E923" i="2"/>
  <c r="F923" i="2"/>
  <c r="G923" i="2"/>
  <c r="H923" i="2"/>
  <c r="K923" i="2" s="1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I927" i="2" s="1"/>
  <c r="B928" i="2"/>
  <c r="C928" i="2"/>
  <c r="D928" i="2"/>
  <c r="E928" i="2"/>
  <c r="F928" i="2"/>
  <c r="G928" i="2"/>
  <c r="H928" i="2"/>
  <c r="I928" i="2" s="1"/>
  <c r="B929" i="2"/>
  <c r="C929" i="2"/>
  <c r="D929" i="2"/>
  <c r="E929" i="2"/>
  <c r="F929" i="2"/>
  <c r="G929" i="2"/>
  <c r="H929" i="2"/>
  <c r="K929" i="2" s="1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I933" i="2" s="1"/>
  <c r="B934" i="2"/>
  <c r="C934" i="2"/>
  <c r="D934" i="2"/>
  <c r="E934" i="2"/>
  <c r="F934" i="2"/>
  <c r="G934" i="2"/>
  <c r="H934" i="2"/>
  <c r="I934" i="2" s="1"/>
  <c r="B935" i="2"/>
  <c r="C935" i="2"/>
  <c r="D935" i="2"/>
  <c r="E935" i="2"/>
  <c r="F935" i="2"/>
  <c r="G935" i="2"/>
  <c r="H935" i="2"/>
  <c r="K935" i="2" s="1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I939" i="2" s="1"/>
  <c r="B940" i="2"/>
  <c r="C940" i="2"/>
  <c r="D940" i="2"/>
  <c r="E940" i="2"/>
  <c r="F940" i="2"/>
  <c r="G940" i="2"/>
  <c r="H940" i="2"/>
  <c r="I940" i="2" s="1"/>
  <c r="B941" i="2"/>
  <c r="C941" i="2"/>
  <c r="D941" i="2"/>
  <c r="E941" i="2"/>
  <c r="F941" i="2"/>
  <c r="G941" i="2"/>
  <c r="H941" i="2"/>
  <c r="K941" i="2" s="1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I945" i="2" s="1"/>
  <c r="B946" i="2"/>
  <c r="C946" i="2"/>
  <c r="D946" i="2"/>
  <c r="E946" i="2"/>
  <c r="F946" i="2"/>
  <c r="G946" i="2"/>
  <c r="H946" i="2"/>
  <c r="I946" i="2" s="1"/>
  <c r="B947" i="2"/>
  <c r="C947" i="2"/>
  <c r="D947" i="2"/>
  <c r="E947" i="2"/>
  <c r="F947" i="2"/>
  <c r="G947" i="2"/>
  <c r="H947" i="2"/>
  <c r="K947" i="2" s="1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I951" i="2" s="1"/>
  <c r="B952" i="2"/>
  <c r="C952" i="2"/>
  <c r="D952" i="2"/>
  <c r="E952" i="2"/>
  <c r="F952" i="2"/>
  <c r="G952" i="2"/>
  <c r="H952" i="2"/>
  <c r="I952" i="2" s="1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I957" i="2" s="1"/>
  <c r="B958" i="2"/>
  <c r="C958" i="2"/>
  <c r="D958" i="2"/>
  <c r="E958" i="2"/>
  <c r="F958" i="2"/>
  <c r="G958" i="2"/>
  <c r="H958" i="2"/>
  <c r="I958" i="2" s="1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I963" i="2" s="1"/>
  <c r="B964" i="2"/>
  <c r="C964" i="2"/>
  <c r="D964" i="2"/>
  <c r="E964" i="2"/>
  <c r="F964" i="2"/>
  <c r="G964" i="2"/>
  <c r="H964" i="2"/>
  <c r="I964" i="2" s="1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I969" i="2" s="1"/>
  <c r="B970" i="2"/>
  <c r="C970" i="2"/>
  <c r="D970" i="2"/>
  <c r="E970" i="2"/>
  <c r="F970" i="2"/>
  <c r="G970" i="2"/>
  <c r="H970" i="2"/>
  <c r="I970" i="2" s="1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I975" i="2" s="1"/>
  <c r="B976" i="2"/>
  <c r="C976" i="2"/>
  <c r="D976" i="2"/>
  <c r="E976" i="2"/>
  <c r="F976" i="2"/>
  <c r="G976" i="2"/>
  <c r="H976" i="2"/>
  <c r="I976" i="2" s="1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I981" i="2" s="1"/>
  <c r="B982" i="2"/>
  <c r="C982" i="2"/>
  <c r="D982" i="2"/>
  <c r="E982" i="2"/>
  <c r="F982" i="2"/>
  <c r="G982" i="2"/>
  <c r="H982" i="2"/>
  <c r="I982" i="2" s="1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I987" i="2" s="1"/>
  <c r="B988" i="2"/>
  <c r="C988" i="2"/>
  <c r="D988" i="2"/>
  <c r="E988" i="2"/>
  <c r="F988" i="2"/>
  <c r="G988" i="2"/>
  <c r="H988" i="2"/>
  <c r="I988" i="2" s="1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I993" i="2" s="1"/>
  <c r="B994" i="2"/>
  <c r="C994" i="2"/>
  <c r="D994" i="2"/>
  <c r="E994" i="2"/>
  <c r="F994" i="2"/>
  <c r="G994" i="2"/>
  <c r="H994" i="2"/>
  <c r="I994" i="2" s="1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B997" i="2"/>
  <c r="C997" i="2"/>
  <c r="D997" i="2"/>
  <c r="E997" i="2"/>
  <c r="F997" i="2"/>
  <c r="G997" i="2"/>
  <c r="H997" i="2"/>
  <c r="B998" i="2"/>
  <c r="C998" i="2"/>
  <c r="D998" i="2"/>
  <c r="E998" i="2"/>
  <c r="F998" i="2"/>
  <c r="G998" i="2"/>
  <c r="H998" i="2"/>
  <c r="B999" i="2"/>
  <c r="C999" i="2"/>
  <c r="D999" i="2"/>
  <c r="E999" i="2"/>
  <c r="F999" i="2"/>
  <c r="G999" i="2"/>
  <c r="H999" i="2"/>
  <c r="I999" i="2" s="1"/>
  <c r="B1000" i="2"/>
  <c r="C1000" i="2"/>
  <c r="D1000" i="2"/>
  <c r="E1000" i="2"/>
  <c r="F1000" i="2"/>
  <c r="G1000" i="2"/>
  <c r="H1000" i="2"/>
  <c r="I1000" i="2" s="1"/>
  <c r="B1001" i="2"/>
  <c r="C1001" i="2"/>
  <c r="D1001" i="2"/>
  <c r="E1001" i="2"/>
  <c r="F1001" i="2"/>
  <c r="G1001" i="2"/>
  <c r="H1001" i="2"/>
  <c r="B1002" i="2"/>
  <c r="C1002" i="2"/>
  <c r="D1002" i="2"/>
  <c r="E1002" i="2"/>
  <c r="F1002" i="2"/>
  <c r="G1002" i="2"/>
  <c r="H1002" i="2"/>
  <c r="I729" i="2"/>
  <c r="K729" i="2"/>
  <c r="I711" i="2"/>
  <c r="K711" i="2"/>
  <c r="I704" i="2"/>
  <c r="K704" i="2"/>
  <c r="I700" i="2"/>
  <c r="K700" i="2"/>
  <c r="I686" i="2"/>
  <c r="K686" i="2"/>
  <c r="K628" i="2"/>
  <c r="I628" i="2"/>
  <c r="I405" i="2"/>
  <c r="K405" i="2"/>
  <c r="K214" i="2"/>
  <c r="I214" i="2"/>
  <c r="K189" i="2"/>
  <c r="I189" i="2"/>
  <c r="I179" i="2"/>
  <c r="K179" i="2"/>
  <c r="I176" i="2"/>
  <c r="K176" i="2"/>
  <c r="I150" i="2"/>
  <c r="K150" i="2"/>
  <c r="I124" i="2"/>
  <c r="K124" i="2"/>
  <c r="K121" i="2"/>
  <c r="I121" i="2"/>
  <c r="K111" i="2"/>
  <c r="I111" i="2"/>
  <c r="K85" i="2"/>
  <c r="I85" i="2"/>
  <c r="I68" i="2"/>
  <c r="K68" i="2"/>
  <c r="I16" i="2"/>
  <c r="K16" i="2"/>
  <c r="I947" i="2"/>
  <c r="I941" i="2"/>
  <c r="I935" i="2"/>
  <c r="I929" i="2"/>
  <c r="I923" i="2"/>
  <c r="I917" i="2"/>
  <c r="I911" i="2"/>
  <c r="K813" i="2"/>
  <c r="K777" i="2"/>
  <c r="K746" i="2"/>
  <c r="K734" i="2"/>
  <c r="I672" i="2"/>
  <c r="K672" i="2"/>
  <c r="K654" i="2"/>
  <c r="I639" i="2"/>
  <c r="K639" i="2"/>
  <c r="I615" i="2"/>
  <c r="K615" i="2"/>
  <c r="I509" i="2"/>
  <c r="K509" i="2"/>
  <c r="I271" i="2"/>
  <c r="K271" i="2"/>
  <c r="I741" i="2"/>
  <c r="K741" i="2"/>
  <c r="I722" i="2"/>
  <c r="K722" i="2"/>
  <c r="I718" i="2"/>
  <c r="K718" i="2"/>
  <c r="I682" i="2"/>
  <c r="K682" i="2"/>
  <c r="I543" i="2"/>
  <c r="K543" i="2"/>
  <c r="I419" i="2"/>
  <c r="K419" i="2"/>
  <c r="K829" i="2"/>
  <c r="K824" i="2"/>
  <c r="K803" i="2"/>
  <c r="K798" i="2"/>
  <c r="K793" i="2"/>
  <c r="K788" i="2"/>
  <c r="K768" i="2"/>
  <c r="K750" i="2"/>
  <c r="K738" i="2"/>
  <c r="I662" i="2"/>
  <c r="I646" i="2"/>
  <c r="K646" i="2"/>
  <c r="K282" i="2"/>
  <c r="I282" i="2"/>
  <c r="I771" i="2"/>
  <c r="K771" i="2"/>
  <c r="I753" i="2"/>
  <c r="K753" i="2"/>
  <c r="K819" i="2"/>
  <c r="K783" i="2"/>
  <c r="K764" i="2"/>
  <c r="K727" i="2"/>
  <c r="K709" i="2"/>
  <c r="K691" i="2"/>
  <c r="K673" i="2"/>
  <c r="K659" i="2"/>
  <c r="I636" i="2"/>
  <c r="K636" i="2"/>
  <c r="I450" i="2"/>
  <c r="K450" i="2"/>
  <c r="K244" i="2"/>
  <c r="I244" i="2"/>
  <c r="K211" i="2"/>
  <c r="I211" i="2"/>
  <c r="K183" i="2"/>
  <c r="I183" i="2"/>
  <c r="I167" i="2"/>
  <c r="K167" i="2"/>
  <c r="K830" i="2"/>
  <c r="K809" i="2"/>
  <c r="K804" i="2"/>
  <c r="K799" i="2"/>
  <c r="K794" i="2"/>
  <c r="K773" i="2"/>
  <c r="K769" i="2"/>
  <c r="I759" i="2"/>
  <c r="K759" i="2"/>
  <c r="K755" i="2"/>
  <c r="K751" i="2"/>
  <c r="I742" i="2"/>
  <c r="K742" i="2"/>
  <c r="K739" i="2"/>
  <c r="I730" i="2"/>
  <c r="K730" i="2"/>
  <c r="I723" i="2"/>
  <c r="K723" i="2"/>
  <c r="K720" i="2"/>
  <c r="I716" i="2"/>
  <c r="K716" i="2"/>
  <c r="I712" i="2"/>
  <c r="K712" i="2"/>
  <c r="I705" i="2"/>
  <c r="K705" i="2"/>
  <c r="K702" i="2"/>
  <c r="I698" i="2"/>
  <c r="K698" i="2"/>
  <c r="I694" i="2"/>
  <c r="K694" i="2"/>
  <c r="K684" i="2"/>
  <c r="K655" i="2"/>
  <c r="I619" i="2"/>
  <c r="K619" i="2"/>
  <c r="K454" i="2"/>
  <c r="I454" i="2"/>
  <c r="K815" i="2"/>
  <c r="I747" i="2"/>
  <c r="K747" i="2"/>
  <c r="I735" i="2"/>
  <c r="K735" i="2"/>
  <c r="K664" i="2"/>
  <c r="I651" i="2"/>
  <c r="K651" i="2"/>
  <c r="K528" i="2"/>
  <c r="I528" i="2"/>
  <c r="K510" i="2"/>
  <c r="I510" i="2"/>
  <c r="K999" i="2"/>
  <c r="K993" i="2"/>
  <c r="K987" i="2"/>
  <c r="K981" i="2"/>
  <c r="K975" i="2"/>
  <c r="K969" i="2"/>
  <c r="K963" i="2"/>
  <c r="K957" i="2"/>
  <c r="K951" i="2"/>
  <c r="K945" i="2"/>
  <c r="K939" i="2"/>
  <c r="K933" i="2"/>
  <c r="K927" i="2"/>
  <c r="K921" i="2"/>
  <c r="K915" i="2"/>
  <c r="K909" i="2"/>
  <c r="K903" i="2"/>
  <c r="K897" i="2"/>
  <c r="I677" i="2"/>
  <c r="K677" i="2"/>
  <c r="I667" i="2"/>
  <c r="K667" i="2"/>
  <c r="I623" i="2"/>
  <c r="K623" i="2"/>
  <c r="I670" i="2"/>
  <c r="K670" i="2"/>
  <c r="K821" i="2"/>
  <c r="K816" i="2"/>
  <c r="K811" i="2"/>
  <c r="K806" i="2"/>
  <c r="K785" i="2"/>
  <c r="K780" i="2"/>
  <c r="K775" i="2"/>
  <c r="I765" i="2"/>
  <c r="K765" i="2"/>
  <c r="K761" i="2"/>
  <c r="K757" i="2"/>
  <c r="K744" i="2"/>
  <c r="K732" i="2"/>
  <c r="I728" i="2"/>
  <c r="K728" i="2"/>
  <c r="I724" i="2"/>
  <c r="K724" i="2"/>
  <c r="I717" i="2"/>
  <c r="K717" i="2"/>
  <c r="K714" i="2"/>
  <c r="I710" i="2"/>
  <c r="K710" i="2"/>
  <c r="I706" i="2"/>
  <c r="K706" i="2"/>
  <c r="I699" i="2"/>
  <c r="K699" i="2"/>
  <c r="I692" i="2"/>
  <c r="K692" i="2"/>
  <c r="I688" i="2"/>
  <c r="K688" i="2"/>
  <c r="I660" i="2"/>
  <c r="K660" i="2"/>
  <c r="I627" i="2"/>
  <c r="K627" i="2"/>
  <c r="K404" i="2"/>
  <c r="I404" i="2"/>
  <c r="K1000" i="2"/>
  <c r="K994" i="2"/>
  <c r="K988" i="2"/>
  <c r="K982" i="2"/>
  <c r="K976" i="2"/>
  <c r="K970" i="2"/>
  <c r="K964" i="2"/>
  <c r="K958" i="2"/>
  <c r="K952" i="2"/>
  <c r="K946" i="2"/>
  <c r="K940" i="2"/>
  <c r="K934" i="2"/>
  <c r="K928" i="2"/>
  <c r="K922" i="2"/>
  <c r="K916" i="2"/>
  <c r="K910" i="2"/>
  <c r="K904" i="2"/>
  <c r="K898" i="2"/>
  <c r="K892" i="2"/>
  <c r="K886" i="2"/>
  <c r="K880" i="2"/>
  <c r="K874" i="2"/>
  <c r="K868" i="2"/>
  <c r="K862" i="2"/>
  <c r="K856" i="2"/>
  <c r="K850" i="2"/>
  <c r="K844" i="2"/>
  <c r="K838" i="2"/>
  <c r="K832" i="2"/>
  <c r="K801" i="2"/>
  <c r="I641" i="2"/>
  <c r="K641" i="2"/>
  <c r="I748" i="2"/>
  <c r="K748" i="2"/>
  <c r="I736" i="2"/>
  <c r="K736" i="2"/>
  <c r="I678" i="2"/>
  <c r="I668" i="2"/>
  <c r="I529" i="2"/>
  <c r="K529" i="2"/>
  <c r="K408" i="2"/>
  <c r="I408" i="2"/>
  <c r="I796" i="2"/>
  <c r="I766" i="2"/>
  <c r="I725" i="2"/>
  <c r="K715" i="2"/>
  <c r="I707" i="2"/>
  <c r="K697" i="2"/>
  <c r="I689" i="2"/>
  <c r="I675" i="2"/>
  <c r="K675" i="2"/>
  <c r="I665" i="2"/>
  <c r="K665" i="2"/>
  <c r="I657" i="2"/>
  <c r="K318" i="2"/>
  <c r="I318" i="2"/>
  <c r="K207" i="2"/>
  <c r="I207" i="2"/>
  <c r="K193" i="2"/>
  <c r="I193" i="2"/>
  <c r="K163" i="2"/>
  <c r="I163" i="2"/>
  <c r="I160" i="2"/>
  <c r="K160" i="2"/>
  <c r="K157" i="2"/>
  <c r="I157" i="2"/>
  <c r="K147" i="2"/>
  <c r="I147" i="2"/>
  <c r="K533" i="2"/>
  <c r="K491" i="2"/>
  <c r="K479" i="2"/>
  <c r="K467" i="2"/>
  <c r="K455" i="2"/>
  <c r="K409" i="2"/>
  <c r="K390" i="2"/>
  <c r="I390" i="2"/>
  <c r="I341" i="2"/>
  <c r="K341" i="2"/>
  <c r="K315" i="2"/>
  <c r="K283" i="2"/>
  <c r="K649" i="2"/>
  <c r="K625" i="2"/>
  <c r="I537" i="2"/>
  <c r="K537" i="2"/>
  <c r="K372" i="2"/>
  <c r="I372" i="2"/>
  <c r="I257" i="2"/>
  <c r="K257" i="2"/>
  <c r="K630" i="2"/>
  <c r="K621" i="2"/>
  <c r="K617" i="2"/>
  <c r="K613" i="2"/>
  <c r="I323" i="2"/>
  <c r="K323" i="2"/>
  <c r="K300" i="2"/>
  <c r="I300" i="2"/>
  <c r="I534" i="2"/>
  <c r="K523" i="2"/>
  <c r="I496" i="2"/>
  <c r="I484" i="2"/>
  <c r="I472" i="2"/>
  <c r="I460" i="2"/>
  <c r="K414" i="2"/>
  <c r="K373" i="2"/>
  <c r="I350" i="2"/>
  <c r="K297" i="2"/>
  <c r="I262" i="2"/>
  <c r="K241" i="2"/>
  <c r="I241" i="2"/>
  <c r="K693" i="2"/>
  <c r="K687" i="2"/>
  <c r="K681" i="2"/>
  <c r="K676" i="2"/>
  <c r="K671" i="2"/>
  <c r="K666" i="2"/>
  <c r="K645" i="2"/>
  <c r="K640" i="2"/>
  <c r="K635" i="2"/>
  <c r="I538" i="2"/>
  <c r="K527" i="2"/>
  <c r="I429" i="2"/>
  <c r="K429" i="2"/>
  <c r="I395" i="2"/>
  <c r="K395" i="2"/>
  <c r="K354" i="2"/>
  <c r="I354" i="2"/>
  <c r="I508" i="2"/>
  <c r="K418" i="2"/>
  <c r="I418" i="2"/>
  <c r="K270" i="2"/>
  <c r="I270" i="2"/>
  <c r="I622" i="2"/>
  <c r="I618" i="2"/>
  <c r="I614" i="2"/>
  <c r="I610" i="2"/>
  <c r="I606" i="2"/>
  <c r="I602" i="2"/>
  <c r="I598" i="2"/>
  <c r="I594" i="2"/>
  <c r="I590" i="2"/>
  <c r="I586" i="2"/>
  <c r="I582" i="2"/>
  <c r="I578" i="2"/>
  <c r="I574" i="2"/>
  <c r="I570" i="2"/>
  <c r="I566" i="2"/>
  <c r="I562" i="2"/>
  <c r="I558" i="2"/>
  <c r="I554" i="2"/>
  <c r="I550" i="2"/>
  <c r="I546" i="2"/>
  <c r="K539" i="2"/>
  <c r="I531" i="2"/>
  <c r="K531" i="2"/>
  <c r="I377" i="2"/>
  <c r="K377" i="2"/>
  <c r="I305" i="2"/>
  <c r="K305" i="2"/>
  <c r="I520" i="2"/>
  <c r="I434" i="2"/>
  <c r="I430" i="2"/>
  <c r="K336" i="2"/>
  <c r="I336" i="2"/>
  <c r="K274" i="2"/>
  <c r="I274" i="2"/>
  <c r="K611" i="2"/>
  <c r="K607" i="2"/>
  <c r="K603" i="2"/>
  <c r="K599" i="2"/>
  <c r="K595" i="2"/>
  <c r="K591" i="2"/>
  <c r="K587" i="2"/>
  <c r="K583" i="2"/>
  <c r="K579" i="2"/>
  <c r="K575" i="2"/>
  <c r="K571" i="2"/>
  <c r="K567" i="2"/>
  <c r="K563" i="2"/>
  <c r="K559" i="2"/>
  <c r="K555" i="2"/>
  <c r="K551" i="2"/>
  <c r="K547" i="2"/>
  <c r="I359" i="2"/>
  <c r="K359" i="2"/>
  <c r="K333" i="2"/>
  <c r="I279" i="2"/>
  <c r="K279" i="2"/>
  <c r="I267" i="2"/>
  <c r="K267" i="2"/>
  <c r="K223" i="2"/>
  <c r="I223" i="2"/>
  <c r="I89" i="2"/>
  <c r="K89" i="2"/>
  <c r="I174" i="2"/>
  <c r="K174" i="2"/>
  <c r="I125" i="2"/>
  <c r="K125" i="2"/>
  <c r="I122" i="2"/>
  <c r="K122" i="2"/>
  <c r="I96" i="2"/>
  <c r="K96" i="2"/>
  <c r="I86" i="2"/>
  <c r="K86" i="2"/>
  <c r="I264" i="2"/>
  <c r="K264" i="2"/>
  <c r="K259" i="2"/>
  <c r="I259" i="2"/>
  <c r="K201" i="2"/>
  <c r="I201" i="2"/>
  <c r="K187" i="2"/>
  <c r="I187" i="2"/>
  <c r="I161" i="2"/>
  <c r="K161" i="2"/>
  <c r="I158" i="2"/>
  <c r="K158" i="2"/>
  <c r="I106" i="2"/>
  <c r="K106" i="2"/>
  <c r="K103" i="2"/>
  <c r="I103" i="2"/>
  <c r="K93" i="2"/>
  <c r="I93" i="2"/>
  <c r="I56" i="2"/>
  <c r="K56" i="2"/>
  <c r="K542" i="2"/>
  <c r="I234" i="2"/>
  <c r="K234" i="2"/>
  <c r="I216" i="2"/>
  <c r="K216" i="2"/>
  <c r="K205" i="2"/>
  <c r="I205" i="2"/>
  <c r="I198" i="2"/>
  <c r="K198" i="2"/>
  <c r="I132" i="2"/>
  <c r="K132" i="2"/>
  <c r="I442" i="2"/>
  <c r="I402" i="2"/>
  <c r="I384" i="2"/>
  <c r="I366" i="2"/>
  <c r="I348" i="2"/>
  <c r="I330" i="2"/>
  <c r="I312" i="2"/>
  <c r="I168" i="2"/>
  <c r="K168" i="2"/>
  <c r="I142" i="2"/>
  <c r="K142" i="2"/>
  <c r="K139" i="2"/>
  <c r="I139" i="2"/>
  <c r="K129" i="2"/>
  <c r="I129" i="2"/>
  <c r="I70" i="2"/>
  <c r="K70" i="2"/>
  <c r="I50" i="2"/>
  <c r="K50" i="2"/>
  <c r="I34" i="2"/>
  <c r="K34" i="2"/>
  <c r="K525" i="2"/>
  <c r="K519" i="2"/>
  <c r="K513" i="2"/>
  <c r="K507" i="2"/>
  <c r="K501" i="2"/>
  <c r="I273" i="2"/>
  <c r="K273" i="2"/>
  <c r="K195" i="2"/>
  <c r="I195" i="2"/>
  <c r="K181" i="2"/>
  <c r="I181" i="2"/>
  <c r="I178" i="2"/>
  <c r="K178" i="2"/>
  <c r="K175" i="2"/>
  <c r="I175" i="2"/>
  <c r="K165" i="2"/>
  <c r="I165" i="2"/>
  <c r="K423" i="2"/>
  <c r="I412" i="2"/>
  <c r="K399" i="2"/>
  <c r="I394" i="2"/>
  <c r="K381" i="2"/>
  <c r="I376" i="2"/>
  <c r="K363" i="2"/>
  <c r="K345" i="2"/>
  <c r="K327" i="2"/>
  <c r="I252" i="2"/>
  <c r="K252" i="2"/>
  <c r="I156" i="2"/>
  <c r="K156" i="2"/>
  <c r="I107" i="2"/>
  <c r="K107" i="2"/>
  <c r="I104" i="2"/>
  <c r="K104" i="2"/>
  <c r="I44" i="2"/>
  <c r="K44" i="2"/>
  <c r="K235" i="2"/>
  <c r="I235" i="2"/>
  <c r="K199" i="2"/>
  <c r="I199" i="2"/>
  <c r="I54" i="2"/>
  <c r="K54" i="2"/>
  <c r="I210" i="2"/>
  <c r="K210" i="2"/>
  <c r="I143" i="2"/>
  <c r="K143" i="2"/>
  <c r="I140" i="2"/>
  <c r="K140" i="2"/>
  <c r="I114" i="2"/>
  <c r="K114" i="2"/>
  <c r="I88" i="2"/>
  <c r="K88" i="2"/>
  <c r="I78" i="2"/>
  <c r="K78" i="2"/>
  <c r="I71" i="2"/>
  <c r="K71" i="2"/>
  <c r="I186" i="2"/>
  <c r="K186" i="2"/>
  <c r="I53" i="2"/>
  <c r="K53" i="2"/>
  <c r="I36" i="2"/>
  <c r="K36" i="2"/>
  <c r="K64" i="2"/>
  <c r="I60" i="2"/>
  <c r="K60" i="2"/>
  <c r="K40" i="2"/>
  <c r="I47" i="2"/>
  <c r="K47" i="2"/>
  <c r="I204" i="2"/>
  <c r="K204" i="2"/>
  <c r="I192" i="2"/>
  <c r="K192" i="2"/>
  <c r="I180" i="2"/>
  <c r="K180" i="2"/>
  <c r="I173" i="2"/>
  <c r="K173" i="2"/>
  <c r="I162" i="2"/>
  <c r="K162" i="2"/>
  <c r="I155" i="2"/>
  <c r="K155" i="2"/>
  <c r="I144" i="2"/>
  <c r="K144" i="2"/>
  <c r="I137" i="2"/>
  <c r="K137" i="2"/>
  <c r="I126" i="2"/>
  <c r="K126" i="2"/>
  <c r="I119" i="2"/>
  <c r="K119" i="2"/>
  <c r="I108" i="2"/>
  <c r="K108" i="2"/>
  <c r="I101" i="2"/>
  <c r="K101" i="2"/>
  <c r="I90" i="2"/>
  <c r="K90" i="2"/>
  <c r="I83" i="2"/>
  <c r="K83" i="2"/>
  <c r="I72" i="2"/>
  <c r="K72" i="2"/>
  <c r="I65" i="2"/>
  <c r="K65" i="2"/>
  <c r="I41" i="2"/>
  <c r="K41" i="2"/>
  <c r="I253" i="2"/>
  <c r="K228" i="2"/>
  <c r="I217" i="2"/>
  <c r="K209" i="2"/>
  <c r="K197" i="2"/>
  <c r="K185" i="2"/>
  <c r="I177" i="2"/>
  <c r="K170" i="2"/>
  <c r="I159" i="2"/>
  <c r="K152" i="2"/>
  <c r="I141" i="2"/>
  <c r="K134" i="2"/>
  <c r="I123" i="2"/>
  <c r="K116" i="2"/>
  <c r="I105" i="2"/>
  <c r="K98" i="2"/>
  <c r="K80" i="2"/>
  <c r="K52" i="2"/>
  <c r="I48" i="2"/>
  <c r="K48" i="2"/>
  <c r="I62" i="2"/>
  <c r="K62" i="2"/>
  <c r="I38" i="2"/>
  <c r="K38" i="2"/>
  <c r="I35" i="2"/>
  <c r="K35" i="2"/>
  <c r="I127" i="2"/>
  <c r="I109" i="2"/>
  <c r="I59" i="2"/>
  <c r="K59" i="2"/>
  <c r="I149" i="2"/>
  <c r="K149" i="2"/>
  <c r="I138" i="2"/>
  <c r="K138" i="2"/>
  <c r="I131" i="2"/>
  <c r="K131" i="2"/>
  <c r="I120" i="2"/>
  <c r="K120" i="2"/>
  <c r="I113" i="2"/>
  <c r="K113" i="2"/>
  <c r="I102" i="2"/>
  <c r="K102" i="2"/>
  <c r="I95" i="2"/>
  <c r="K95" i="2"/>
  <c r="I84" i="2"/>
  <c r="K84" i="2"/>
  <c r="I77" i="2"/>
  <c r="K77" i="2"/>
  <c r="I66" i="2"/>
  <c r="K66" i="2"/>
  <c r="K46" i="2"/>
  <c r="I42" i="2"/>
  <c r="K42" i="2"/>
  <c r="K29" i="2"/>
  <c r="K23" i="2"/>
  <c r="K17" i="2"/>
  <c r="K11" i="2"/>
  <c r="K30" i="2"/>
  <c r="K24" i="2"/>
  <c r="K18" i="2"/>
  <c r="K12" i="2"/>
  <c r="K37" i="2"/>
  <c r="K31" i="2"/>
  <c r="K25" i="2"/>
  <c r="K19" i="2"/>
  <c r="K13" i="2"/>
  <c r="K32" i="2"/>
  <c r="K26" i="2"/>
  <c r="K20" i="2"/>
  <c r="K14" i="2"/>
  <c r="J10" i="2"/>
  <c r="C5" i="2"/>
  <c r="E9" i="2"/>
  <c r="F7" i="2"/>
  <c r="F5" i="2"/>
  <c r="F4" i="2"/>
  <c r="D10" i="2"/>
  <c r="E6" i="2"/>
  <c r="G10" i="2"/>
  <c r="D9" i="2"/>
  <c r="E5" i="2"/>
  <c r="G9" i="2"/>
  <c r="B7" i="2"/>
  <c r="D8" i="2"/>
  <c r="E4" i="2"/>
  <c r="G8" i="2"/>
  <c r="H10" i="2"/>
  <c r="I10" i="2" s="1"/>
  <c r="B6" i="2"/>
  <c r="C4" i="2"/>
  <c r="E7" i="2"/>
  <c r="D7" i="2"/>
  <c r="G7" i="2"/>
  <c r="H9" i="2"/>
  <c r="I9" i="2" s="1"/>
  <c r="B5" i="2"/>
  <c r="C10" i="2"/>
  <c r="D6" i="2"/>
  <c r="F10" i="2"/>
  <c r="G6" i="2"/>
  <c r="H8" i="2"/>
  <c r="I8" i="2" s="1"/>
  <c r="K8" i="2" s="1"/>
  <c r="B4" i="2"/>
  <c r="E8" i="2"/>
  <c r="C9" i="2"/>
  <c r="D5" i="2"/>
  <c r="F9" i="2"/>
  <c r="G5" i="2"/>
  <c r="H7" i="2"/>
  <c r="I7" i="2" s="1"/>
  <c r="K7" i="2" s="1"/>
  <c r="H6" i="2"/>
  <c r="I6" i="2" s="1"/>
  <c r="K6" i="2" s="1"/>
  <c r="H5" i="2"/>
  <c r="I5" i="2" s="1"/>
  <c r="K5" i="2" s="1"/>
  <c r="C8" i="2"/>
  <c r="D4" i="2"/>
  <c r="F8" i="2"/>
  <c r="G4" i="2"/>
  <c r="C7" i="2"/>
  <c r="C6" i="2"/>
  <c r="E10" i="2"/>
  <c r="F6" i="2"/>
  <c r="H4" i="2"/>
  <c r="I4" i="2" s="1"/>
  <c r="B10" i="2"/>
  <c r="B9" i="2"/>
  <c r="B8" i="2"/>
  <c r="G8" i="3"/>
  <c r="C8" i="3"/>
  <c r="B8" i="3"/>
  <c r="D8" i="3"/>
  <c r="E8" i="3"/>
  <c r="C10" i="3"/>
  <c r="B10" i="3"/>
  <c r="D10" i="3"/>
  <c r="E10" i="3"/>
  <c r="G10" i="3"/>
  <c r="G6" i="3"/>
  <c r="C6" i="3"/>
  <c r="B6" i="3"/>
  <c r="D6" i="3"/>
  <c r="E6" i="3"/>
  <c r="G7" i="3"/>
  <c r="C7" i="3"/>
  <c r="B7" i="3"/>
  <c r="D7" i="3"/>
  <c r="E7" i="3"/>
  <c r="C9" i="3"/>
  <c r="B9" i="3"/>
  <c r="D9" i="3"/>
  <c r="E9" i="3"/>
  <c r="G9" i="3"/>
  <c r="C5" i="3"/>
  <c r="B5" i="3"/>
  <c r="G5" i="3"/>
  <c r="E5" i="3"/>
  <c r="D5" i="3"/>
  <c r="D4" i="3"/>
  <c r="E4" i="3"/>
  <c r="C4" i="3"/>
  <c r="B4" i="3"/>
  <c r="G4" i="3"/>
  <c r="H13" i="3" l="1"/>
  <c r="H14" i="3"/>
  <c r="H15" i="3"/>
  <c r="F13" i="3"/>
  <c r="F14" i="3"/>
  <c r="F15" i="3"/>
  <c r="F12" i="3"/>
  <c r="I12" i="2"/>
  <c r="H12" i="3"/>
  <c r="H11" i="3"/>
  <c r="F11" i="3"/>
  <c r="K1002" i="2"/>
  <c r="I1002" i="2"/>
  <c r="I1001" i="2"/>
  <c r="K1001" i="2"/>
  <c r="I998" i="2"/>
  <c r="K998" i="2"/>
  <c r="I997" i="2"/>
  <c r="K997" i="2"/>
  <c r="K996" i="2"/>
  <c r="I996" i="2"/>
  <c r="I995" i="2"/>
  <c r="K995" i="2"/>
  <c r="I992" i="2"/>
  <c r="K992" i="2"/>
  <c r="I991" i="2"/>
  <c r="K991" i="2"/>
  <c r="K990" i="2"/>
  <c r="I990" i="2"/>
  <c r="I989" i="2"/>
  <c r="K989" i="2"/>
  <c r="I986" i="2"/>
  <c r="K986" i="2"/>
  <c r="I985" i="2"/>
  <c r="K985" i="2"/>
  <c r="K984" i="2"/>
  <c r="I984" i="2"/>
  <c r="I983" i="2"/>
  <c r="K983" i="2"/>
  <c r="I980" i="2"/>
  <c r="K980" i="2"/>
  <c r="I979" i="2"/>
  <c r="K979" i="2"/>
  <c r="K978" i="2"/>
  <c r="I978" i="2"/>
  <c r="I977" i="2"/>
  <c r="K977" i="2"/>
  <c r="I974" i="2"/>
  <c r="K974" i="2"/>
  <c r="I973" i="2"/>
  <c r="K973" i="2"/>
  <c r="K972" i="2"/>
  <c r="I972" i="2"/>
  <c r="I971" i="2"/>
  <c r="K971" i="2"/>
  <c r="I968" i="2"/>
  <c r="K968" i="2"/>
  <c r="I967" i="2"/>
  <c r="K967" i="2"/>
  <c r="K966" i="2"/>
  <c r="I966" i="2"/>
  <c r="I965" i="2"/>
  <c r="K965" i="2"/>
  <c r="I962" i="2"/>
  <c r="K962" i="2"/>
  <c r="I961" i="2"/>
  <c r="K961" i="2"/>
  <c r="K960" i="2"/>
  <c r="I960" i="2"/>
  <c r="I959" i="2"/>
  <c r="K959" i="2"/>
  <c r="I956" i="2"/>
  <c r="K956" i="2"/>
  <c r="I955" i="2"/>
  <c r="K955" i="2"/>
  <c r="K954" i="2"/>
  <c r="I954" i="2"/>
  <c r="I953" i="2"/>
  <c r="K953" i="2"/>
  <c r="I950" i="2"/>
  <c r="K950" i="2"/>
  <c r="I949" i="2"/>
  <c r="K949" i="2"/>
  <c r="K948" i="2"/>
  <c r="I948" i="2"/>
  <c r="I944" i="2"/>
  <c r="K944" i="2"/>
  <c r="I943" i="2"/>
  <c r="K943" i="2"/>
  <c r="K942" i="2"/>
  <c r="I942" i="2"/>
  <c r="I938" i="2"/>
  <c r="K938" i="2"/>
  <c r="I937" i="2"/>
  <c r="K937" i="2"/>
  <c r="I936" i="2"/>
  <c r="K936" i="2"/>
  <c r="I932" i="2"/>
  <c r="K932" i="2"/>
  <c r="I931" i="2"/>
  <c r="K931" i="2"/>
  <c r="I930" i="2"/>
  <c r="K930" i="2"/>
  <c r="I926" i="2"/>
  <c r="K926" i="2"/>
  <c r="I925" i="2"/>
  <c r="K925" i="2"/>
  <c r="I924" i="2"/>
  <c r="K924" i="2"/>
  <c r="I920" i="2"/>
  <c r="K920" i="2"/>
  <c r="I919" i="2"/>
  <c r="K919" i="2"/>
  <c r="I918" i="2"/>
  <c r="K918" i="2"/>
  <c r="I914" i="2"/>
  <c r="K914" i="2"/>
  <c r="I913" i="2"/>
  <c r="K913" i="2"/>
  <c r="I912" i="2"/>
  <c r="K912" i="2"/>
  <c r="I908" i="2"/>
  <c r="K908" i="2"/>
  <c r="I907" i="2"/>
  <c r="K907" i="2"/>
  <c r="I906" i="2"/>
  <c r="K906" i="2"/>
  <c r="I905" i="2"/>
  <c r="K905" i="2"/>
  <c r="I902" i="2"/>
  <c r="K902" i="2"/>
  <c r="I901" i="2"/>
  <c r="K901" i="2"/>
  <c r="I900" i="2"/>
  <c r="K900" i="2"/>
  <c r="I899" i="2"/>
  <c r="K899" i="2"/>
  <c r="I896" i="2"/>
  <c r="K896" i="2"/>
  <c r="I895" i="2"/>
  <c r="K895" i="2"/>
  <c r="I894" i="2"/>
  <c r="K894" i="2"/>
  <c r="I893" i="2"/>
  <c r="K893" i="2"/>
  <c r="I891" i="2"/>
  <c r="K891" i="2"/>
  <c r="I890" i="2"/>
  <c r="K890" i="2"/>
  <c r="I889" i="2"/>
  <c r="K889" i="2"/>
  <c r="I888" i="2"/>
  <c r="K888" i="2"/>
  <c r="I887" i="2"/>
  <c r="K887" i="2"/>
  <c r="I885" i="2"/>
  <c r="K885" i="2"/>
  <c r="I884" i="2"/>
  <c r="K884" i="2"/>
  <c r="I883" i="2"/>
  <c r="K883" i="2"/>
  <c r="I882" i="2"/>
  <c r="K882" i="2"/>
  <c r="I881" i="2"/>
  <c r="K881" i="2"/>
  <c r="I879" i="2"/>
  <c r="K879" i="2"/>
  <c r="I878" i="2"/>
  <c r="K878" i="2"/>
  <c r="I877" i="2"/>
  <c r="K877" i="2"/>
  <c r="I876" i="2"/>
  <c r="K876" i="2"/>
  <c r="I875" i="2"/>
  <c r="K875" i="2"/>
  <c r="I873" i="2"/>
  <c r="K873" i="2"/>
  <c r="I872" i="2"/>
  <c r="K872" i="2"/>
  <c r="I871" i="2"/>
  <c r="K871" i="2"/>
  <c r="I870" i="2"/>
  <c r="K870" i="2"/>
  <c r="I869" i="2"/>
  <c r="K869" i="2"/>
  <c r="I867" i="2"/>
  <c r="K867" i="2"/>
  <c r="I866" i="2"/>
  <c r="K866" i="2"/>
  <c r="I865" i="2"/>
  <c r="K865" i="2"/>
  <c r="I864" i="2"/>
  <c r="K864" i="2"/>
  <c r="I863" i="2"/>
  <c r="K863" i="2"/>
  <c r="I861" i="2"/>
  <c r="K861" i="2"/>
  <c r="I860" i="2"/>
  <c r="K860" i="2"/>
  <c r="I859" i="2"/>
  <c r="K859" i="2"/>
  <c r="I858" i="2"/>
  <c r="K858" i="2"/>
  <c r="I857" i="2"/>
  <c r="K857" i="2"/>
  <c r="I855" i="2"/>
  <c r="K855" i="2"/>
  <c r="I854" i="2"/>
  <c r="K854" i="2"/>
  <c r="I853" i="2"/>
  <c r="K853" i="2"/>
  <c r="I852" i="2"/>
  <c r="K852" i="2"/>
  <c r="I851" i="2"/>
  <c r="K851" i="2"/>
  <c r="I849" i="2"/>
  <c r="K849" i="2"/>
  <c r="I848" i="2"/>
  <c r="K848" i="2"/>
  <c r="I847" i="2"/>
  <c r="K847" i="2"/>
  <c r="I846" i="2"/>
  <c r="K846" i="2"/>
  <c r="I845" i="2"/>
  <c r="K845" i="2"/>
  <c r="I843" i="2"/>
  <c r="K843" i="2"/>
  <c r="I842" i="2"/>
  <c r="K842" i="2"/>
  <c r="I841" i="2"/>
  <c r="K841" i="2"/>
  <c r="I840" i="2"/>
  <c r="K840" i="2"/>
  <c r="I839" i="2"/>
  <c r="K839" i="2"/>
  <c r="I837" i="2"/>
  <c r="K837" i="2"/>
  <c r="I836" i="2"/>
  <c r="K836" i="2"/>
  <c r="I835" i="2"/>
  <c r="K835" i="2"/>
  <c r="I834" i="2"/>
  <c r="K834" i="2"/>
  <c r="I833" i="2"/>
  <c r="K833" i="2"/>
  <c r="I831" i="2"/>
  <c r="K831" i="2"/>
  <c r="I828" i="2"/>
  <c r="K828" i="2"/>
  <c r="K827" i="2"/>
  <c r="I827" i="2"/>
  <c r="K826" i="2"/>
  <c r="I826" i="2"/>
  <c r="I825" i="2"/>
  <c r="K825" i="2"/>
  <c r="I823" i="2"/>
  <c r="K823" i="2"/>
  <c r="K822" i="2"/>
  <c r="I822" i="2"/>
  <c r="K820" i="2"/>
  <c r="I820" i="2"/>
  <c r="I818" i="2"/>
  <c r="K818" i="2"/>
  <c r="K817" i="2"/>
  <c r="I817" i="2"/>
  <c r="K814" i="2"/>
  <c r="I814" i="2"/>
  <c r="K812" i="2"/>
  <c r="I812" i="2"/>
  <c r="K810" i="2"/>
  <c r="I810" i="2"/>
  <c r="K808" i="2"/>
  <c r="I808" i="2"/>
  <c r="I807" i="2"/>
  <c r="K807" i="2"/>
  <c r="K805" i="2"/>
  <c r="I805" i="2"/>
  <c r="K802" i="2"/>
  <c r="I802" i="2"/>
  <c r="K800" i="2"/>
  <c r="I800" i="2"/>
  <c r="I797" i="2"/>
  <c r="K797" i="2"/>
  <c r="I795" i="2"/>
  <c r="K795" i="2"/>
  <c r="I792" i="2"/>
  <c r="K792" i="2"/>
  <c r="K791" i="2"/>
  <c r="I791" i="2"/>
  <c r="K790" i="2"/>
  <c r="I790" i="2"/>
  <c r="I789" i="2"/>
  <c r="K789" i="2"/>
  <c r="I787" i="2"/>
  <c r="K787" i="2"/>
  <c r="K786" i="2"/>
  <c r="I786" i="2"/>
  <c r="K784" i="2"/>
  <c r="I784" i="2"/>
  <c r="I782" i="2"/>
  <c r="K782" i="2"/>
  <c r="K781" i="2"/>
  <c r="I781" i="2"/>
  <c r="K779" i="2"/>
  <c r="I779" i="2"/>
  <c r="K778" i="2"/>
  <c r="I778" i="2"/>
  <c r="K776" i="2"/>
  <c r="I776" i="2"/>
  <c r="K774" i="2"/>
  <c r="I774" i="2"/>
  <c r="K772" i="2"/>
  <c r="I772" i="2"/>
  <c r="I770" i="2"/>
  <c r="K770" i="2"/>
  <c r="I767" i="2"/>
  <c r="K767" i="2"/>
  <c r="I763" i="2"/>
  <c r="K763" i="2"/>
  <c r="K762" i="2"/>
  <c r="I762" i="2"/>
  <c r="K760" i="2"/>
  <c r="I760" i="2"/>
  <c r="I758" i="2"/>
  <c r="K758" i="2"/>
  <c r="K756" i="2"/>
  <c r="I756" i="2"/>
  <c r="K754" i="2"/>
  <c r="I754" i="2"/>
  <c r="I752" i="2"/>
  <c r="K752" i="2"/>
  <c r="K749" i="2"/>
  <c r="I749" i="2"/>
  <c r="K745" i="2"/>
  <c r="I745" i="2"/>
  <c r="K743" i="2"/>
  <c r="I743" i="2"/>
  <c r="I740" i="2"/>
  <c r="K740" i="2"/>
  <c r="K737" i="2"/>
  <c r="I737" i="2"/>
  <c r="K733" i="2"/>
  <c r="I733" i="2"/>
  <c r="K731" i="2"/>
  <c r="I731" i="2"/>
  <c r="I726" i="2"/>
  <c r="K726" i="2"/>
  <c r="I721" i="2"/>
  <c r="K721" i="2"/>
  <c r="K719" i="2"/>
  <c r="I719" i="2"/>
  <c r="K713" i="2"/>
  <c r="I713" i="2"/>
  <c r="I708" i="2"/>
  <c r="K708" i="2"/>
  <c r="I703" i="2"/>
  <c r="K703" i="2"/>
  <c r="K701" i="2"/>
  <c r="I701" i="2"/>
  <c r="I696" i="2"/>
  <c r="K696" i="2"/>
  <c r="K695" i="2"/>
  <c r="I695" i="2"/>
  <c r="I690" i="2"/>
  <c r="K690" i="2"/>
  <c r="I685" i="2"/>
  <c r="K685" i="2"/>
  <c r="K683" i="2"/>
  <c r="I683" i="2"/>
  <c r="K680" i="2"/>
  <c r="I680" i="2"/>
  <c r="I679" i="2"/>
  <c r="K679" i="2"/>
  <c r="K674" i="2"/>
  <c r="I674" i="2"/>
  <c r="I669" i="2"/>
  <c r="K669" i="2"/>
  <c r="I663" i="2"/>
  <c r="K663" i="2"/>
  <c r="I661" i="2"/>
  <c r="K661" i="2"/>
  <c r="I658" i="2"/>
  <c r="K658" i="2"/>
  <c r="K656" i="2"/>
  <c r="I656" i="2"/>
  <c r="I653" i="2"/>
  <c r="K653" i="2"/>
  <c r="K652" i="2"/>
  <c r="I652" i="2"/>
  <c r="K650" i="2"/>
  <c r="I650" i="2"/>
  <c r="I648" i="2"/>
  <c r="K648" i="2"/>
  <c r="K647" i="2"/>
  <c r="I647" i="2"/>
  <c r="K644" i="2"/>
  <c r="I644" i="2"/>
  <c r="I643" i="2"/>
  <c r="K643" i="2"/>
  <c r="K642" i="2"/>
  <c r="I642" i="2"/>
  <c r="K638" i="2"/>
  <c r="I638" i="2"/>
  <c r="I637" i="2"/>
  <c r="K637" i="2"/>
  <c r="K634" i="2"/>
  <c r="I634" i="2"/>
  <c r="I633" i="2"/>
  <c r="K633" i="2"/>
  <c r="K632" i="2"/>
  <c r="I632" i="2"/>
  <c r="I631" i="2"/>
  <c r="K631" i="2"/>
  <c r="I629" i="2"/>
  <c r="K629" i="2"/>
  <c r="K626" i="2"/>
  <c r="I626" i="2"/>
  <c r="I624" i="2"/>
  <c r="K624" i="2"/>
  <c r="K620" i="2"/>
  <c r="I620" i="2"/>
  <c r="K616" i="2"/>
  <c r="I616" i="2"/>
  <c r="K612" i="2"/>
  <c r="I612" i="2"/>
  <c r="I609" i="2"/>
  <c r="K609" i="2"/>
  <c r="K608" i="2"/>
  <c r="I608" i="2"/>
  <c r="I605" i="2"/>
  <c r="K605" i="2"/>
  <c r="K604" i="2"/>
  <c r="I604" i="2"/>
  <c r="I601" i="2"/>
  <c r="K601" i="2"/>
  <c r="K600" i="2"/>
  <c r="I600" i="2"/>
  <c r="I597" i="2"/>
  <c r="K597" i="2"/>
  <c r="K596" i="2"/>
  <c r="I596" i="2"/>
  <c r="I593" i="2"/>
  <c r="K593" i="2"/>
  <c r="K592" i="2"/>
  <c r="I592" i="2"/>
  <c r="I589" i="2"/>
  <c r="K589" i="2"/>
  <c r="K588" i="2"/>
  <c r="I588" i="2"/>
  <c r="I585" i="2"/>
  <c r="K585" i="2"/>
  <c r="K584" i="2"/>
  <c r="I584" i="2"/>
  <c r="I581" i="2"/>
  <c r="K581" i="2"/>
  <c r="K580" i="2"/>
  <c r="I580" i="2"/>
  <c r="I577" i="2"/>
  <c r="K577" i="2"/>
  <c r="K576" i="2"/>
  <c r="I576" i="2"/>
  <c r="I573" i="2"/>
  <c r="K573" i="2"/>
  <c r="K572" i="2"/>
  <c r="I572" i="2"/>
  <c r="I569" i="2"/>
  <c r="K569" i="2"/>
  <c r="K568" i="2"/>
  <c r="I568" i="2"/>
  <c r="I565" i="2"/>
  <c r="K565" i="2"/>
  <c r="K564" i="2"/>
  <c r="I564" i="2"/>
  <c r="I561" i="2"/>
  <c r="K561" i="2"/>
  <c r="K560" i="2"/>
  <c r="I560" i="2"/>
  <c r="I557" i="2"/>
  <c r="K557" i="2"/>
  <c r="K556" i="2"/>
  <c r="I556" i="2"/>
  <c r="I553" i="2"/>
  <c r="K553" i="2"/>
  <c r="K552" i="2"/>
  <c r="I552" i="2"/>
  <c r="I549" i="2"/>
  <c r="K549" i="2"/>
  <c r="K548" i="2"/>
  <c r="I548" i="2"/>
  <c r="I545" i="2"/>
  <c r="K545" i="2"/>
  <c r="K544" i="2"/>
  <c r="I544" i="2"/>
  <c r="I541" i="2"/>
  <c r="K541" i="2"/>
  <c r="K540" i="2"/>
  <c r="I540" i="2"/>
  <c r="K536" i="2"/>
  <c r="I536" i="2"/>
  <c r="I535" i="2"/>
  <c r="K535" i="2"/>
  <c r="K532" i="2"/>
  <c r="I532" i="2"/>
  <c r="K530" i="2"/>
  <c r="I530" i="2"/>
  <c r="K526" i="2"/>
  <c r="I526" i="2"/>
  <c r="K524" i="2"/>
  <c r="I524" i="2"/>
  <c r="K522" i="2"/>
  <c r="I522" i="2"/>
  <c r="I521" i="2"/>
  <c r="K521" i="2"/>
  <c r="K518" i="2"/>
  <c r="I518" i="2"/>
  <c r="I517" i="2"/>
  <c r="K517" i="2"/>
  <c r="K516" i="2"/>
  <c r="I516" i="2"/>
  <c r="I515" i="2"/>
  <c r="K515" i="2"/>
  <c r="K514" i="2"/>
  <c r="I514" i="2"/>
  <c r="K512" i="2"/>
  <c r="I512" i="2"/>
  <c r="I511" i="2"/>
  <c r="K511" i="2"/>
  <c r="K506" i="2"/>
  <c r="I506" i="2"/>
  <c r="I505" i="2"/>
  <c r="K505" i="2"/>
  <c r="K504" i="2"/>
  <c r="I504" i="2"/>
  <c r="I503" i="2"/>
  <c r="K503" i="2"/>
  <c r="K502" i="2"/>
  <c r="I502" i="2"/>
  <c r="K500" i="2"/>
  <c r="I500" i="2"/>
  <c r="I499" i="2"/>
  <c r="K499" i="2"/>
  <c r="K498" i="2"/>
  <c r="I498" i="2"/>
  <c r="I497" i="2"/>
  <c r="K497" i="2"/>
  <c r="I495" i="2"/>
  <c r="K495" i="2"/>
  <c r="K494" i="2"/>
  <c r="I494" i="2"/>
  <c r="I493" i="2"/>
  <c r="K493" i="2"/>
  <c r="K492" i="2"/>
  <c r="I492" i="2"/>
  <c r="K490" i="2"/>
  <c r="I490" i="2"/>
  <c r="I489" i="2"/>
  <c r="K489" i="2"/>
  <c r="K488" i="2"/>
  <c r="I488" i="2"/>
  <c r="I487" i="2"/>
  <c r="K487" i="2"/>
  <c r="K486" i="2"/>
  <c r="I486" i="2"/>
  <c r="I485" i="2"/>
  <c r="K485" i="2"/>
  <c r="I483" i="2"/>
  <c r="K483" i="2"/>
  <c r="K482" i="2"/>
  <c r="I482" i="2"/>
  <c r="I481" i="2"/>
  <c r="K481" i="2"/>
  <c r="K480" i="2"/>
  <c r="I480" i="2"/>
  <c r="K478" i="2"/>
  <c r="I478" i="2"/>
  <c r="I477" i="2"/>
  <c r="K477" i="2"/>
  <c r="K476" i="2"/>
  <c r="I476" i="2"/>
  <c r="I475" i="2"/>
  <c r="K475" i="2"/>
  <c r="K474" i="2"/>
  <c r="I474" i="2"/>
  <c r="I473" i="2"/>
  <c r="K473" i="2"/>
  <c r="I471" i="2"/>
  <c r="K471" i="2"/>
  <c r="K470" i="2"/>
  <c r="I470" i="2"/>
  <c r="I469" i="2"/>
  <c r="K469" i="2"/>
  <c r="K468" i="2"/>
  <c r="I468" i="2"/>
  <c r="K466" i="2"/>
  <c r="I466" i="2"/>
  <c r="I465" i="2"/>
  <c r="K465" i="2"/>
  <c r="K464" i="2"/>
  <c r="I464" i="2"/>
  <c r="I463" i="2"/>
  <c r="K463" i="2"/>
  <c r="K462" i="2"/>
  <c r="I462" i="2"/>
  <c r="I461" i="2"/>
  <c r="K461" i="2"/>
  <c r="I459" i="2"/>
  <c r="K459" i="2"/>
  <c r="K458" i="2"/>
  <c r="I458" i="2"/>
  <c r="I457" i="2"/>
  <c r="K457" i="2"/>
  <c r="K456" i="2"/>
  <c r="I456" i="2"/>
  <c r="I453" i="2"/>
  <c r="K453" i="2"/>
  <c r="I452" i="2"/>
  <c r="K452" i="2"/>
  <c r="K451" i="2"/>
  <c r="I451" i="2"/>
  <c r="K449" i="2"/>
  <c r="I449" i="2"/>
  <c r="K448" i="2"/>
  <c r="I448" i="2"/>
  <c r="I447" i="2"/>
  <c r="K447" i="2"/>
  <c r="K446" i="2"/>
  <c r="I446" i="2"/>
  <c r="I445" i="2"/>
  <c r="K445" i="2"/>
  <c r="K444" i="2"/>
  <c r="I444" i="2"/>
  <c r="I443" i="2"/>
  <c r="K443" i="2"/>
  <c r="I441" i="2"/>
  <c r="K441" i="2"/>
  <c r="I440" i="2"/>
  <c r="K440" i="2"/>
  <c r="K439" i="2"/>
  <c r="I439" i="2"/>
  <c r="I438" i="2"/>
  <c r="K438" i="2"/>
  <c r="K437" i="2"/>
  <c r="I437" i="2"/>
  <c r="K436" i="2"/>
  <c r="I436" i="2"/>
  <c r="I435" i="2"/>
  <c r="K435" i="2"/>
  <c r="I433" i="2"/>
  <c r="K433" i="2"/>
  <c r="K432" i="2"/>
  <c r="I432" i="2"/>
  <c r="I431" i="2"/>
  <c r="K431" i="2"/>
  <c r="I428" i="2"/>
  <c r="K428" i="2"/>
  <c r="K427" i="2"/>
  <c r="I427" i="2"/>
  <c r="I426" i="2"/>
  <c r="K426" i="2"/>
  <c r="K425" i="2"/>
  <c r="I425" i="2"/>
  <c r="K424" i="2"/>
  <c r="I424" i="2"/>
  <c r="K422" i="2"/>
  <c r="I422" i="2"/>
  <c r="I421" i="2"/>
  <c r="K421" i="2"/>
  <c r="K420" i="2"/>
  <c r="I420" i="2"/>
  <c r="I417" i="2"/>
  <c r="K417" i="2"/>
  <c r="I416" i="2"/>
  <c r="K416" i="2"/>
  <c r="K415" i="2"/>
  <c r="I415" i="2"/>
  <c r="K413" i="2"/>
  <c r="I413" i="2"/>
  <c r="I411" i="2"/>
  <c r="K411" i="2"/>
  <c r="K410" i="2"/>
  <c r="I410" i="2"/>
  <c r="I407" i="2"/>
  <c r="K407" i="2"/>
  <c r="K406" i="2"/>
  <c r="I406" i="2"/>
  <c r="I403" i="2"/>
  <c r="K403" i="2"/>
  <c r="I401" i="2"/>
  <c r="K401" i="2"/>
  <c r="K400" i="2"/>
  <c r="I400" i="2"/>
  <c r="I398" i="2"/>
  <c r="K398" i="2"/>
  <c r="I397" i="2"/>
  <c r="K397" i="2"/>
  <c r="K396" i="2"/>
  <c r="I396" i="2"/>
  <c r="I393" i="2"/>
  <c r="K393" i="2"/>
  <c r="K392" i="2"/>
  <c r="I392" i="2"/>
  <c r="I391" i="2"/>
  <c r="K391" i="2"/>
  <c r="I389" i="2"/>
  <c r="K389" i="2"/>
  <c r="K388" i="2"/>
  <c r="I388" i="2"/>
  <c r="I387" i="2"/>
  <c r="K387" i="2"/>
  <c r="K386" i="2"/>
  <c r="I386" i="2"/>
  <c r="I385" i="2"/>
  <c r="K385" i="2"/>
  <c r="I383" i="2"/>
  <c r="K383" i="2"/>
  <c r="K382" i="2"/>
  <c r="I382" i="2"/>
  <c r="I380" i="2"/>
  <c r="K380" i="2"/>
  <c r="I379" i="2"/>
  <c r="K379" i="2"/>
  <c r="K378" i="2"/>
  <c r="I378" i="2"/>
  <c r="I375" i="2"/>
  <c r="K375" i="2"/>
  <c r="K374" i="2"/>
  <c r="I374" i="2"/>
  <c r="I371" i="2"/>
  <c r="K371" i="2"/>
  <c r="K370" i="2"/>
  <c r="I370" i="2"/>
  <c r="I369" i="2"/>
  <c r="K369" i="2"/>
  <c r="K368" i="2"/>
  <c r="I368" i="2"/>
  <c r="I367" i="2"/>
  <c r="K367" i="2"/>
  <c r="I365" i="2"/>
  <c r="K365" i="2"/>
  <c r="K364" i="2"/>
  <c r="I364" i="2"/>
  <c r="I362" i="2"/>
  <c r="K362" i="2"/>
  <c r="I361" i="2"/>
  <c r="K361" i="2"/>
  <c r="K360" i="2"/>
  <c r="I360" i="2"/>
  <c r="K358" i="2"/>
  <c r="I358" i="2"/>
  <c r="I357" i="2"/>
  <c r="K357" i="2"/>
  <c r="K356" i="2"/>
  <c r="I356" i="2"/>
  <c r="I355" i="2"/>
  <c r="K355" i="2"/>
  <c r="I353" i="2"/>
  <c r="K353" i="2"/>
  <c r="K352" i="2"/>
  <c r="I352" i="2"/>
  <c r="I351" i="2"/>
  <c r="K351" i="2"/>
  <c r="I349" i="2"/>
  <c r="K349" i="2"/>
  <c r="I347" i="2"/>
  <c r="K347" i="2"/>
  <c r="K346" i="2"/>
  <c r="I346" i="2"/>
  <c r="I344" i="2"/>
  <c r="K344" i="2"/>
  <c r="I343" i="2"/>
  <c r="K343" i="2"/>
  <c r="K342" i="2"/>
  <c r="I342" i="2"/>
  <c r="K340" i="2"/>
  <c r="I340" i="2"/>
  <c r="I339" i="2"/>
  <c r="K339" i="2"/>
  <c r="K338" i="2"/>
  <c r="I338" i="2"/>
  <c r="I337" i="2"/>
  <c r="K337" i="2"/>
  <c r="I335" i="2"/>
  <c r="K335" i="2"/>
  <c r="K334" i="2"/>
  <c r="I334" i="2"/>
  <c r="K332" i="2"/>
  <c r="I332" i="2"/>
  <c r="I331" i="2"/>
  <c r="K331" i="2"/>
  <c r="I329" i="2"/>
  <c r="K329" i="2"/>
  <c r="K328" i="2"/>
  <c r="I328" i="2"/>
  <c r="I326" i="2"/>
  <c r="K326" i="2"/>
  <c r="I325" i="2"/>
  <c r="K325" i="2"/>
  <c r="K324" i="2"/>
  <c r="I324" i="2"/>
  <c r="K322" i="2"/>
  <c r="I322" i="2"/>
  <c r="I321" i="2"/>
  <c r="K321" i="2"/>
  <c r="K320" i="2"/>
  <c r="I320" i="2"/>
  <c r="I319" i="2"/>
  <c r="K319" i="2"/>
  <c r="I317" i="2"/>
  <c r="K317" i="2"/>
  <c r="K316" i="2"/>
  <c r="I316" i="2"/>
  <c r="K314" i="2"/>
  <c r="I314" i="2"/>
  <c r="I313" i="2"/>
  <c r="K313" i="2"/>
  <c r="I311" i="2"/>
  <c r="K311" i="2"/>
  <c r="K310" i="2"/>
  <c r="I310" i="2"/>
  <c r="I309" i="2"/>
  <c r="K309" i="2"/>
  <c r="I308" i="2"/>
  <c r="K308" i="2"/>
  <c r="I307" i="2"/>
  <c r="K307" i="2"/>
  <c r="K306" i="2"/>
  <c r="I306" i="2"/>
  <c r="K304" i="2"/>
  <c r="I304" i="2"/>
  <c r="I303" i="2"/>
  <c r="K303" i="2"/>
  <c r="K302" i="2"/>
  <c r="I302" i="2"/>
  <c r="I301" i="2"/>
  <c r="K301" i="2"/>
  <c r="I299" i="2"/>
  <c r="K299" i="2"/>
  <c r="K298" i="2"/>
  <c r="I298" i="2"/>
  <c r="K296" i="2"/>
  <c r="I296" i="2"/>
  <c r="I295" i="2"/>
  <c r="K295" i="2"/>
  <c r="K294" i="2"/>
  <c r="I294" i="2"/>
  <c r="I293" i="2"/>
  <c r="K293" i="2"/>
  <c r="K292" i="2"/>
  <c r="I292" i="2"/>
  <c r="I291" i="2"/>
  <c r="K291" i="2"/>
  <c r="I290" i="2"/>
  <c r="K290" i="2"/>
  <c r="I289" i="2"/>
  <c r="K289" i="2"/>
  <c r="K288" i="2"/>
  <c r="I288" i="2"/>
  <c r="I287" i="2"/>
  <c r="K287" i="2"/>
  <c r="K286" i="2"/>
  <c r="I286" i="2"/>
  <c r="I285" i="2"/>
  <c r="K285" i="2"/>
  <c r="K284" i="2"/>
  <c r="I284" i="2"/>
  <c r="I281" i="2"/>
  <c r="K281" i="2"/>
  <c r="K280" i="2"/>
  <c r="I280" i="2"/>
  <c r="I278" i="2"/>
  <c r="K278" i="2"/>
  <c r="I277" i="2"/>
  <c r="K277" i="2"/>
  <c r="K276" i="2"/>
  <c r="I276" i="2"/>
  <c r="I275" i="2"/>
  <c r="K275" i="2"/>
  <c r="I272" i="2"/>
  <c r="K272" i="2"/>
  <c r="I269" i="2"/>
  <c r="K269" i="2"/>
  <c r="K268" i="2"/>
  <c r="I268" i="2"/>
  <c r="I266" i="2"/>
  <c r="K266" i="2"/>
  <c r="I265" i="2"/>
  <c r="K265" i="2"/>
  <c r="I263" i="2"/>
  <c r="K263" i="2"/>
  <c r="I261" i="2"/>
  <c r="K261" i="2"/>
  <c r="I260" i="2"/>
  <c r="K260" i="2"/>
  <c r="I258" i="2"/>
  <c r="K258" i="2"/>
  <c r="I256" i="2"/>
  <c r="K256" i="2"/>
  <c r="I255" i="2"/>
  <c r="K255" i="2"/>
  <c r="K254" i="2"/>
  <c r="I254" i="2"/>
  <c r="I251" i="2"/>
  <c r="K251" i="2"/>
  <c r="I250" i="2"/>
  <c r="K250" i="2"/>
  <c r="K249" i="2"/>
  <c r="I249" i="2"/>
  <c r="I248" i="2"/>
  <c r="K248" i="2"/>
  <c r="K247" i="2"/>
  <c r="I247" i="2"/>
  <c r="I246" i="2"/>
  <c r="K246" i="2"/>
  <c r="I245" i="2"/>
  <c r="K245" i="2"/>
  <c r="I243" i="2"/>
  <c r="K243" i="2"/>
  <c r="I242" i="2"/>
  <c r="K242" i="2"/>
  <c r="I240" i="2"/>
  <c r="K240" i="2"/>
  <c r="K239" i="2"/>
  <c r="I239" i="2"/>
  <c r="I238" i="2"/>
  <c r="K238" i="2"/>
  <c r="I237" i="2"/>
  <c r="K237" i="2"/>
  <c r="K236" i="2"/>
  <c r="I236" i="2"/>
  <c r="I233" i="2"/>
  <c r="K233" i="2"/>
  <c r="I232" i="2"/>
  <c r="K232" i="2"/>
  <c r="I231" i="2"/>
  <c r="K231" i="2"/>
  <c r="I230" i="2"/>
  <c r="K230" i="2"/>
  <c r="K229" i="2"/>
  <c r="I229" i="2"/>
  <c r="I227" i="2"/>
  <c r="K227" i="2"/>
  <c r="I226" i="2"/>
  <c r="K226" i="2"/>
  <c r="I225" i="2"/>
  <c r="K225" i="2"/>
  <c r="I224" i="2"/>
  <c r="K224" i="2"/>
  <c r="I222" i="2"/>
  <c r="K222" i="2"/>
  <c r="I221" i="2"/>
  <c r="K221" i="2"/>
  <c r="I220" i="2"/>
  <c r="K220" i="2"/>
  <c r="I219" i="2"/>
  <c r="K219" i="2"/>
  <c r="K218" i="2"/>
  <c r="I218" i="2"/>
  <c r="I215" i="2"/>
  <c r="K215" i="2"/>
  <c r="I213" i="2"/>
  <c r="K213" i="2"/>
  <c r="I212" i="2"/>
  <c r="K212" i="2"/>
  <c r="I208" i="2"/>
  <c r="K208" i="2"/>
  <c r="I206" i="2"/>
  <c r="K206" i="2"/>
  <c r="I203" i="2"/>
  <c r="K203" i="2"/>
  <c r="I202" i="2"/>
  <c r="K202" i="2"/>
  <c r="I200" i="2"/>
  <c r="K200" i="2"/>
  <c r="I196" i="2"/>
  <c r="K196" i="2"/>
  <c r="I194" i="2"/>
  <c r="K194" i="2"/>
  <c r="I191" i="2"/>
  <c r="K191" i="2"/>
  <c r="I190" i="2"/>
  <c r="K190" i="2"/>
  <c r="I188" i="2"/>
  <c r="K188" i="2"/>
  <c r="I184" i="2"/>
  <c r="K184" i="2"/>
  <c r="I182" i="2"/>
  <c r="K182" i="2"/>
  <c r="I172" i="2"/>
  <c r="K172" i="2"/>
  <c r="K171" i="2"/>
  <c r="I171" i="2"/>
  <c r="K169" i="2"/>
  <c r="I169" i="2"/>
  <c r="I166" i="2"/>
  <c r="K166" i="2"/>
  <c r="I164" i="2"/>
  <c r="K164" i="2"/>
  <c r="I154" i="2"/>
  <c r="K154" i="2"/>
  <c r="K153" i="2"/>
  <c r="I153" i="2"/>
  <c r="K151" i="2"/>
  <c r="I151" i="2"/>
  <c r="I148" i="2"/>
  <c r="K148" i="2"/>
  <c r="I146" i="2"/>
  <c r="K146" i="2"/>
  <c r="K145" i="2"/>
  <c r="I145" i="2"/>
  <c r="I136" i="2"/>
  <c r="K136" i="2"/>
  <c r="K135" i="2"/>
  <c r="I135" i="2"/>
  <c r="K133" i="2"/>
  <c r="I133" i="2"/>
  <c r="I130" i="2"/>
  <c r="K130" i="2"/>
  <c r="I128" i="2"/>
  <c r="K128" i="2"/>
  <c r="I118" i="2"/>
  <c r="K118" i="2"/>
  <c r="K117" i="2"/>
  <c r="I117" i="2"/>
  <c r="K115" i="2"/>
  <c r="I115" i="2"/>
  <c r="I112" i="2"/>
  <c r="K112" i="2"/>
  <c r="I110" i="2"/>
  <c r="K110" i="2"/>
  <c r="I100" i="2"/>
  <c r="K100" i="2"/>
  <c r="K99" i="2"/>
  <c r="I99" i="2"/>
  <c r="K97" i="2"/>
  <c r="I97" i="2"/>
  <c r="I94" i="2"/>
  <c r="K94" i="2"/>
  <c r="I92" i="2"/>
  <c r="K92" i="2"/>
  <c r="K91" i="2"/>
  <c r="I91" i="2"/>
  <c r="K87" i="2"/>
  <c r="I87" i="2"/>
  <c r="I82" i="2"/>
  <c r="K82" i="2"/>
  <c r="K81" i="2"/>
  <c r="I81" i="2"/>
  <c r="K79" i="2"/>
  <c r="I79" i="2"/>
  <c r="I76" i="2"/>
  <c r="K76" i="2"/>
  <c r="K75" i="2"/>
  <c r="I75" i="2"/>
  <c r="I74" i="2"/>
  <c r="K74" i="2"/>
  <c r="K73" i="2"/>
  <c r="I73" i="2"/>
  <c r="K69" i="2"/>
  <c r="I69" i="2"/>
  <c r="K67" i="2"/>
  <c r="I67" i="2"/>
  <c r="K63" i="2"/>
  <c r="I63" i="2"/>
  <c r="K61" i="2"/>
  <c r="I61" i="2"/>
  <c r="I58" i="2"/>
  <c r="K58" i="2"/>
  <c r="K57" i="2"/>
  <c r="I57" i="2"/>
  <c r="K55" i="2"/>
  <c r="I55" i="2"/>
  <c r="K51" i="2"/>
  <c r="I51" i="2"/>
  <c r="K49" i="2"/>
  <c r="I49" i="2"/>
  <c r="K45" i="2"/>
  <c r="I45" i="2"/>
  <c r="K43" i="2"/>
  <c r="I43" i="2"/>
  <c r="K39" i="2"/>
  <c r="I39" i="2"/>
  <c r="K33" i="2"/>
  <c r="I33" i="2"/>
  <c r="I28" i="2"/>
  <c r="K28" i="2"/>
  <c r="K27" i="2"/>
  <c r="I27" i="2"/>
  <c r="I22" i="2"/>
  <c r="K22" i="2"/>
  <c r="K21" i="2"/>
  <c r="I21" i="2"/>
  <c r="I15" i="2"/>
  <c r="K15" i="2" s="1"/>
  <c r="K10" i="2"/>
  <c r="K4" i="2"/>
  <c r="K9" i="2"/>
  <c r="H7" i="3"/>
  <c r="F9" i="3"/>
  <c r="F8" i="3"/>
  <c r="F4" i="3"/>
  <c r="H10" i="3"/>
  <c r="H5" i="3"/>
  <c r="H6" i="3"/>
  <c r="H4" i="3"/>
  <c r="H9" i="3"/>
  <c r="F7" i="3"/>
  <c r="F5" i="3"/>
  <c r="H8" i="3"/>
  <c r="F10" i="3"/>
  <c r="F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<sst xmlns="http://schemas.openxmlformats.org/spreadsheetml/2006/main" count="3343" uniqueCount="3141">
  <si>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</si>
  <si>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</si>
  <si>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</si>
  <si>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</si>
  <si>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</si>
  <si>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</si>
  <si>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</si>
  <si>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</si>
  <si>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</si>
  <si>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</si>
  <si>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</si>
  <si>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</si>
  <si>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</si>
  <si>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</si>
  <si>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</si>
  <si>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Columna16</t>
  </si>
  <si>
    <t>Columna17</t>
  </si>
  <si>
    <t>Columna18</t>
  </si>
  <si>
    <t>Columna19</t>
  </si>
  <si>
    <t>Columna20</t>
  </si>
  <si>
    <t>Columna21</t>
  </si>
  <si>
    <t>REGISTRO DE MOVIMIENTOS — DEPÓSITO AGROQUÍMICOS</t>
  </si>
  <si>
    <t>Color automático por Tipo_Mov  |  Col J: ingresar cantidad siempre positiva  |  Col K: signo automático (usado para stock)</t>
  </si>
  <si>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</si>
  <si>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</si>
  <si>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</si>
  <si>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</si>
  <si>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</si>
  <si>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</si>
  <si>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</si>
  <si>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</si>
  <si>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</si>
  <si>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</si>
  <si>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</si>
  <si>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</si>
  <si>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</si>
  <si>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</si>
  <si>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</si>
  <si>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</si>
  <si>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</si>
  <si>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Lote</t>
  </si>
  <si>
    <t>Ubicación</t>
  </si>
  <si>
    <t>MOV-001</t>
  </si>
  <si>
    <t>Semilla colza</t>
  </si>
  <si>
    <t>CURRY CL</t>
  </si>
  <si>
    <t>Semilla</t>
  </si>
  <si>
    <t>ERRO</t>
  </si>
  <si>
    <t>ENTRADA</t>
  </si>
  <si>
    <t>kg</t>
  </si>
  <si>
    <t>P1/B3/N1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</si>
  <si>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</si>
  <si>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</si>
  <si>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</si>
  <si>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</si>
  <si>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</si>
  <si>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</si>
  <si>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</si>
  <si>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Pendiente</t>
  </si>
  <si>
    <t>P1/B1/N1</t>
  </si>
  <si>
    <t>MOV-003</t>
  </si>
  <si>
    <t>Lontrel</t>
  </si>
  <si>
    <t>Clopyralid sal monoetanolamina 40.9%</t>
  </si>
  <si>
    <t>R1/B8/N1</t>
  </si>
  <si>
    <t>MOV-004</t>
  </si>
  <si>
    <t>Preside</t>
  </si>
  <si>
    <t>Flumetsulam 11,35%</t>
  </si>
  <si>
    <t>Preemergente</t>
  </si>
  <si>
    <t>R1/B6-5/N1-2</t>
  </si>
  <si>
    <t>MOV-005</t>
  </si>
  <si>
    <t>MOV-006</t>
  </si>
  <si>
    <t>Tordon 24K</t>
  </si>
  <si>
    <t>Picloram 24,9%</t>
  </si>
  <si>
    <t>MOV-007</t>
  </si>
  <si>
    <t>Tronador</t>
  </si>
  <si>
    <t>Halauxifen metil 3.3% + Aminopyralid 2.7% + Metsulfuron metil 20%</t>
  </si>
  <si>
    <t>Pack</t>
  </si>
  <si>
    <t>R1/B7/N1-2</t>
  </si>
  <si>
    <t>MOV-008</t>
  </si>
  <si>
    <t>Venceweed extra</t>
  </si>
  <si>
    <t>2,4-Db-Butilo 93.1%</t>
  </si>
  <si>
    <t>R1/B1-2/N1-2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</si>
  <si>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</si>
  <si>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</si>
  <si>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</si>
  <si>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</si>
  <si>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</si>
  <si>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</si>
  <si>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</si>
  <si>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</si>
  <si>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</si>
  <si>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</si>
  <si>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</si>
  <si>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</si>
  <si>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</si>
  <si>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</si>
  <si>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</si>
  <si>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</si>
  <si>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R2/B1-3/N1-2</t>
  </si>
  <si>
    <t>MOV-013</t>
  </si>
  <si>
    <t>Semilla Raigrás</t>
  </si>
  <si>
    <t>Granicor</t>
  </si>
  <si>
    <t>MOV-014</t>
  </si>
  <si>
    <t>Starane Xtra</t>
  </si>
  <si>
    <t>Fluroxypyr Meptil 45,52%</t>
  </si>
  <si>
    <t>MOV-015</t>
  </si>
  <si>
    <t>Pixxaro</t>
  </si>
  <si>
    <t>Fluroxypyr meptyl 34,91% + Halauxyfen methyl 1.64% + Cloquintocet mexyl 1.57%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</si>
  <si>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</si>
  <si>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</si>
  <si>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</si>
  <si>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</si>
  <si>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</si>
  <si>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</si>
  <si>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</si>
  <si>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</si>
  <si>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</si>
  <si>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</si>
  <si>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</si>
  <si>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</si>
  <si>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</si>
  <si>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</si>
  <si>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</si>
  <si>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MOV-024</t>
  </si>
  <si>
    <t>MOV-025</t>
  </si>
  <si>
    <t>MOV-026</t>
  </si>
  <si>
    <t>MOV-027</t>
  </si>
  <si>
    <t>MOV-028</t>
  </si>
  <si>
    <t>MOV-029</t>
  </si>
  <si>
    <t>MOV-030</t>
  </si>
  <si>
    <t>MOV-031</t>
  </si>
  <si>
    <t>MOV-032</t>
  </si>
  <si>
    <t>MOV-033</t>
  </si>
  <si>
    <t>MOV-034</t>
  </si>
  <si>
    <t>MOV-035</t>
  </si>
  <si>
    <t>MOV-036</t>
  </si>
  <si>
    <t>MOV-037</t>
  </si>
  <si>
    <t>MOV-038</t>
  </si>
  <si>
    <t>MOV-039</t>
  </si>
  <si>
    <t>MOV-040</t>
  </si>
  <si>
    <t>MOV-041</t>
  </si>
  <si>
    <t>MOV-042</t>
  </si>
  <si>
    <t>MOV-043</t>
  </si>
  <si>
    <t>MOV-044</t>
  </si>
  <si>
    <t>MOV-045</t>
  </si>
  <si>
    <t>MOV-046</t>
  </si>
  <si>
    <t>MOV-047</t>
  </si>
  <si>
    <t>MOV-048</t>
  </si>
  <si>
    <t>MOV-049</t>
  </si>
  <si>
    <t>MOV-050</t>
  </si>
  <si>
    <t>MOV-051</t>
  </si>
  <si>
    <t>MOV-052</t>
  </si>
  <si>
    <t>MOV-053</t>
  </si>
  <si>
    <t>MOV-054</t>
  </si>
  <si>
    <t>MOV-055</t>
  </si>
  <si>
    <t>MOV-056</t>
  </si>
  <si>
    <t>MOV-057</t>
  </si>
  <si>
    <t>MOV-058</t>
  </si>
  <si>
    <t>MOV-059</t>
  </si>
  <si>
    <t>MOV-060</t>
  </si>
  <si>
    <t>MOV-061</t>
  </si>
  <si>
    <t>MOV-062</t>
  </si>
  <si>
    <t>MOV-063</t>
  </si>
  <si>
    <t>MOV-064</t>
  </si>
  <si>
    <t>MOV-065</t>
  </si>
  <si>
    <t>MOV-066</t>
  </si>
  <si>
    <t>MOV-067</t>
  </si>
  <si>
    <t>MOV-068</t>
  </si>
  <si>
    <t>MOV-069</t>
  </si>
  <si>
    <t>MOV-070</t>
  </si>
  <si>
    <t>MOV-071</t>
  </si>
  <si>
    <t>MOV-072</t>
  </si>
  <si>
    <t>MOV-073</t>
  </si>
  <si>
    <t>MOV-074</t>
  </si>
  <si>
    <t>MOV-075</t>
  </si>
  <si>
    <t>MOV-076</t>
  </si>
  <si>
    <t>MOV-077</t>
  </si>
  <si>
    <t>MOV-078</t>
  </si>
  <si>
    <t>MOV-079</t>
  </si>
  <si>
    <t>MOV-080</t>
  </si>
  <si>
    <t>MOV-081</t>
  </si>
  <si>
    <t>MOV-082</t>
  </si>
  <si>
    <t>MOV-083</t>
  </si>
  <si>
    <t>MOV-084</t>
  </si>
  <si>
    <t>MOV-085</t>
  </si>
  <si>
    <t>MOV-086</t>
  </si>
  <si>
    <t>MOV-087</t>
  </si>
  <si>
    <t>MOV-088</t>
  </si>
  <si>
    <t>MOV-089</t>
  </si>
  <si>
    <t>MOV-090</t>
  </si>
  <si>
    <t>MOV-091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</si>
  <si>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</si>
  <si>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</si>
  <si>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</si>
  <si>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</si>
  <si>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</si>
  <si>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</si>
  <si>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</si>
  <si>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</si>
  <si>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</si>
  <si>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</si>
  <si>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</si>
  <si>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</si>
  <si>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</si>
  <si>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</si>
  <si>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</si>
  <si>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</si>
  <si>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</si>
  <si>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</si>
  <si>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</si>
  <si>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</si>
  <si>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</si>
  <si>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</si>
  <si>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</si>
  <si>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</si>
  <si>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</si>
  <si>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</si>
  <si>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</si>
  <si>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</si>
  <si>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</si>
  <si>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</si>
  <si>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</si>
  <si>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</si>
  <si>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</si>
  <si>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</si>
  <si>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</si>
  <si>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</si>
  <si>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</si>
  <si>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</si>
  <si>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</si>
  <si>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</si>
  <si>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</si>
  <si>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</si>
  <si>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</si>
  <si>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</si>
  <si>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</si>
  <si>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</si>
  <si>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</si>
  <si>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</si>
  <si>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</si>
  <si>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</si>
  <si>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</si>
  <si>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</si>
  <si>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</si>
  <si>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</si>
  <si>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</si>
  <si>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</si>
  <si>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</si>
  <si>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</si>
  <si>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</si>
  <si>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</si>
  <si>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</si>
  <si>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</si>
  <si>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</si>
  <si>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</si>
  <si>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</si>
  <si>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</si>
  <si>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</si>
  <si>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</si>
  <si>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</si>
  <si>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</si>
  <si>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</si>
  <si>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</si>
  <si>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</si>
  <si>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</si>
  <si>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</si>
  <si>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</si>
  <si>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</si>
  <si>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</si>
  <si>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</si>
  <si>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</si>
  <si>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</si>
  <si>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</si>
  <si>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</si>
  <si>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</si>
  <si>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</si>
  <si>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</si>
  <si>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</si>
  <si>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</si>
  <si>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</si>
  <si>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</si>
  <si>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</si>
  <si>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</si>
  <si>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</si>
  <si>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</si>
  <si>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</si>
  <si>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</si>
  <si>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</si>
  <si>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</si>
  <si>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</si>
  <si>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</si>
  <si>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</si>
  <si>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</si>
  <si>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</si>
  <si>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</si>
  <si>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</si>
  <si>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</si>
  <si>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</si>
  <si>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</si>
  <si>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</si>
  <si>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</si>
  <si>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</si>
  <si>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</si>
  <si>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</si>
  <si>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</si>
  <si>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</si>
  <si>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</si>
  <si>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</si>
  <si>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</si>
  <si>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</si>
  <si>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</si>
  <si>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</si>
  <si>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</si>
  <si>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</si>
  <si>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</si>
  <si>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</si>
  <si>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</si>
  <si>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</si>
  <si>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</si>
  <si>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</si>
  <si>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</si>
  <si>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</si>
  <si>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</si>
  <si>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</si>
  <si>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</si>
  <si>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</si>
  <si>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</si>
  <si>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</si>
  <si>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</si>
  <si>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</si>
  <si>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</si>
  <si>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</si>
  <si>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</si>
  <si>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</si>
  <si>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</si>
  <si>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</si>
  <si>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</si>
  <si>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</si>
  <si>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</si>
  <si>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</si>
  <si>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</si>
  <si>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</si>
  <si>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</si>
  <si>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</si>
  <si>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</si>
  <si>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</si>
  <si>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</si>
  <si>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</si>
  <si>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</si>
  <si>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</si>
  <si>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</si>
  <si>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</si>
  <si>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</si>
  <si>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</si>
  <si>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</si>
  <si>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</si>
  <si>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</si>
  <si>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</si>
  <si>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</si>
  <si>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</si>
  <si>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</si>
  <si>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</si>
  <si>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</si>
  <si>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</si>
  <si>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</si>
  <si>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</si>
  <si>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</si>
  <si>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</si>
  <si>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</si>
  <si>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</si>
  <si>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</si>
  <si>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</si>
  <si>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</si>
  <si>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</si>
  <si>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</si>
  <si>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</si>
  <si>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</si>
  <si>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</si>
  <si>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</si>
  <si>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</si>
  <si>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</si>
  <si>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</si>
  <si>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</si>
  <si>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</si>
  <si>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</si>
  <si>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</si>
  <si>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</si>
  <si>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</si>
  <si>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</si>
  <si>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</si>
  <si>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</si>
  <si>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</si>
  <si>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</si>
  <si>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</si>
  <si>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</si>
  <si>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</si>
  <si>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</si>
  <si>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</si>
  <si>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</si>
  <si>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</si>
  <si>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</si>
  <si>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</si>
  <si>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</si>
  <si>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</si>
  <si>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</si>
  <si>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</si>
  <si>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</si>
  <si>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</si>
  <si>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</si>
  <si>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</si>
  <si>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</si>
  <si>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</si>
  <si>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</si>
  <si>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</si>
  <si>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</si>
  <si>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</si>
  <si>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</si>
  <si>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</si>
  <si>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</si>
  <si>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</si>
  <si>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</si>
  <si>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</si>
  <si>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</si>
  <si>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</si>
  <si>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</si>
  <si>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</si>
  <si>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</si>
  <si>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</si>
  <si>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</si>
  <si>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</si>
  <si>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</si>
  <si>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</si>
  <si>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</si>
  <si>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</si>
  <si>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</si>
  <si>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</si>
  <si>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</si>
  <si>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</si>
  <si>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</si>
  <si>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</si>
  <si>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</si>
  <si>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</si>
  <si>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</si>
  <si>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</si>
  <si>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</si>
  <si>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</si>
  <si>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</si>
  <si>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</si>
  <si>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</si>
  <si>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</si>
  <si>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</si>
  <si>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</si>
  <si>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</si>
  <si>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</si>
  <si>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</si>
  <si>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</si>
  <si>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</si>
  <si>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</si>
  <si>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</si>
  <si>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</si>
  <si>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</si>
  <si>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</si>
  <si>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</si>
  <si>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</si>
  <si>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</si>
  <si>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</si>
  <si>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</si>
  <si>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</si>
  <si>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</si>
  <si>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</si>
  <si>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</si>
  <si>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</si>
  <si>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</si>
  <si>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</si>
  <si>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</si>
  <si>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</si>
  <si>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</si>
  <si>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</si>
  <si>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</si>
  <si>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</si>
  <si>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</si>
  <si>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</si>
  <si>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</si>
  <si>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</si>
  <si>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</si>
  <si>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</si>
  <si>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</si>
  <si>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</si>
  <si>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</si>
  <si>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</si>
  <si>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</si>
  <si>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</si>
  <si>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</si>
  <si>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</si>
  <si>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</si>
  <si>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</si>
  <si>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</si>
  <si>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</si>
  <si>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</si>
  <si>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</si>
  <si>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</si>
  <si>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</si>
  <si>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</si>
  <si>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</si>
  <si>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</si>
  <si>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</si>
  <si>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</si>
  <si>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</si>
  <si>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</si>
  <si>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</si>
  <si>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</si>
  <si>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</si>
  <si>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</si>
  <si>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</si>
  <si>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</si>
  <si>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</si>
  <si>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</si>
  <si>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</si>
  <si>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</si>
  <si>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</si>
  <si>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</si>
  <si>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</si>
  <si>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</si>
  <si>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</si>
  <si>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</si>
  <si>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</si>
  <si>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</si>
  <si>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</si>
  <si>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</si>
  <si>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</si>
  <si>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</si>
  <si>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</si>
  <si>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</si>
  <si>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</si>
  <si>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</si>
  <si>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</si>
  <si>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</si>
  <si>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</si>
  <si>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</si>
  <si>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</si>
  <si>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</si>
  <si>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</si>
  <si>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</si>
  <si>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</si>
  <si>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</si>
  <si>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</si>
  <si>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</si>
  <si>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</si>
  <si>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</si>
  <si>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</si>
  <si>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</si>
  <si>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</si>
  <si>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</si>
  <si>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</si>
  <si>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</si>
  <si>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</si>
  <si>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</si>
  <si>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</si>
  <si>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</si>
  <si>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</si>
  <si>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</si>
  <si>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</si>
  <si>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</si>
  <si>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</si>
  <si>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</si>
  <si>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</si>
  <si>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</si>
  <si>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</si>
  <si>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</si>
  <si>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</si>
  <si>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</si>
  <si>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</si>
  <si>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</si>
  <si>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</si>
  <si>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</si>
  <si>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</si>
  <si>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</si>
  <si>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</si>
  <si>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</si>
  <si>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</si>
  <si>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</si>
  <si>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</si>
  <si>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</si>
  <si>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</si>
  <si>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</si>
  <si>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</si>
  <si>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</si>
  <si>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</si>
  <si>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</si>
  <si>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</si>
  <si>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</si>
  <si>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</si>
  <si>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</si>
  <si>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</si>
  <si>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</si>
  <si>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</si>
  <si>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</si>
  <si>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</si>
  <si>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</si>
  <si>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</si>
  <si>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</si>
  <si>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</si>
  <si>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</si>
  <si>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</si>
  <si>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</si>
  <si>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</si>
  <si>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</si>
  <si>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</si>
  <si>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</si>
  <si>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</si>
  <si>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</si>
  <si>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</si>
  <si>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</si>
  <si>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</si>
  <si>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</si>
  <si>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</si>
  <si>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</si>
  <si>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</si>
  <si>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</si>
  <si>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</si>
  <si>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</si>
  <si>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</si>
  <si>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</si>
  <si>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</si>
  <si>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</si>
  <si>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</si>
  <si>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</si>
  <si>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</si>
  <si>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</si>
  <si>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</si>
  <si>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</si>
  <si>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</si>
  <si>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</si>
  <si>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</si>
  <si>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</si>
  <si>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</si>
  <si>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</si>
  <si>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</si>
  <si>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</si>
  <si>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</si>
  <si>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</si>
  <si>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</si>
  <si>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</si>
  <si>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</si>
  <si>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</si>
  <si>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</si>
  <si>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</si>
  <si>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</si>
  <si>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</si>
  <si>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</si>
  <si>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</si>
  <si>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</si>
  <si>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</si>
  <si>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</si>
  <si>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</si>
  <si>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</si>
  <si>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</si>
  <si>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</si>
  <si>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</si>
  <si>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</si>
  <si>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</si>
  <si>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</si>
  <si>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</si>
  <si>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</si>
  <si>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</si>
  <si>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</si>
  <si>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</si>
  <si>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</si>
  <si>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</si>
  <si>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</si>
  <si>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</si>
  <si>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</si>
  <si>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</si>
  <si>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</si>
  <si>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</si>
  <si>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</si>
  <si>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</si>
  <si>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</si>
  <si>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</si>
  <si>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</si>
  <si>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</si>
  <si>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</si>
  <si>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</si>
  <si>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</si>
  <si>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</si>
  <si>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</si>
  <si>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</si>
  <si>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</si>
  <si>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</si>
  <si>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</si>
  <si>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</si>
  <si>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</si>
  <si>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</si>
  <si>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</si>
  <si>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</si>
  <si>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</si>
  <si>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</si>
  <si>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</si>
  <si>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</si>
  <si>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</si>
  <si>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</si>
  <si>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</si>
  <si>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</si>
  <si>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</si>
  <si>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</si>
  <si>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</si>
  <si>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</si>
  <si>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</si>
  <si>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</si>
  <si>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</si>
  <si>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</si>
  <si>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</si>
  <si>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</si>
  <si>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</si>
  <si>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</si>
  <si>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</si>
  <si>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</si>
  <si>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</si>
  <si>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</si>
  <si>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</si>
  <si>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</si>
  <si>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</si>
  <si>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</si>
  <si>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</si>
  <si>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</si>
  <si>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</si>
  <si>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</si>
  <si>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</si>
  <si>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</si>
  <si>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</si>
  <si>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</si>
  <si>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</si>
  <si>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</si>
  <si>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</si>
  <si>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</si>
  <si>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</si>
  <si>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</si>
  <si>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</si>
  <si>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</si>
  <si>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</si>
  <si>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</si>
  <si>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</si>
  <si>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</si>
  <si>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</si>
  <si>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</si>
  <si>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</si>
  <si>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</si>
  <si>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</si>
  <si>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</si>
  <si>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</si>
  <si>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</si>
  <si>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</si>
  <si>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</si>
  <si>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</si>
  <si>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</si>
  <si>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</si>
  <si>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</si>
  <si>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</si>
  <si>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</si>
  <si>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</si>
  <si>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</si>
  <si>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</si>
  <si>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</si>
  <si>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</si>
  <si>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</si>
  <si>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</si>
  <si>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</si>
  <si>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</si>
  <si>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</si>
  <si>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</si>
  <si>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</si>
  <si>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</si>
  <si>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</si>
  <si>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</si>
  <si>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</si>
  <si>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</si>
  <si>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</si>
  <si>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</si>
  <si>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</si>
  <si>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</si>
  <si>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</si>
  <si>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</si>
  <si>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</si>
  <si>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</si>
  <si>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</si>
  <si>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</si>
  <si>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</si>
  <si>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</si>
  <si>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</si>
  <si>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</si>
  <si>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</si>
  <si>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</si>
  <si>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</si>
  <si>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</si>
  <si>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</si>
  <si>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</si>
  <si>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</si>
  <si>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</si>
  <si>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</si>
  <si>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</si>
  <si>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</si>
  <si>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</si>
  <si>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</si>
  <si>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</si>
  <si>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</si>
  <si>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</si>
  <si>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</si>
  <si>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</si>
  <si>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</si>
  <si>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</si>
  <si>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</si>
  <si>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</si>
  <si>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</si>
  <si>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</si>
  <si>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</si>
  <si>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</si>
  <si>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</si>
  <si>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</si>
  <si>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</si>
  <si>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</si>
  <si>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</si>
  <si>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</si>
  <si>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</si>
  <si>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</si>
  <si>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</si>
  <si>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</si>
  <si>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</si>
  <si>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</si>
  <si>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</si>
  <si>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</si>
  <si>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</si>
  <si>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</si>
  <si>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</si>
  <si>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</si>
  <si>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</si>
  <si>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</si>
  <si>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</si>
  <si>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</si>
  <si>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</si>
  <si>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</si>
  <si>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</si>
  <si>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</si>
  <si>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</si>
  <si>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</si>
  <si>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</si>
  <si>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</si>
  <si>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</si>
  <si>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</si>
  <si>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</si>
  <si>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</si>
  <si>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</si>
  <si>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</si>
  <si>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</si>
  <si>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</si>
  <si>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</si>
  <si>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</si>
  <si>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</si>
  <si>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</si>
  <si>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</si>
  <si>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</si>
  <si>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</si>
  <si>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</si>
  <si>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</si>
  <si>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</si>
  <si>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</si>
  <si>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</si>
  <si>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</si>
  <si>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</si>
  <si>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</si>
  <si>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</si>
  <si>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</si>
  <si>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</si>
  <si>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</si>
  <si>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</si>
  <si>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</si>
  <si>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</si>
  <si>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</si>
  <si>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</si>
  <si>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</si>
  <si>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</si>
  <si>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</si>
  <si>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</si>
  <si>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</si>
  <si>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</si>
  <si>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</si>
  <si>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</si>
  <si>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</si>
  <si>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</si>
  <si>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</si>
  <si>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</si>
  <si>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</si>
  <si>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</si>
  <si>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</si>
  <si>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</si>
  <si>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</si>
  <si>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</si>
  <si>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</si>
  <si>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</si>
  <si>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</si>
  <si>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</si>
  <si>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</si>
  <si>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</si>
  <si>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</si>
  <si>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</si>
  <si>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</si>
  <si>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</si>
  <si>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</si>
  <si>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</si>
  <si>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</si>
  <si>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</si>
  <si>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</si>
  <si>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</si>
  <si>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</si>
  <si>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</si>
  <si>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</si>
  <si>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</si>
  <si>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</si>
  <si>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</si>
  <si>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</si>
  <si>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</si>
  <si>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</si>
  <si>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</si>
  <si>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</si>
  <si>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</si>
  <si>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</si>
  <si>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</si>
  <si>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</si>
  <si>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</si>
  <si>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</si>
  <si>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</si>
  <si>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</si>
  <si>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</si>
  <si>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</si>
  <si>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</si>
  <si>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</si>
  <si>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</si>
  <si>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</si>
  <si>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</si>
  <si>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</si>
  <si>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</si>
  <si>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</si>
  <si>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</si>
  <si>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</si>
  <si>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</si>
  <si>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</si>
  <si>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</si>
  <si>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</si>
  <si>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</si>
  <si>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</si>
  <si>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</si>
  <si>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</si>
  <si>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</si>
  <si>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</si>
  <si>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</si>
  <si>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</si>
  <si>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</si>
  <si>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</si>
  <si>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</si>
  <si>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</si>
  <si>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</si>
  <si>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</si>
  <si>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</si>
  <si>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</si>
  <si>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</si>
  <si>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</si>
  <si>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</si>
  <si>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</si>
  <si>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</si>
  <si>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</si>
  <si>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</si>
  <si>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</si>
  <si>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</si>
  <si>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</si>
  <si>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</si>
  <si>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</si>
  <si>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</si>
  <si>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</si>
  <si>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</si>
  <si>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</si>
  <si>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</si>
  <si>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</si>
  <si>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</si>
  <si>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</si>
  <si>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</si>
  <si>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</si>
  <si>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</si>
  <si>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</si>
  <si>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</si>
  <si>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</si>
  <si>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</si>
  <si>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</si>
  <si>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</si>
  <si>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</si>
  <si>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</si>
  <si>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</si>
  <si>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</si>
  <si>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</si>
  <si>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</si>
  <si>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</si>
  <si>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</si>
  <si>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</si>
  <si>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</si>
  <si>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</si>
  <si>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</si>
  <si>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</si>
  <si>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</si>
  <si>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</si>
  <si>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</si>
  <si>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</si>
  <si>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</si>
  <si>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</si>
  <si>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</si>
  <si>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</si>
  <si>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</si>
  <si>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</si>
  <si>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</si>
  <si>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</si>
  <si>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</si>
  <si>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</si>
  <si>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</si>
  <si>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</si>
  <si>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</si>
  <si>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</si>
  <si>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</si>
  <si>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</si>
  <si>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</si>
  <si>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</si>
  <si>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</si>
  <si>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</si>
  <si>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</si>
  <si>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</si>
  <si>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</si>
  <si>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</si>
  <si>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</si>
  <si>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</si>
  <si>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</si>
  <si>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</si>
  <si>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</si>
  <si>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</si>
  <si>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</si>
  <si>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</si>
  <si>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</si>
  <si>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</si>
  <si>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</si>
  <si>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</si>
  <si>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</si>
  <si>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</si>
  <si>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</si>
  <si>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</si>
  <si>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</si>
  <si>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</si>
  <si>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</si>
  <si>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</si>
  <si>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</si>
  <si>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</si>
  <si>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</si>
  <si>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</si>
  <si>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</si>
  <si>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</si>
  <si>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</si>
  <si>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</si>
  <si>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</si>
  <si>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</si>
  <si>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</si>
  <si>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</si>
  <si>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</si>
  <si>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</si>
  <si>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</si>
  <si>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</si>
  <si>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</si>
  <si>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</si>
  <si>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</si>
  <si>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</si>
  <si>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</si>
  <si>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</si>
  <si>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</si>
  <si>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</si>
  <si>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</si>
  <si>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</si>
  <si>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</si>
  <si>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</si>
  <si>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</si>
  <si>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</si>
  <si>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</si>
  <si>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</si>
  <si>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</si>
  <si>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</si>
  <si>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</si>
  <si>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</si>
  <si>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</si>
  <si>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</si>
  <si>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</si>
  <si>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</si>
  <si>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</si>
  <si>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</si>
  <si>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</si>
  <si>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</si>
  <si>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</si>
  <si>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</si>
  <si>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</si>
  <si>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</si>
  <si>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</si>
  <si>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</si>
  <si>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</si>
  <si>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</si>
  <si>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</si>
  <si>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</si>
  <si>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</si>
  <si>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</si>
  <si>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</si>
  <si>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</si>
  <si>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</si>
  <si>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</si>
  <si>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</si>
  <si>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</si>
  <si>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</si>
  <si>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</si>
  <si>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</si>
  <si>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</si>
  <si>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</si>
  <si>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</si>
  <si>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</si>
  <si>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</si>
  <si>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</si>
  <si>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</si>
  <si>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</si>
  <si>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</si>
  <si>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</si>
  <si>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</si>
  <si>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</si>
  <si>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</si>
  <si>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</si>
  <si>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</si>
  <si>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</si>
  <si>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</si>
  <si>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</si>
  <si>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</si>
  <si>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</si>
  <si>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</si>
  <si>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</si>
  <si>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</si>
  <si>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</si>
  <si>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</si>
  <si>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</si>
  <si>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</si>
  <si>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</si>
  <si>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</si>
  <si>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</si>
  <si>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</si>
  <si>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</si>
  <si>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</si>
  <si>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</si>
  <si>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</si>
  <si>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</si>
  <si>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</si>
  <si>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</si>
  <si>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</si>
  <si>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</si>
  <si>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</si>
  <si>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</si>
  <si>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</si>
  <si>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</si>
  <si>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</si>
  <si>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</si>
  <si>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</si>
  <si>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</si>
  <si>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</si>
  <si>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</si>
  <si>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</si>
  <si>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</si>
  <si>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</si>
  <si>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</si>
  <si>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</si>
  <si>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</si>
  <si>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</si>
  <si>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</si>
  <si>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</si>
  <si>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</si>
  <si>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</si>
  <si>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</si>
  <si>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</si>
  <si>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</si>
  <si>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</si>
  <si>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</si>
  <si>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</si>
  <si>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</si>
  <si>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</si>
  <si>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</si>
  <si>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</si>
  <si>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</si>
  <si>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</si>
  <si>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</si>
  <si>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</si>
  <si>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</si>
  <si>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</si>
  <si>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</si>
  <si>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</si>
  <si>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</si>
  <si>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</si>
  <si>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</si>
  <si>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</si>
  <si>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</si>
  <si>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</si>
  <si>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</si>
  <si>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</si>
  <si>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</si>
  <si>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</si>
  <si>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</si>
  <si>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</si>
  <si>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</si>
  <si>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</si>
  <si>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</si>
  <si>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</si>
  <si>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</si>
  <si>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</si>
  <si>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</si>
  <si>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</si>
  <si>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</si>
  <si>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</si>
  <si>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</si>
  <si>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</si>
  <si>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</si>
  <si>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</si>
  <si>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</si>
  <si>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</si>
  <si>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</si>
  <si>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</si>
  <si>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</si>
  <si>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</si>
  <si>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</si>
  <si>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</si>
  <si>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</si>
  <si>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</si>
  <si>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</si>
  <si>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</si>
  <si>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</si>
  <si>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</si>
  <si>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</si>
  <si>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</si>
  <si>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</si>
  <si>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</si>
  <si>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</si>
  <si>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</si>
  <si>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</si>
  <si>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</si>
  <si>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</si>
  <si>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</si>
  <si>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</si>
  <si>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</si>
  <si>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</si>
  <si>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</si>
  <si>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</si>
  <si>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</si>
  <si>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</si>
  <si>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</si>
  <si>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</si>
  <si>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</si>
  <si>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</si>
  <si>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</si>
  <si>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</si>
  <si>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</si>
  <si>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</si>
  <si>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</si>
  <si>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</si>
  <si>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</si>
  <si>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</si>
  <si>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</si>
  <si>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</si>
  <si>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</si>
  <si>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</si>
  <si>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</si>
  <si>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</si>
  <si>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</si>
  <si>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</si>
  <si>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</si>
  <si>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</si>
  <si>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</si>
  <si>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</si>
  <si>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</si>
  <si>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</si>
  <si>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</si>
  <si>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</si>
  <si>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</si>
  <si>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</si>
  <si>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</si>
  <si>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</si>
  <si>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</si>
  <si>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</si>
  <si>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</si>
  <si>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</si>
  <si>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</si>
  <si>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</si>
  <si>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</si>
  <si>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</si>
  <si>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</si>
  <si>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</si>
  <si>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</si>
  <si>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</si>
  <si>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</si>
  <si>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</si>
  <si>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</si>
  <si>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</si>
  <si>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</si>
  <si>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</si>
  <si>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</si>
  <si>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</si>
  <si>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</si>
  <si>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</si>
  <si>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</si>
  <si>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</si>
  <si>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</si>
  <si>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</si>
  <si>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</si>
  <si>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</si>
  <si>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</si>
  <si>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</si>
  <si>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</si>
  <si>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</si>
  <si>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</si>
  <si>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</si>
  <si>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</si>
  <si>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</si>
  <si>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</si>
  <si>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</si>
  <si>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</si>
  <si>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</si>
  <si>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</si>
  <si>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</si>
  <si>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</si>
  <si>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</si>
  <si>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</si>
  <si>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</si>
  <si>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</si>
  <si>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</si>
  <si>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</si>
  <si>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</si>
  <si>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</si>
  <si>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</si>
  <si>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</si>
  <si>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</si>
  <si>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</si>
  <si>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</si>
  <si>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</si>
  <si>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</si>
  <si>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</si>
  <si>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</si>
  <si>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</si>
  <si>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</si>
  <si>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</si>
  <si>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</si>
  <si>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</si>
  <si>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</si>
  <si>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</si>
  <si>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</si>
  <si>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</si>
  <si>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</si>
  <si>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</si>
  <si>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</si>
  <si>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</si>
  <si>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</si>
  <si>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</si>
  <si>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</si>
  <si>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</si>
  <si>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</si>
  <si>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</si>
  <si>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</si>
  <si>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</si>
  <si>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</si>
  <si>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</si>
  <si>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</si>
  <si>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</si>
  <si>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</si>
  <si>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</si>
  <si>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</si>
  <si>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</si>
  <si>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</si>
  <si>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</si>
  <si>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</si>
  <si>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</si>
  <si>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</si>
  <si>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</si>
  <si>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</si>
  <si>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</si>
  <si>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</si>
  <si>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</si>
  <si>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</si>
  <si>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</si>
  <si>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</si>
  <si>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</si>
  <si>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</si>
  <si>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</si>
  <si>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</si>
  <si>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</si>
  <si>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</si>
  <si>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</si>
  <si>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</si>
  <si>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</si>
  <si>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</si>
  <si>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</si>
  <si>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</si>
  <si>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</si>
  <si>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</si>
  <si>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</si>
  <si>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</si>
  <si>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</si>
  <si>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</si>
  <si>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</si>
  <si>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</si>
  <si>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</si>
  <si>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</si>
  <si>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</si>
  <si>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</si>
  <si>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</si>
  <si>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</si>
  <si>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</si>
  <si>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</si>
  <si>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</si>
  <si>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</si>
  <si>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</si>
  <si>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</si>
  <si>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</si>
  <si>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</si>
  <si>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</si>
  <si>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</si>
  <si>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</si>
  <si>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</si>
  <si>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</si>
  <si>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</si>
  <si>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</si>
  <si>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</si>
  <si>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</si>
  <si>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</si>
  <si>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</si>
  <si>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</si>
  <si>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</si>
  <si>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</si>
  <si>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</si>
  <si>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</si>
  <si>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</si>
  <si>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</si>
  <si>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</si>
  <si>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</si>
  <si>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</si>
  <si>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</si>
  <si>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</si>
  <si>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</si>
  <si>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</si>
  <si>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</si>
  <si>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</si>
  <si>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</si>
  <si>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</si>
  <si>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</si>
  <si>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</si>
  <si>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</si>
  <si>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</si>
  <si>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</si>
  <si>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</si>
  <si>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</si>
  <si>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</si>
  <si>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</si>
  <si>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</si>
  <si>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</si>
  <si>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</si>
  <si>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</si>
  <si>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</si>
  <si>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</si>
  <si>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</si>
  <si>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</si>
  <si>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</si>
  <si>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</si>
  <si>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</si>
  <si>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</si>
  <si>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</si>
  <si>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</si>
  <si>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</si>
  <si>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</si>
  <si>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</si>
  <si>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</si>
  <si>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</si>
  <si>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</si>
  <si>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</si>
  <si>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</si>
  <si>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</si>
  <si>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</si>
  <si>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</si>
  <si>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</si>
  <si>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</si>
  <si>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</si>
  <si>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</si>
  <si>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</si>
  <si>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</si>
  <si>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</si>
  <si>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</si>
  <si>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</si>
  <si>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</si>
  <si>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</si>
  <si>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</si>
  <si>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</si>
  <si>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</si>
  <si>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</si>
  <si>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</si>
  <si>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</si>
  <si>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</si>
  <si>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</si>
  <si>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</si>
  <si>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</si>
  <si>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</si>
  <si>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</si>
  <si>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</si>
  <si>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</si>
  <si>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</si>
  <si>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</si>
  <si>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</si>
  <si>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</si>
  <si>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</si>
  <si>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</si>
  <si>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</si>
  <si>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</si>
  <si>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</si>
  <si>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</si>
  <si>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</si>
  <si>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</si>
  <si>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</si>
  <si>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</si>
  <si>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</si>
  <si>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</si>
  <si>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</si>
  <si>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</si>
  <si>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</si>
  <si>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</si>
  <si>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</si>
  <si>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</si>
  <si>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</si>
  <si>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</si>
  <si>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</si>
  <si>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</si>
  <si>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</si>
  <si>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</si>
  <si>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</si>
  <si>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</si>
  <si>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</si>
  <si>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</si>
  <si>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</si>
  <si>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</si>
  <si>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</si>
  <si>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</si>
  <si>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</si>
  <si>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</si>
  <si>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</si>
  <si>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</si>
  <si>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</si>
  <si>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</si>
  <si>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</si>
  <si>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</si>
  <si>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</si>
  <si>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</si>
  <si>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</si>
  <si>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</si>
  <si>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</si>
  <si>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</si>
  <si>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</si>
  <si>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</si>
  <si>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</si>
  <si>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</si>
  <si>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</si>
  <si>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</si>
  <si>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</si>
  <si>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</si>
  <si>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</si>
  <si>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</si>
  <si>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</si>
  <si>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</si>
  <si>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</si>
  <si>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</si>
  <si>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</si>
  <si>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</si>
  <si>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</si>
  <si>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</si>
  <si>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</si>
  <si>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</si>
  <si>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</si>
  <si>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</si>
  <si>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</si>
  <si>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</si>
  <si>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</si>
  <si>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</si>
  <si>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</si>
  <si>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</si>
  <si>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</si>
  <si>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</si>
  <si>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</si>
  <si>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</si>
  <si>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</si>
  <si>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</si>
  <si>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</si>
  <si>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</si>
  <si>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</si>
  <si>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</si>
  <si>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</si>
  <si>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</si>
  <si>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</si>
  <si>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</si>
  <si>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</si>
  <si>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</si>
  <si>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</si>
  <si>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</si>
  <si>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</si>
  <si>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</si>
  <si>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</si>
  <si>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</si>
  <si>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</si>
  <si>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</si>
  <si>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</si>
  <si>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</si>
  <si>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</si>
  <si>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</si>
  <si>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</si>
  <si>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</si>
  <si>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</si>
  <si>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</si>
  <si>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</si>
  <si>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</si>
  <si>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</si>
  <si>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</si>
  <si>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</si>
  <si>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</si>
  <si>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</si>
  <si>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</si>
  <si>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</si>
  <si>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</si>
  <si>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</si>
  <si>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</si>
  <si>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</si>
  <si>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</si>
  <si>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</si>
  <si>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</si>
  <si>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</si>
  <si>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</si>
  <si>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</si>
  <si>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</si>
  <si>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</si>
  <si>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</si>
  <si>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</si>
  <si>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</si>
  <si>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</si>
  <si>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</si>
  <si>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</si>
  <si>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</si>
  <si>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</si>
  <si>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</si>
  <si>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</si>
  <si>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</si>
  <si>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</si>
  <si>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</si>
  <si>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</si>
  <si>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</si>
  <si>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</si>
  <si>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</si>
  <si>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</si>
  <si>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</si>
  <si>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</si>
  <si>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</si>
  <si>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</si>
  <si>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</si>
  <si>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</si>
  <si>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</si>
  <si>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</si>
  <si>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</si>
  <si>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</si>
  <si>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</si>
  <si>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</si>
  <si>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</si>
  <si>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</si>
  <si>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</si>
  <si>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</si>
  <si>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</si>
  <si>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</si>
  <si>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</si>
  <si>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</si>
  <si>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</si>
  <si>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</si>
  <si>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</si>
  <si>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</si>
  <si>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</si>
  <si>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</si>
  <si>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</si>
  <si>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</si>
  <si>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</si>
  <si>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</si>
  <si>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</si>
  <si>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</si>
  <si>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</si>
  <si>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</si>
  <si>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</si>
  <si>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</si>
  <si>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</si>
  <si>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</si>
  <si>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</si>
  <si>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</si>
  <si>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</si>
  <si>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</si>
  <si>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</si>
  <si>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</si>
  <si>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</si>
  <si>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</si>
  <si>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</si>
  <si>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</si>
  <si>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</si>
  <si>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</si>
  <si>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</si>
  <si>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</si>
  <si>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</si>
  <si>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</si>
  <si>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</si>
  <si>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</si>
  <si>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</si>
  <si>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</si>
  <si>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</si>
  <si>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</si>
  <si>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</si>
  <si>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</si>
  <si>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</si>
  <si>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</si>
  <si>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</si>
  <si>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</si>
  <si>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</si>
  <si>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</si>
  <si>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</si>
  <si>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</si>
  <si>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</si>
  <si>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</si>
  <si>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</si>
  <si>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</si>
  <si>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</si>
  <si>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</si>
  <si>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</si>
  <si>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</si>
  <si>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</si>
  <si>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</si>
  <si>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</si>
  <si>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</si>
  <si>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</si>
  <si>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</si>
  <si>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</si>
  <si>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</si>
  <si>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</si>
  <si>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</si>
  <si>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</si>
  <si>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</si>
  <si>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</si>
  <si>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</si>
  <si>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</si>
  <si>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</si>
  <si>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</si>
  <si>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</si>
  <si>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</si>
  <si>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</si>
  <si>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</si>
  <si>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</si>
  <si>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</si>
  <si>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</si>
  <si>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</si>
  <si>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</si>
  <si>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</si>
  <si>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</si>
  <si>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</si>
  <si>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</si>
  <si>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</si>
  <si>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</si>
  <si>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</si>
  <si>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</si>
  <si>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</si>
  <si>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</si>
  <si>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</si>
  <si>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</si>
  <si>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</si>
  <si>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</si>
  <si>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</si>
  <si>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</si>
  <si>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</si>
  <si>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</si>
  <si>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</si>
  <si>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</si>
  <si>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</si>
  <si>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</si>
  <si>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</si>
  <si>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</si>
  <si>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</si>
  <si>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</si>
  <si>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</si>
  <si>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</si>
  <si>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</si>
  <si>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</si>
  <si>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</si>
  <si>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</si>
  <si>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</si>
  <si>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</si>
  <si>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</si>
  <si>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</si>
  <si>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</si>
  <si>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</si>
  <si>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</si>
  <si>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</si>
  <si>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</si>
  <si>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</si>
  <si>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</si>
  <si>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</si>
  <si>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</si>
  <si>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</si>
  <si>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</si>
  <si>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</si>
  <si>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</si>
  <si>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</si>
  <si>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</si>
  <si>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</si>
  <si>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</si>
  <si>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</si>
  <si>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</si>
  <si>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</si>
  <si>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</si>
  <si>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</si>
  <si>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</si>
  <si>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</si>
  <si>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</si>
  <si>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</si>
  <si>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</si>
  <si>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</si>
  <si>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</si>
  <si>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</si>
  <si>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</si>
  <si>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</si>
  <si>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</si>
  <si>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</si>
  <si>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</si>
  <si>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</si>
  <si>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</si>
  <si>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</si>
  <si>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</si>
  <si>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</si>
  <si>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</si>
  <si>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</si>
  <si>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</si>
  <si>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</si>
  <si>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</si>
  <si>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</si>
  <si>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</si>
  <si>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</si>
  <si>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</si>
  <si>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</si>
  <si>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</si>
  <si>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</si>
  <si>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</si>
  <si>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</si>
  <si>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</si>
  <si>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</si>
  <si>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</si>
  <si>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</si>
  <si>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</si>
  <si>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</si>
  <si>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</si>
  <si>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</si>
  <si>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</si>
  <si>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</si>
  <si>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</si>
  <si>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</si>
  <si>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</si>
  <si>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</si>
  <si>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</si>
  <si>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</si>
  <si>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</si>
  <si>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</si>
  <si>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</si>
  <si>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</si>
  <si>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</si>
  <si>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</si>
  <si>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</si>
  <si>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</si>
  <si>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</si>
  <si>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</si>
  <si>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</si>
  <si>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</si>
  <si>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</si>
  <si>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</si>
  <si>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</si>
  <si>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</si>
  <si>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</si>
  <si>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</si>
  <si>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</si>
  <si>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</si>
  <si>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</si>
  <si>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</si>
  <si>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</si>
  <si>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</si>
  <si>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</si>
  <si>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</si>
  <si>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</si>
  <si>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</si>
  <si>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</si>
  <si>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</si>
  <si>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</si>
  <si>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</si>
  <si>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</si>
  <si>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</si>
  <si>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</si>
  <si>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</si>
  <si>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</si>
  <si>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</si>
  <si>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</si>
  <si>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</si>
  <si>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</si>
  <si>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</si>
  <si>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</si>
  <si>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</si>
  <si>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</si>
  <si>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</si>
  <si>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</si>
  <si>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</si>
  <si>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</si>
  <si>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</si>
  <si>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</si>
  <si>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</si>
  <si>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</si>
  <si>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</si>
  <si>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</si>
  <si>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</si>
  <si>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</si>
  <si>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</si>
  <si>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</si>
  <si>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</si>
  <si>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</si>
  <si>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</si>
  <si>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</si>
  <si>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</si>
  <si>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</si>
  <si>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</si>
  <si>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</si>
  <si>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</si>
  <si>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</si>
  <si>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</si>
  <si>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</si>
  <si>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</si>
  <si>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</si>
  <si>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</si>
  <si>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</si>
  <si>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</si>
  <si>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</si>
  <si>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</si>
  <si>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</si>
  <si>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</si>
  <si>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</si>
  <si>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</si>
  <si>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</si>
  <si>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</si>
  <si>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</si>
  <si>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</si>
  <si>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</si>
  <si>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</si>
  <si>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</si>
  <si>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</si>
  <si>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</si>
  <si>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</si>
  <si>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</si>
  <si>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</si>
  <si>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</si>
  <si>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</si>
  <si>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</si>
  <si>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</si>
  <si>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</si>
  <si>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</si>
  <si>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</si>
  <si>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</si>
  <si>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</si>
  <si>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</si>
  <si>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</si>
  <si>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</si>
  <si>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</si>
  <si>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</si>
  <si>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</si>
  <si>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</si>
  <si>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</si>
  <si>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</si>
  <si>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</si>
  <si>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</si>
  <si>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</si>
  <si>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</si>
  <si>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</si>
  <si>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</si>
  <si>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</si>
  <si>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</si>
  <si>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</si>
  <si>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</si>
  <si>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</si>
  <si>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</si>
  <si>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</si>
  <si>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</si>
  <si>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</si>
  <si>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</si>
  <si>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</si>
  <si>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</si>
  <si>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</si>
  <si>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</si>
  <si>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</si>
  <si>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</si>
  <si>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</si>
  <si>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</si>
  <si>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</si>
  <si>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</si>
  <si>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</si>
  <si>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</si>
  <si>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</si>
  <si>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</si>
  <si>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</si>
  <si>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</si>
  <si>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</si>
  <si>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</si>
  <si>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</si>
  <si>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</si>
  <si>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</si>
  <si>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</si>
  <si>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</si>
  <si>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</si>
  <si>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</si>
  <si>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</si>
  <si>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</si>
  <si>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</si>
  <si>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</si>
  <si>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</si>
  <si>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</si>
  <si>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</si>
  <si>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</si>
  <si>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</si>
  <si>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</si>
  <si>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</si>
  <si>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</si>
  <si>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</si>
  <si>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</si>
  <si>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</si>
  <si>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</si>
  <si>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</si>
  <si>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</si>
  <si>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</si>
  <si>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</si>
  <si>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</si>
  <si>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</si>
  <si>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</si>
  <si>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</si>
  <si>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</si>
  <si>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</si>
  <si>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</si>
  <si>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</si>
  <si>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</si>
  <si>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</si>
  <si>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</si>
  <si>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</si>
  <si>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</si>
  <si>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</si>
  <si>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</si>
  <si>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</si>
  <si>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</si>
  <si>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</si>
  <si>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</si>
  <si>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</si>
  <si>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</si>
  <si>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</si>
  <si>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</si>
  <si>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</si>
  <si>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</si>
  <si>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</si>
  <si>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</si>
  <si>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</si>
  <si>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</si>
  <si>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</si>
  <si>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</si>
  <si>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</si>
  <si>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</si>
  <si>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</si>
  <si>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</si>
  <si>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</si>
  <si>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</si>
  <si>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</si>
  <si>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</si>
  <si>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</si>
  <si>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</si>
  <si>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</si>
  <si>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</si>
  <si>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</si>
  <si>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</si>
  <si>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</si>
  <si>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</si>
  <si>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</si>
  <si>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</si>
  <si>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</si>
  <si>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</si>
  <si>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</si>
  <si>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</si>
  <si>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</si>
  <si>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</si>
  <si>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</si>
  <si>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</si>
  <si>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</si>
  <si>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STOCK EN TIEMPO REAL — POR LOTE</t>
  </si>
  <si>
    <t>Escribir ID_Lote en col A → columnas azules se autocompletan leyendo la primera ENTRADA de ese lote en Movimientos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</si>
  <si>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</si>
  <si>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</si>
  <si>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</si>
  <si>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</si>
  <si>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</si>
  <si>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</si>
  <si>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</si>
  <si>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260324-001</t>
  </si>
  <si>
    <t>260401-003</t>
  </si>
  <si>
    <t>260401-005</t>
  </si>
  <si>
    <t>260401-006</t>
  </si>
  <si>
    <t>260406-011</t>
  </si>
  <si>
    <t>260408-013</t>
  </si>
  <si>
    <t>LOT-039</t>
  </si>
  <si>
    <t>LOT-040</t>
  </si>
  <si>
    <t>LOT-041</t>
  </si>
  <si>
    <t>LOT-042</t>
  </si>
  <si>
    <t>LOT-043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</si>
  <si>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</si>
  <si>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</si>
  <si>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</si>
  <si>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</si>
  <si>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</si>
  <si>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</si>
  <si>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</si>
  <si>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</si>
  <si>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</si>
  <si>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</si>
  <si>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</si>
  <si>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</si>
  <si>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</si>
  <si>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</si>
  <si>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</si>
  <si>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</si>
  <si>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</si>
  <si>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</si>
  <si>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</si>
  <si>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</si>
  <si>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</si>
  <si>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</si>
  <si>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</si>
  <si>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</si>
  <si>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</si>
  <si>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</si>
  <si>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</si>
  <si>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</si>
  <si>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</si>
  <si>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</si>
  <si>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</si>
  <si>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</si>
  <si>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</si>
  <si>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</si>
  <si>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</si>
  <si>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</si>
  <si>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</si>
  <si>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</si>
  <si>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</si>
  <si>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</si>
  <si>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</si>
  <si>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</si>
  <si>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</si>
  <si>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</si>
  <si>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</si>
  <si>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</si>
  <si>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</si>
  <si>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</si>
  <si>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</si>
  <si>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</si>
  <si>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</si>
  <si>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</si>
  <si>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</si>
  <si>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</si>
  <si>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</si>
  <si>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</si>
  <si>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</si>
  <si>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</si>
  <si>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</si>
  <si>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</si>
  <si>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</si>
  <si>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</si>
  <si>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</si>
  <si>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</si>
  <si>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</si>
  <si>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</si>
  <si>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</si>
  <si>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</si>
  <si>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</si>
  <si>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</si>
  <si>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</si>
  <si>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</si>
  <si>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</si>
  <si>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</si>
  <si>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</si>
  <si>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</si>
  <si>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</si>
  <si>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</si>
  <si>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</si>
  <si>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</si>
  <si>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</si>
  <si>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</si>
  <si>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</si>
  <si>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</si>
  <si>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</si>
  <si>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</si>
  <si>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</si>
  <si>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</si>
  <si>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</si>
  <si>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</si>
  <si>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</si>
  <si>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</si>
  <si>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</si>
  <si>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</si>
  <si>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</si>
  <si>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</si>
  <si>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</si>
  <si>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</si>
  <si>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</si>
  <si>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</si>
  <si>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</si>
  <si>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</si>
  <si>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</si>
  <si>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</si>
  <si>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</si>
  <si>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</si>
  <si>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</si>
  <si>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</si>
  <si>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</si>
  <si>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</si>
  <si>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</si>
  <si>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</si>
  <si>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</si>
  <si>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</si>
  <si>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</si>
  <si>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</si>
  <si>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</si>
  <si>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</si>
  <si>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</si>
  <si>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</si>
  <si>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</si>
  <si>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</si>
  <si>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</si>
  <si>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</si>
  <si>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</si>
  <si>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</si>
  <si>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</si>
  <si>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</si>
  <si>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</si>
  <si>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</si>
  <si>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</si>
  <si>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</si>
  <si>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</si>
  <si>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</si>
  <si>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</si>
  <si>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</si>
  <si>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</si>
  <si>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</si>
  <si>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</si>
  <si>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</si>
  <si>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</si>
  <si>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</si>
  <si>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</si>
  <si>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</si>
  <si>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</si>
  <si>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</si>
  <si>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</si>
  <si>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</si>
  <si>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</si>
  <si>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</si>
  <si>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</si>
  <si>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</si>
  <si>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</si>
  <si>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</si>
  <si>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</si>
  <si>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</si>
  <si>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</si>
  <si>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</si>
  <si>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</si>
  <si>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</si>
  <si>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</si>
  <si>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</si>
  <si>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</si>
  <si>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</si>
  <si>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</si>
  <si>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</si>
  <si>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</si>
  <si>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</si>
  <si>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</si>
  <si>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</si>
  <si>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</si>
  <si>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</si>
  <si>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</si>
  <si>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</si>
  <si>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</si>
  <si>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</si>
  <si>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</si>
  <si>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</si>
  <si>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</si>
  <si>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</si>
  <si>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</si>
  <si>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</si>
  <si>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</si>
  <si>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</si>
  <si>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</si>
  <si>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</si>
  <si>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</si>
  <si>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</si>
  <si>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</si>
  <si>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</si>
  <si>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</si>
  <si>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</si>
  <si>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</si>
  <si>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</si>
  <si>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</si>
  <si>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</si>
  <si>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</si>
  <si>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</si>
  <si>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</si>
  <si>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</si>
  <si>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</si>
  <si>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</si>
  <si>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</si>
  <si>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</si>
  <si>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</si>
  <si>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</si>
  <si>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</si>
  <si>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</si>
  <si>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</si>
  <si>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</si>
  <si>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</si>
  <si>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</si>
  <si>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</si>
  <si>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</si>
  <si>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</si>
  <si>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</si>
  <si>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</si>
  <si>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</si>
  <si>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</si>
  <si>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</si>
  <si>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</si>
  <si>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</si>
  <si>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</si>
  <si>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</si>
  <si>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</si>
  <si>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</si>
  <si>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</si>
  <si>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</si>
  <si>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</si>
  <si>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</si>
  <si>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</si>
  <si>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</si>
  <si>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</si>
  <si>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</si>
  <si>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</si>
  <si>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</si>
  <si>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</si>
  <si>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</si>
  <si>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</si>
  <si>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</si>
  <si>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</si>
  <si>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</si>
  <si>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</si>
  <si>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</si>
  <si>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</si>
  <si>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</si>
  <si>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</si>
  <si>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</si>
  <si>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</si>
  <si>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</si>
  <si>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</si>
  <si>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</si>
  <si>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</si>
  <si>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</si>
  <si>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</si>
  <si>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</si>
  <si>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</si>
  <si>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</si>
  <si>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</si>
  <si>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</si>
  <si>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</si>
  <si>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</si>
  <si>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</si>
  <si>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</si>
  <si>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</si>
  <si>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</si>
  <si>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</si>
  <si>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</si>
  <si>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</si>
  <si>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</si>
  <si>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</si>
  <si>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</si>
  <si>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</si>
  <si>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</si>
  <si>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</si>
  <si>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</si>
  <si>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</si>
  <si>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</si>
  <si>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</si>
  <si>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</si>
  <si>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</si>
  <si>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</si>
  <si>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</si>
  <si>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</si>
  <si>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</si>
  <si>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</si>
  <si>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</si>
  <si>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</si>
  <si>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</si>
  <si>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</si>
  <si>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</si>
  <si>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</si>
  <si>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</si>
  <si>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</si>
  <si>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</si>
  <si>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</si>
  <si>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</si>
  <si>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</si>
  <si>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</si>
  <si>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</si>
  <si>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</si>
  <si>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</si>
  <si>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</si>
  <si>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</si>
  <si>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</si>
  <si>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</si>
  <si>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</si>
  <si>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</si>
  <si>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</si>
  <si>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</si>
  <si>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</si>
  <si>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</si>
  <si>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</si>
  <si>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</si>
  <si>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</si>
  <si>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</si>
  <si>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</si>
  <si>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</si>
  <si>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</si>
  <si>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</si>
  <si>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</si>
  <si>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</si>
  <si>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</si>
  <si>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</si>
  <si>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</si>
  <si>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</si>
  <si>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</si>
  <si>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</si>
  <si>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</si>
  <si>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</si>
  <si>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</si>
  <si>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</si>
  <si>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</si>
  <si>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</si>
  <si>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</si>
  <si>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</si>
  <si>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</si>
  <si>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</si>
  <si>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</si>
  <si>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</si>
  <si>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</si>
  <si>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</si>
  <si>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</si>
  <si>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</si>
  <si>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</si>
  <si>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</si>
  <si>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</si>
  <si>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</si>
  <si>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</si>
  <si>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</si>
  <si>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</si>
  <si>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</si>
  <si>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</si>
  <si>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</si>
  <si>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</si>
  <si>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</si>
  <si>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</si>
  <si>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</si>
  <si>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</si>
  <si>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</si>
  <si>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</si>
  <si>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</si>
  <si>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</si>
  <si>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</si>
  <si>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</si>
  <si>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</si>
  <si>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</si>
  <si>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</si>
  <si>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</si>
  <si>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</si>
  <si>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</si>
  <si>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</si>
  <si>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</si>
  <si>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</si>
  <si>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</si>
  <si>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</si>
  <si>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</si>
  <si>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</si>
  <si>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</si>
  <si>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</si>
  <si>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</si>
  <si>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</si>
  <si>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</si>
  <si>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</si>
  <si>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</si>
  <si>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</si>
  <si>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</si>
  <si>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</si>
  <si>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</si>
  <si>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</si>
  <si>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</si>
  <si>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</si>
  <si>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</si>
  <si>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</si>
  <si>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</si>
  <si>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</si>
  <si>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</si>
  <si>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</si>
  <si>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</si>
  <si>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</si>
  <si>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</si>
  <si>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</si>
  <si>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</si>
  <si>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</si>
  <si>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</si>
  <si>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</si>
  <si>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</si>
  <si>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</si>
  <si>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</si>
  <si>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</si>
  <si>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</si>
  <si>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</si>
  <si>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</si>
  <si>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</si>
  <si>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</si>
  <si>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</si>
  <si>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</si>
  <si>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</si>
  <si>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</si>
  <si>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</si>
  <si>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</si>
  <si>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</si>
  <si>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</si>
  <si>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</si>
  <si>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</si>
  <si>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</si>
  <si>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</si>
  <si>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</si>
  <si>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</si>
  <si>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</si>
  <si>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</si>
  <si>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</si>
  <si>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</si>
  <si>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</si>
  <si>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</si>
  <si>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</si>
  <si>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</si>
  <si>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</si>
  <si>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</si>
  <si>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</si>
  <si>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</si>
  <si>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</si>
  <si>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</si>
  <si>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</si>
  <si>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</si>
  <si>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</si>
  <si>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</si>
  <si>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</si>
  <si>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</si>
  <si>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</si>
  <si>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</si>
  <si>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</si>
  <si>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</si>
  <si>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</si>
  <si>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</si>
  <si>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</si>
  <si>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</si>
  <si>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</si>
  <si>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</si>
  <si>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</si>
  <si>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</si>
  <si>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</si>
  <si>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</si>
  <si>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</si>
  <si>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</si>
  <si>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</si>
  <si>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</si>
  <si>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</si>
  <si>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</si>
  <si>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</si>
  <si>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</si>
  <si>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</si>
  <si>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</si>
  <si>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</si>
  <si>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</si>
  <si>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</si>
  <si>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</si>
  <si>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</si>
  <si>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</si>
  <si>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</si>
  <si>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</si>
  <si>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</si>
  <si>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</si>
  <si>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</si>
  <si>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</si>
  <si>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</si>
  <si>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</si>
  <si>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</si>
  <si>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</si>
  <si>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</si>
  <si>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</si>
  <si>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</si>
  <si>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</si>
  <si>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</si>
  <si>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</si>
  <si>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</si>
  <si>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</si>
  <si>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</si>
  <si>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</si>
  <si>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</si>
  <si>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</si>
  <si>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</si>
  <si>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</si>
  <si>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</si>
  <si>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</si>
  <si>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</si>
  <si>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</si>
  <si>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</si>
  <si>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</si>
  <si>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</si>
  <si>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</si>
  <si>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</si>
  <si>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</si>
  <si>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</si>
  <si>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</si>
  <si>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</si>
  <si>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</si>
  <si>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</si>
  <si>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</si>
  <si>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</si>
  <si>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</si>
  <si>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</si>
  <si>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</si>
  <si>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</si>
  <si>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</si>
  <si>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</si>
  <si>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</si>
  <si>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</si>
  <si>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</si>
  <si>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</si>
  <si>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</si>
  <si>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</si>
  <si>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</si>
  <si>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</si>
  <si>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</si>
  <si>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</si>
  <si>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</si>
  <si>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</si>
  <si>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</si>
  <si>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</si>
  <si>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</si>
  <si>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</si>
  <si>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</si>
  <si>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</si>
  <si>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</si>
  <si>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</si>
  <si>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</si>
  <si>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</si>
  <si>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</si>
  <si>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</si>
  <si>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</si>
  <si>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</si>
  <si>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</si>
  <si>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</si>
  <si>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</si>
  <si>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</si>
  <si>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</si>
  <si>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</si>
  <si>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</si>
  <si>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</si>
  <si>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</si>
  <si>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</si>
  <si>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</si>
  <si>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</si>
  <si>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</si>
  <si>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</si>
  <si>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</si>
  <si>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</si>
  <si>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</si>
  <si>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</si>
  <si>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</si>
  <si>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</si>
  <si>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</si>
  <si>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</si>
  <si>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</si>
  <si>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</si>
  <si>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</si>
  <si>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</si>
  <si>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</si>
  <si>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</si>
  <si>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</si>
  <si>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</si>
  <si>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</si>
  <si>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</si>
  <si>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</si>
  <si>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</si>
  <si>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</si>
  <si>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</si>
  <si>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</si>
  <si>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</si>
  <si>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</si>
  <si>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</si>
  <si>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</si>
  <si>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</si>
  <si>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</si>
  <si>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</si>
  <si>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</si>
  <si>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</si>
  <si>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</si>
  <si>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</si>
  <si>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</si>
  <si>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</si>
  <si>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</si>
  <si>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</si>
  <si>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</si>
  <si>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</si>
  <si>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</si>
  <si>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</si>
  <si>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</si>
  <si>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</si>
  <si>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</si>
  <si>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</si>
  <si>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</si>
  <si>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</si>
  <si>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</si>
  <si>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</si>
  <si>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</si>
  <si>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</si>
  <si>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</si>
  <si>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</si>
  <si>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</si>
  <si>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</si>
  <si>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</si>
  <si>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</si>
  <si>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</si>
  <si>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</si>
  <si>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</si>
  <si>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</si>
  <si>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</si>
  <si>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</si>
  <si>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</si>
  <si>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</si>
  <si>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</si>
  <si>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</si>
  <si>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</si>
  <si>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</si>
  <si>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</si>
  <si>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</si>
  <si>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</si>
  <si>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</si>
  <si>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</si>
  <si>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</si>
  <si>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</si>
  <si>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</si>
  <si>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</si>
  <si>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</si>
  <si>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</si>
  <si>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</si>
  <si>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</si>
  <si>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</si>
  <si>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</si>
  <si>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</si>
  <si>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</si>
  <si>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</si>
  <si>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</si>
  <si>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</si>
  <si>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</si>
  <si>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</si>
  <si>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</si>
  <si>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</si>
  <si>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</si>
  <si>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</si>
  <si>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</si>
  <si>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</si>
  <si>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</si>
  <si>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</si>
  <si>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</si>
  <si>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</si>
  <si>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</si>
  <si>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</si>
  <si>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</si>
  <si>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</si>
  <si>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</si>
  <si>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</si>
  <si>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</si>
  <si>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</si>
  <si>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</si>
  <si>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</si>
  <si>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</si>
  <si>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</si>
  <si>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</si>
  <si>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</si>
  <si>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</si>
  <si>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</si>
  <si>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</si>
  <si>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</si>
  <si>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</si>
  <si>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</si>
  <si>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</si>
  <si>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</si>
  <si>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</si>
  <si>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</si>
  <si>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</si>
  <si>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</si>
  <si>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</si>
  <si>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</si>
  <si>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</si>
  <si>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</si>
  <si>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</si>
  <si>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</si>
  <si>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</si>
  <si>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</si>
  <si>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</si>
  <si>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</si>
  <si>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</si>
  <si>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</si>
  <si>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</si>
  <si>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</si>
  <si>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</si>
  <si>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</si>
  <si>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</si>
  <si>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</si>
  <si>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</si>
  <si>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</si>
  <si>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</si>
  <si>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</si>
  <si>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</si>
  <si>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</si>
  <si>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</si>
  <si>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</si>
  <si>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</si>
  <si>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</si>
  <si>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</si>
  <si>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</si>
  <si>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</si>
  <si>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</si>
  <si>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</si>
  <si>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</si>
  <si>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</si>
  <si>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</si>
  <si>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</si>
  <si>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</si>
  <si>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</si>
  <si>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</si>
  <si>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</si>
  <si>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</si>
  <si>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</si>
  <si>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</si>
  <si>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</si>
  <si>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</si>
  <si>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</si>
  <si>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</si>
  <si>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</si>
  <si>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</si>
  <si>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</si>
  <si>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</si>
  <si>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</si>
  <si>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</si>
  <si>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</si>
  <si>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</si>
  <si>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</si>
  <si>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</si>
  <si>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</si>
  <si>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</si>
  <si>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</si>
  <si>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</si>
  <si>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</si>
  <si>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</si>
  <si>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</si>
  <si>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</si>
  <si>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</si>
  <si>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</si>
  <si>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</si>
  <si>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</si>
  <si>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</si>
  <si>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</si>
  <si>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</si>
  <si>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</si>
  <si>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</si>
  <si>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</si>
  <si>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</si>
  <si>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</si>
  <si>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</si>
  <si>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</si>
  <si>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</si>
  <si>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</si>
  <si>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</si>
  <si>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</si>
  <si>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</si>
  <si>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</si>
  <si>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</si>
  <si>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</si>
  <si>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</si>
  <si>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</si>
  <si>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</si>
  <si>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</si>
  <si>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</si>
  <si>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</si>
  <si>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</si>
  <si>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</si>
  <si>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</si>
  <si>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</si>
  <si>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</si>
  <si>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</si>
  <si>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</si>
  <si>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</si>
  <si>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</si>
  <si>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</si>
  <si>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</si>
  <si>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</si>
  <si>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</si>
  <si>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</si>
  <si>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</si>
  <si>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</si>
  <si>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</si>
  <si>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</si>
  <si>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</si>
  <si>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</si>
  <si>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</si>
  <si>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</si>
  <si>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</si>
  <si>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</si>
  <si>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</si>
  <si>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</si>
  <si>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</si>
  <si>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</si>
  <si>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</si>
  <si>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</si>
  <si>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</si>
  <si>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</si>
  <si>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</si>
  <si>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</si>
  <si>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</si>
  <si>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</si>
  <si>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</si>
  <si>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</si>
  <si>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</si>
  <si>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</si>
  <si>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</si>
  <si>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</si>
  <si>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</si>
  <si>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</si>
  <si>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</si>
  <si>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</si>
  <si>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</si>
  <si>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</si>
  <si>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</si>
  <si>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</si>
  <si>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</si>
  <si>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</si>
  <si>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</si>
  <si>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</si>
  <si>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</si>
  <si>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</si>
  <si>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</si>
  <si>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</si>
  <si>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</si>
  <si>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</si>
  <si>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</si>
  <si>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</si>
  <si>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</si>
  <si>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</si>
  <si>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</si>
  <si>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</si>
  <si>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</si>
  <si>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</si>
  <si>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</si>
  <si>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</si>
  <si>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</si>
  <si>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</si>
  <si>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</si>
  <si>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</si>
  <si>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</si>
  <si>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</si>
  <si>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</si>
  <si>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</si>
  <si>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</si>
  <si>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</si>
  <si>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</si>
  <si>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</si>
  <si>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</si>
  <si>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</si>
  <si>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</si>
  <si>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</si>
  <si>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</si>
  <si>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</si>
  <si>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</si>
  <si>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</si>
  <si>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</si>
  <si>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</si>
  <si>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</si>
  <si>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</si>
  <si>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</si>
  <si>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</si>
  <si>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</si>
  <si>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</si>
  <si>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</si>
  <si>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</si>
  <si>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</si>
  <si>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</si>
  <si>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</si>
  <si>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</si>
  <si>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</si>
  <si>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</si>
  <si>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</si>
  <si>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</si>
  <si>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</si>
  <si>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</si>
  <si>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</si>
  <si>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</si>
  <si>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</si>
  <si>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</si>
  <si>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</si>
  <si>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</si>
  <si>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</si>
  <si>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</si>
  <si>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</si>
  <si>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</si>
  <si>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</si>
  <si>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</si>
  <si>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</si>
  <si>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</si>
  <si>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</si>
  <si>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</si>
  <si>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</si>
  <si>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</si>
  <si>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</si>
  <si>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</si>
  <si>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</si>
  <si>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</si>
  <si>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</si>
  <si>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</si>
  <si>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</si>
  <si>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</si>
  <si>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</si>
  <si>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</si>
  <si>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</si>
  <si>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</si>
  <si>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</si>
  <si>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</si>
  <si>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</si>
  <si>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</si>
  <si>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</si>
  <si>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</si>
  <si>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</si>
  <si>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</si>
  <si>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</si>
  <si>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</si>
  <si>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</si>
  <si>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</si>
  <si>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</si>
  <si>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</si>
  <si>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</si>
  <si>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</si>
  <si>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</si>
  <si>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</si>
  <si>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</si>
  <si>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</si>
  <si>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</si>
  <si>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</si>
  <si>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</si>
  <si>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</si>
  <si>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</si>
  <si>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</si>
  <si>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</si>
  <si>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</si>
  <si>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</si>
  <si>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RESUMEN DE STOCK — CONSOLIDADO POR PRODUCTO</t>
  </si>
  <si>
    <t>Escribir nombre comercial en col A → cols azules se autocompletan desde Movimientos. Stock total y vencimiento más próximo calculados automáticamente.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</si>
  <si>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</si>
  <si>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</si>
  <si>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</si>
  <si>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</si>
  <si>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</si>
  <si>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</si>
  <si>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</si>
  <si>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</si>
  <si>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</si>
  <si>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</si>
  <si>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Ruta 20</t>
  </si>
  <si>
    <t>Fungicida</t>
  </si>
  <si>
    <t>Secante</t>
  </si>
  <si>
    <t>Lit. Norte</t>
  </si>
  <si>
    <t>Triazol</t>
  </si>
  <si>
    <t>g</t>
  </si>
  <si>
    <t>Estrobilurina</t>
  </si>
  <si>
    <t>ml</t>
  </si>
  <si>
    <t>Picloram 24.9%</t>
  </si>
  <si>
    <t>Fertilizante</t>
  </si>
  <si>
    <t>Tacuarembó</t>
  </si>
  <si>
    <t>Biológico</t>
  </si>
  <si>
    <t>bolsa</t>
  </si>
  <si>
    <t>Coadyuvante</t>
  </si>
  <si>
    <t>Graminicida</t>
  </si>
  <si>
    <t>Inoculante</t>
  </si>
  <si>
    <t>Trigo</t>
  </si>
  <si>
    <t>Cebada</t>
  </si>
  <si>
    <t>Colza</t>
  </si>
  <si>
    <t>Carinata</t>
  </si>
  <si>
    <t>Maíz</t>
  </si>
  <si>
    <t>Soja</t>
  </si>
  <si>
    <t>Girasol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</si>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</sst>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1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i/>
      <sz val="9"/>
      <color rgb="FF595959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center" vertical="center" wrapText="1"/>
    </xf>
    <xf numFmtId="165" fontId="7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4" xfId="0" applyFont="1" applyBorder="1"/>
    <xf numFmtId="0" fontId="7" fillId="5" borderId="2" xfId="0" applyFont="1" applyFill="1" applyBorder="1" applyAlignment="1">
      <alignment horizontal="center" vertical="center" wrapText="1"/>
    </xf>
    <xf numFmtId="14" fontId="6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5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6" fillId="0" borderId="2" xfId="0" applyNumberFormat="1" applyFont="1" applyBorder="1" applyAlignment="1">
      <alignment horizontal="left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2001" totalsRowShown="0">
  <autoFilter ref="A1:U12001" xr:uid="{AB419160-9C2F-4406-84A3-963E72448A76}"/>
  <tableColumns count="21">
    <tableColumn id="1" xr3:uid="{D6F7A361-7933-4FD5-8F4B-D716DC9446B3}" name="Columna1"/>
    <tableColumn id="2" xr3:uid="{E6FC72F8-7448-4ECC-A07C-6C65767A1492}" name="Columna2"/>
    <tableColumn id="3" xr3:uid="{16641237-AB6B-419B-B1AB-E0CB1BC23202}" name="Columna3"/>
    <tableColumn id="4" xr3:uid="{77BAE6E8-6128-434B-9BD0-46DDD6F79B54}" name="Columna4"/>
    <tableColumn id="5" xr3:uid="{563B7DC6-8A13-4EAC-AE30-36226F431F07}" name="Columna5"/>
    <tableColumn id="6" xr3:uid="{78E99915-B11C-486D-A27D-38FD33BB7809}" name="Columna6"/>
    <tableColumn id="7" xr3:uid="{E7B8F057-9A8E-4C80-89A4-6F32FE219276}" name="Columna7"/>
    <tableColumn id="8" xr3:uid="{AE3F01B2-ECF5-4529-B353-1DABEE4888F4}" name="Columna8"/>
    <tableColumn id="9" xr3:uid="{07D8814A-95C5-40EB-A262-138503873E5E}" name="Columna9"/>
    <tableColumn id="10" xr3:uid="{BB8D86BA-392E-431E-B492-5D4399A1D3E4}" name="Columna10"/>
    <tableColumn id="11" xr3:uid="{AC2E73B7-2D48-48DC-9657-50ADD954780C}" name="Columna11"/>
    <tableColumn id="12" xr3:uid="{40125356-D575-4F92-BF8E-A39AF80215FD}" name="Columna12"/>
    <tableColumn id="13" xr3:uid="{A2C5EFC8-1570-426E-9977-0AADA4475DE7}" name="Columna13"/>
    <tableColumn id="14" xr3:uid="{9821F939-F19A-4B66-85C7-DF0BE77FE574}" name="Columna14"/>
    <tableColumn id="15" xr3:uid="{44139899-7BCE-40E1-AA81-4DE99414A4DC}" name="Columna15"/>
    <tableColumn id="16" xr3:uid="{78C6DB46-DEB0-4A43-ABC9-8EB1B7311BFB}" name="Columna16"/>
    <tableColumn id="17" xr3:uid="{AFA8158D-BF40-46B7-B5DB-6005BBCE4E79}" name="Columna17"/>
    <tableColumn id="18" xr3:uid="{173B02A0-66F9-439C-A8AE-914A95DC1C3E}" name="Columna18"/>
    <tableColumn id="19" xr3:uid="{FAA1E0FD-7AB1-4F19-99EE-64C55C70784B}" name="Columna19"/>
    <tableColumn id="20" xr3:uid="{4C1EE318-2012-4C96-8CCE-9E712CC35689}" name="Columna20" dataDxfId="6">
      <calculatedColumnFormula>IF(C2="","",UPPER(LEFT(SUBSTITUTE(C2," ",""),3))&amp;"-"&amp;TEXT(B2,"AAMMDD")&amp;"-1")</calculatedColumnFormula>
    </tableColumn>
    <tableColumn id="21" xr3:uid="{8F548C6F-637B-4FE8-801A-5552B50EE69F}" name="Columna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2001"/>
  <sheetViews>
    <sheetView showGridLines="0" tabSelected="1" workbookViewId="0">
      <pane ySplit="3" topLeftCell="A5" activePane="bottomLeft" state="frozen"/>
      <selection pane="bottomLeft" activeCell="M15" sqref="M15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hidden="1" customHeight="1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ht="15.75" hidden="1" customHeight="1">
      <c r="A2" s="1" t="s">
        <v>21</v>
      </c>
      <c r="T2" t="str">
        <f t="shared" ref="T2:T65" si="0">IF(C2="","",UPPER(LEFT(SUBSTITUTE(C2," ",""),3))&amp;"-"&amp;TEXT(B2,"AAMMDD")&amp;"-1")</f>
        <v/>
      </c>
    </row>
    <row r="3" spans="1:21" ht="39.75" hidden="1" customHeight="1">
      <c r="A3" s="2" t="s">
        <v>22</v>
      </c>
      <c r="T3" t="str">
        <f t="shared" si="0"/>
        <v/>
      </c>
    </row>
    <row r="4" spans="1:21" ht="24">
      <c r="A4" s="20" t="s">
        <v>23</v>
      </c>
      <c r="B4" s="20" t="s">
        <v>24</v>
      </c>
      <c r="C4" s="21" t="s">
        <v>25</v>
      </c>
      <c r="D4" s="20" t="s">
        <v>26</v>
      </c>
      <c r="E4" s="20" t="s">
        <v>27</v>
      </c>
      <c r="F4" s="20" t="s">
        <v>28</v>
      </c>
      <c r="G4" s="20" t="s">
        <v>29</v>
      </c>
      <c r="H4" s="20" t="s">
        <v>30</v>
      </c>
      <c r="I4" s="20" t="s">
        <v>31</v>
      </c>
      <c r="J4" s="20" t="s">
        <v>32</v>
      </c>
      <c r="K4" s="20" t="s">
        <v>33</v>
      </c>
      <c r="L4" s="20" t="s">
        <v>34</v>
      </c>
      <c r="M4" s="20" t="s">
        <v>35</v>
      </c>
      <c r="N4" s="20" t="s">
        <v>36</v>
      </c>
      <c r="O4" s="20" t="s">
        <v>37</v>
      </c>
      <c r="P4" s="20" t="s">
        <v>38</v>
      </c>
      <c r="Q4" s="20" t="s">
        <v>39</v>
      </c>
      <c r="T4" t="s">
        <v>40</v>
      </c>
      <c r="U4" s="20" t="s">
        <v>41</v>
      </c>
    </row>
    <row r="5" spans="1:21">
      <c r="A5" s="22" t="s">
        <v>42</v>
      </c>
      <c r="B5" s="23">
        <v>46105</v>
      </c>
      <c r="C5" s="22" t="s">
        <v>43</v>
      </c>
      <c r="D5" s="22" t="s">
        <v>44</v>
      </c>
      <c r="E5" s="22" t="s">
        <v>45</v>
      </c>
      <c r="F5" s="22"/>
      <c r="G5" s="22" t="s">
        <v>46</v>
      </c>
      <c r="H5" s="22" t="str">
        <f>+T5</f>
        <v>260324-001</v>
      </c>
      <c r="I5" s="22" t="s">
        <v>47</v>
      </c>
      <c r="J5" s="30">
        <v>3400</v>
      </c>
      <c r="K5" s="24">
        <f>IF(I5="","",IF(I5="ENTRADA",ABS(J5),-ABS(J5)))</f>
        <v>3400</v>
      </c>
      <c r="L5" s="22" t="s">
        <v>48</v>
      </c>
      <c r="M5" s="23"/>
      <c r="N5" s="22">
        <v>47144</v>
      </c>
      <c r="O5" s="22"/>
      <c r="P5" s="22">
        <v>14229</v>
      </c>
      <c r="Q5" s="23">
        <v>46106</v>
      </c>
      <c r="R5" s="24" t="str">
        <f>IF(H5="","",H5&amp;I5)</f>
        <v>260324-001ENTRADA</v>
      </c>
      <c r="S5" s="24" t="str">
        <f>IF(C5="","",C5&amp;I5)</f>
        <v>Semilla colzaENTRADA</v>
      </c>
      <c r="T5" t="str">
        <f>IF(OR(C5="",I5&lt;&gt;"ENTRADA"),"",TEXT(B5,"AAMMDD")&amp;"-"&amp;TEXT(VALUE(SUBSTITUTE(A5,"MOV-","")),"000"))</f>
        <v>260324-001</v>
      </c>
      <c r="U5" t="s">
        <v>49</v>
      </c>
    </row>
    <row r="6" spans="1:21">
      <c r="A6" s="22" t="s">
        <v>50</v>
      </c>
      <c r="B6" s="23">
        <v>46113</v>
      </c>
      <c r="C6" s="22" t="s">
        <v>51</v>
      </c>
      <c r="D6" s="22" t="s">
        <v>52</v>
      </c>
      <c r="E6" s="22" t="s">
        <v>53</v>
      </c>
      <c r="F6" s="22" t="s">
        <v>54</v>
      </c>
      <c r="G6" s="22" t="s">
        <v>55</v>
      </c>
      <c r="H6" s="22" t="str">
        <f t="shared" ref="H6:H69" si="1">+T6</f>
        <v>260401-002</v>
      </c>
      <c r="I6" s="22" t="s">
        <v>47</v>
      </c>
      <c r="J6" s="30">
        <v>700</v>
      </c>
      <c r="K6" s="24">
        <f>IF(I6="","",IF(I6="ENTRADA",ABS(J6),-ABS(J6)))</f>
        <v>700</v>
      </c>
      <c r="L6" s="22" t="s">
        <v>56</v>
      </c>
      <c r="M6" s="23">
        <v>46710</v>
      </c>
      <c r="N6" s="22">
        <v>12383</v>
      </c>
      <c r="O6" s="22"/>
      <c r="P6" s="22" t="s">
        <v>57</v>
      </c>
      <c r="Q6" s="23"/>
      <c r="R6" s="24" t="str">
        <f t="shared" ref="R6:R69" si="2">IF(H6="","",H6&amp;I6)</f>
        <v>260401-002ENTRADA</v>
      </c>
      <c r="S6" s="24" t="str">
        <f t="shared" ref="S6:S69" si="3">IF(C6="","",C6&amp;I6)</f>
        <v>KorvettoENTRADA</v>
      </c>
      <c r="T6" t="str">
        <f>IF(OR(C6="",I6&lt;&gt;"ENTRADA"),"",TEXT(B6,"AAMMDD")&amp;"-"&amp;TEXT(VALUE(SUBSTITUTE(A6,"MOV-","")),"000"))</f>
        <v>260401-002</v>
      </c>
      <c r="U6" t="s">
        <v>58</v>
      </c>
    </row>
    <row r="7" spans="1:21">
      <c r="A7" s="22" t="s">
        <v>59</v>
      </c>
      <c r="B7" s="23">
        <v>46113</v>
      </c>
      <c r="C7" s="22" t="s">
        <v>60</v>
      </c>
      <c r="D7" s="22" t="s">
        <v>61</v>
      </c>
      <c r="E7" s="22" t="s">
        <v>53</v>
      </c>
      <c r="F7" s="22" t="s">
        <v>54</v>
      </c>
      <c r="G7" s="22" t="s">
        <v>55</v>
      </c>
      <c r="H7" s="22" t="str">
        <f t="shared" si="1"/>
        <v>260401-003</v>
      </c>
      <c r="I7" s="22" t="s">
        <v>47</v>
      </c>
      <c r="J7" s="30">
        <v>300</v>
      </c>
      <c r="K7" s="24">
        <f>IF(I7="","",IF(I7="ENTRADA",ABS(J7),-ABS(J7)))</f>
        <v>300</v>
      </c>
      <c r="L7" s="22" t="s">
        <v>56</v>
      </c>
      <c r="M7" s="23">
        <v>46500</v>
      </c>
      <c r="N7" s="22">
        <v>12383</v>
      </c>
      <c r="O7" s="22"/>
      <c r="P7" s="22" t="s">
        <v>57</v>
      </c>
      <c r="Q7" s="23"/>
      <c r="R7" s="24" t="str">
        <f t="shared" si="2"/>
        <v>260401-003ENTRADA</v>
      </c>
      <c r="S7" s="24" t="str">
        <f t="shared" si="3"/>
        <v>LontrelENTRADA</v>
      </c>
      <c r="T7" t="str">
        <f>IF(OR(C7="",I7&lt;&gt;"ENTRADA"),"",TEXT(B7,"AAMMDD")&amp;"-"&amp;TEXT(VALUE(SUBSTITUTE(A7,"MOV-","")),"000"))</f>
        <v>260401-003</v>
      </c>
      <c r="U7" t="s">
        <v>62</v>
      </c>
    </row>
    <row r="8" spans="1:21">
      <c r="A8" s="22" t="s">
        <v>63</v>
      </c>
      <c r="B8" s="23">
        <v>46113</v>
      </c>
      <c r="C8" s="22" t="s">
        <v>64</v>
      </c>
      <c r="D8" s="22" t="s">
        <v>65</v>
      </c>
      <c r="E8" s="22" t="s">
        <v>53</v>
      </c>
      <c r="F8" s="22" t="s">
        <v>66</v>
      </c>
      <c r="G8" s="22" t="s">
        <v>55</v>
      </c>
      <c r="H8" s="22" t="str">
        <f t="shared" si="1"/>
        <v>260401-004</v>
      </c>
      <c r="I8" s="22" t="s">
        <v>47</v>
      </c>
      <c r="J8" s="30">
        <v>2800</v>
      </c>
      <c r="K8" s="24">
        <v>2700</v>
      </c>
      <c r="L8" s="22" t="s">
        <v>56</v>
      </c>
      <c r="M8" s="23">
        <v>46528</v>
      </c>
      <c r="N8" s="22">
        <v>12383</v>
      </c>
      <c r="O8" s="22"/>
      <c r="P8" s="22" t="s">
        <v>57</v>
      </c>
      <c r="Q8" s="23"/>
      <c r="R8" s="24" t="str">
        <f t="shared" si="2"/>
        <v>260401-004ENTRADA</v>
      </c>
      <c r="S8" s="24" t="str">
        <f t="shared" si="3"/>
        <v>PresideENTRADA</v>
      </c>
      <c r="T8" t="str">
        <f>IF(OR(C8="",I8&lt;&gt;"ENTRADA"),"",TEXT(B8,"AAMMDD")&amp;"-"&amp;TEXT(VALUE(SUBSTITUTE(A8,"MOV-","")),"000"))</f>
        <v>260401-004</v>
      </c>
      <c r="U8" t="s">
        <v>67</v>
      </c>
    </row>
    <row r="9" spans="1:21">
      <c r="A9" s="22" t="s">
        <v>68</v>
      </c>
      <c r="B9" s="23">
        <v>46113</v>
      </c>
      <c r="C9" s="22" t="s">
        <v>64</v>
      </c>
      <c r="D9" s="22" t="s">
        <v>65</v>
      </c>
      <c r="E9" s="22" t="s">
        <v>53</v>
      </c>
      <c r="F9" s="22" t="s">
        <v>66</v>
      </c>
      <c r="G9" s="22" t="s">
        <v>55</v>
      </c>
      <c r="H9" s="22" t="str">
        <f t="shared" si="1"/>
        <v>260401-005</v>
      </c>
      <c r="I9" s="22" t="s">
        <v>47</v>
      </c>
      <c r="J9" s="30">
        <v>100</v>
      </c>
      <c r="K9" s="24">
        <f t="shared" ref="K9:K72" si="4">IF(I9="","",IF(I9="ENTRADA",ABS(J9),-ABS(J9)))</f>
        <v>100</v>
      </c>
      <c r="L9" s="22" t="s">
        <v>56</v>
      </c>
      <c r="M9" s="23">
        <v>46761</v>
      </c>
      <c r="N9" s="22">
        <v>12383</v>
      </c>
      <c r="O9" s="22"/>
      <c r="P9" s="22" t="s">
        <v>57</v>
      </c>
      <c r="Q9" s="23"/>
      <c r="R9" s="24" t="str">
        <f t="shared" si="2"/>
        <v>260401-005ENTRADA</v>
      </c>
      <c r="S9" s="24" t="str">
        <f t="shared" si="3"/>
        <v>PresideENTRADA</v>
      </c>
      <c r="T9" t="str">
        <f>IF(OR(C9="",I9&lt;&gt;"ENTRADA"),"",TEXT(B9,"AAMMDD")&amp;"-"&amp;TEXT(VALUE(SUBSTITUTE(A9,"MOV-","")),"000"))</f>
        <v>260401-005</v>
      </c>
      <c r="U9" t="s">
        <v>67</v>
      </c>
    </row>
    <row r="10" spans="1:21">
      <c r="A10" s="22" t="s">
        <v>69</v>
      </c>
      <c r="B10" s="23">
        <v>46113</v>
      </c>
      <c r="C10" s="22" t="s">
        <v>70</v>
      </c>
      <c r="D10" s="22" t="s">
        <v>71</v>
      </c>
      <c r="E10" s="22" t="s">
        <v>53</v>
      </c>
      <c r="F10" s="22" t="s">
        <v>54</v>
      </c>
      <c r="G10" s="22" t="s">
        <v>55</v>
      </c>
      <c r="H10" s="22" t="str">
        <f t="shared" si="1"/>
        <v>260401-006</v>
      </c>
      <c r="I10" s="22" t="s">
        <v>47</v>
      </c>
      <c r="J10" s="30">
        <v>300</v>
      </c>
      <c r="K10" s="24">
        <f t="shared" si="4"/>
        <v>300</v>
      </c>
      <c r="L10" s="22" t="s">
        <v>56</v>
      </c>
      <c r="M10" s="23">
        <v>46517</v>
      </c>
      <c r="N10" s="22">
        <v>12383</v>
      </c>
      <c r="O10" s="22"/>
      <c r="P10" s="22" t="s">
        <v>57</v>
      </c>
      <c r="Q10" s="23"/>
      <c r="R10" s="24" t="str">
        <f t="shared" si="2"/>
        <v>260401-006ENTRADA</v>
      </c>
      <c r="S10" s="24" t="str">
        <f t="shared" si="3"/>
        <v>Tordon 24KENTRADA</v>
      </c>
      <c r="T10" t="str">
        <f>IF(OR(C10="",I10&lt;&gt;"ENTRADA"),"",TEXT(B10,"AAMMDD")&amp;"-"&amp;TEXT(VALUE(SUBSTITUTE(A10,"MOV-","")),"000"))</f>
        <v>260401-006</v>
      </c>
    </row>
    <row r="11" spans="1:21">
      <c r="A11" s="22" t="s">
        <v>72</v>
      </c>
      <c r="B11" s="23">
        <v>46113</v>
      </c>
      <c r="C11" s="22" t="s">
        <v>73</v>
      </c>
      <c r="D11" s="22" t="s">
        <v>74</v>
      </c>
      <c r="E11" s="22" t="s">
        <v>53</v>
      </c>
      <c r="F11" s="22" t="s">
        <v>54</v>
      </c>
      <c r="G11" s="22" t="s">
        <v>55</v>
      </c>
      <c r="H11" s="22" t="str">
        <f t="shared" si="1"/>
        <v>260401-007</v>
      </c>
      <c r="I11" s="22" t="s">
        <v>47</v>
      </c>
      <c r="J11" s="30">
        <v>300</v>
      </c>
      <c r="K11" s="24">
        <f t="shared" si="4"/>
        <v>300</v>
      </c>
      <c r="L11" s="22" t="s">
        <v>75</v>
      </c>
      <c r="M11" s="23">
        <v>46443</v>
      </c>
      <c r="N11" s="22">
        <v>12383</v>
      </c>
      <c r="O11" s="22"/>
      <c r="P11" s="22" t="s">
        <v>57</v>
      </c>
      <c r="Q11" s="23"/>
      <c r="R11" s="24" t="str">
        <f t="shared" si="2"/>
        <v>260401-007ENTRADA</v>
      </c>
      <c r="S11" s="24" t="str">
        <f t="shared" si="3"/>
        <v>TronadorENTRADA</v>
      </c>
      <c r="T11" t="str">
        <f>IF(OR(C11="",I11&lt;&gt;"ENTRADA"),"",TEXT(B11,"AAMMDD")&amp;"-"&amp;TEXT(VALUE(SUBSTITUTE(A11,"MOV-","")),"000"))</f>
        <v>260401-007</v>
      </c>
      <c r="U11" t="s">
        <v>76</v>
      </c>
    </row>
    <row r="12" spans="1:21">
      <c r="A12" s="22" t="s">
        <v>77</v>
      </c>
      <c r="B12" s="23">
        <v>46113</v>
      </c>
      <c r="C12" s="22" t="s">
        <v>78</v>
      </c>
      <c r="D12" s="22" t="s">
        <v>79</v>
      </c>
      <c r="E12" s="22" t="s">
        <v>53</v>
      </c>
      <c r="F12" s="22" t="s">
        <v>54</v>
      </c>
      <c r="G12" s="22" t="s">
        <v>55</v>
      </c>
      <c r="H12" s="22" t="str">
        <f>+T12</f>
        <v>260401-008</v>
      </c>
      <c r="I12" s="22" t="s">
        <v>47</v>
      </c>
      <c r="J12" s="30">
        <v>4800</v>
      </c>
      <c r="K12" s="24">
        <f t="shared" si="4"/>
        <v>4800</v>
      </c>
      <c r="L12" s="22" t="s">
        <v>56</v>
      </c>
      <c r="M12" s="23">
        <v>46737</v>
      </c>
      <c r="N12" s="22">
        <v>12383</v>
      </c>
      <c r="O12" s="22"/>
      <c r="P12" s="22" t="s">
        <v>57</v>
      </c>
      <c r="Q12" s="23"/>
      <c r="R12" s="24" t="str">
        <f t="shared" si="2"/>
        <v>260401-008ENTRADA</v>
      </c>
      <c r="S12" s="24" t="str">
        <f t="shared" si="3"/>
        <v>Venceweed extraENTRADA</v>
      </c>
      <c r="T12" t="str">
        <f>IF(OR(C12="",I12&lt;&gt;"ENTRADA"),"",TEXT(B12,"AAMMDD")&amp;"-"&amp;TEXT(VALUE(SUBSTITUTE(A12,"MOV-","")),"000"))</f>
        <v>260401-008</v>
      </c>
      <c r="U12" t="s">
        <v>80</v>
      </c>
    </row>
    <row r="13" spans="1:21">
      <c r="A13" s="22" t="s">
        <v>81</v>
      </c>
      <c r="B13" s="23">
        <v>46113</v>
      </c>
      <c r="C13" t="s">
        <v>64</v>
      </c>
      <c r="D13" t="s">
        <v>82</v>
      </c>
      <c r="E13" t="s">
        <v>53</v>
      </c>
      <c r="F13" t="s">
        <v>66</v>
      </c>
      <c r="H13" s="22" t="s">
        <v>83</v>
      </c>
      <c r="I13" t="s">
        <v>84</v>
      </c>
      <c r="J13" s="31">
        <v>100</v>
      </c>
      <c r="K13" s="24">
        <f t="shared" si="4"/>
        <v>-100</v>
      </c>
      <c r="L13" t="s">
        <v>56</v>
      </c>
      <c r="M13" s="23"/>
      <c r="N13" s="4">
        <v>59307</v>
      </c>
      <c r="O13" t="s">
        <v>85</v>
      </c>
      <c r="P13" s="4" t="s">
        <v>57</v>
      </c>
      <c r="Q13" s="23"/>
      <c r="R13" s="24" t="str">
        <f t="shared" si="2"/>
        <v>260401-004SALIDA</v>
      </c>
      <c r="S13" s="24" t="str">
        <f t="shared" si="3"/>
        <v>PresideSALIDA</v>
      </c>
      <c r="T13" t="str">
        <f>IF(OR(C13="",I13&lt;&gt;"ENTRADA"),"",TEXT(B13,"AAMMDD")&amp;"-"&amp;TEXT(VALUE(SUBSTITUTE(A13,"MOV-","")),"000"))</f>
        <v/>
      </c>
    </row>
    <row r="14" spans="1:21">
      <c r="A14" s="22" t="s">
        <v>86</v>
      </c>
      <c r="B14" s="23">
        <v>46113</v>
      </c>
      <c r="C14" t="s">
        <v>78</v>
      </c>
      <c r="D14" t="s">
        <v>79</v>
      </c>
      <c r="E14" t="s">
        <v>53</v>
      </c>
      <c r="F14" t="s">
        <v>54</v>
      </c>
      <c r="H14" s="22" t="s">
        <v>87</v>
      </c>
      <c r="I14" t="s">
        <v>84</v>
      </c>
      <c r="J14" s="31">
        <v>360</v>
      </c>
      <c r="K14" s="24">
        <f t="shared" si="4"/>
        <v>-360</v>
      </c>
      <c r="L14" t="s">
        <v>56</v>
      </c>
      <c r="M14" s="23"/>
      <c r="N14" s="4">
        <v>59307</v>
      </c>
      <c r="O14" t="s">
        <v>85</v>
      </c>
      <c r="P14" s="4" t="s">
        <v>57</v>
      </c>
      <c r="Q14" s="23"/>
      <c r="R14" s="24" t="str">
        <f t="shared" si="2"/>
        <v>260401-008SALIDA</v>
      </c>
      <c r="S14" s="24" t="str">
        <f t="shared" si="3"/>
        <v>Venceweed extraSALIDA</v>
      </c>
      <c r="T14" t="str">
        <f>IF(OR(C14="",I14&lt;&gt;"ENTRADA"),"",TEXT(B14,"AAMMDD")&amp;"-"&amp;TEXT(VALUE(SUBSTITUTE(A14,"MOV-","")),"000"))</f>
        <v/>
      </c>
    </row>
    <row r="15" spans="1:21">
      <c r="A15" s="22" t="s">
        <v>88</v>
      </c>
      <c r="B15" s="23">
        <v>46118</v>
      </c>
      <c r="C15" t="s">
        <v>89</v>
      </c>
      <c r="D15" t="s">
        <v>90</v>
      </c>
      <c r="E15" t="s">
        <v>89</v>
      </c>
      <c r="G15" t="s">
        <v>91</v>
      </c>
      <c r="H15" s="22" t="str">
        <f t="shared" ref="H15:H79" si="5">+T15</f>
        <v>260406-011</v>
      </c>
      <c r="I15" t="s">
        <v>47</v>
      </c>
      <c r="J15" s="31">
        <v>3</v>
      </c>
      <c r="K15" s="24">
        <f t="shared" si="4"/>
        <v>3</v>
      </c>
      <c r="L15" t="s">
        <v>92</v>
      </c>
      <c r="M15" s="23"/>
      <c r="N15" s="4">
        <v>3141</v>
      </c>
      <c r="P15" s="22" t="s">
        <v>57</v>
      </c>
      <c r="Q15" s="23"/>
      <c r="R15" s="24" t="str">
        <f t="shared" si="2"/>
        <v>260406-011ENTRADA</v>
      </c>
      <c r="S15" s="24" t="str">
        <f t="shared" si="3"/>
        <v>SilobolsaENTRADA</v>
      </c>
      <c r="T15" t="str">
        <f t="shared" ref="T15:T78" si="6">IF(OR(C15="",I15&lt;&gt;"ENTRADA"),"",TEXT(B15,"AAMMDD")&amp;"-"&amp;TEXT(VALUE(SUBSTITUTE(A15,"MOV-","")),"000"))</f>
        <v>260406-011</v>
      </c>
    </row>
    <row r="16" spans="1:21">
      <c r="A16" s="22" t="s">
        <v>93</v>
      </c>
      <c r="B16" s="23">
        <v>46119</v>
      </c>
      <c r="C16" t="s">
        <v>94</v>
      </c>
      <c r="D16" t="s">
        <v>95</v>
      </c>
      <c r="E16" t="s">
        <v>53</v>
      </c>
      <c r="F16" t="s">
        <v>54</v>
      </c>
      <c r="G16" t="s">
        <v>96</v>
      </c>
      <c r="H16" s="22" t="str">
        <f t="shared" si="5"/>
        <v>260407-012</v>
      </c>
      <c r="I16" t="s">
        <v>47</v>
      </c>
      <c r="J16" s="31">
        <v>12500</v>
      </c>
      <c r="K16" s="24">
        <f t="shared" si="4"/>
        <v>12500</v>
      </c>
      <c r="L16" t="s">
        <v>56</v>
      </c>
      <c r="M16" s="23">
        <v>46725</v>
      </c>
      <c r="N16" s="4">
        <v>69750</v>
      </c>
      <c r="P16" s="22">
        <v>14291</v>
      </c>
      <c r="Q16" s="23">
        <v>46119</v>
      </c>
      <c r="R16" s="24" t="str">
        <f t="shared" ref="R16:R79" si="7">IF(H16="","",H16&amp;I16)</f>
        <v>260407-012ENTRADA</v>
      </c>
      <c r="S16" s="24" t="str">
        <f t="shared" ref="S16:S79" si="8">IF(C16="","",C16&amp;I16)</f>
        <v>Dedalo eliteENTRADA</v>
      </c>
      <c r="T16" t="str">
        <f t="shared" si="6"/>
        <v>260407-012</v>
      </c>
      <c r="U16" t="s">
        <v>97</v>
      </c>
    </row>
    <row r="17" spans="1:20">
      <c r="A17" s="22" t="s">
        <v>98</v>
      </c>
      <c r="B17" s="23">
        <v>46120</v>
      </c>
      <c r="C17" t="s">
        <v>99</v>
      </c>
      <c r="E17" t="s">
        <v>45</v>
      </c>
      <c r="G17" t="s">
        <v>100</v>
      </c>
      <c r="H17" s="22" t="str">
        <f t="shared" si="5"/>
        <v>260408-013</v>
      </c>
      <c r="I17" t="s">
        <v>47</v>
      </c>
      <c r="J17" s="31">
        <v>14000</v>
      </c>
      <c r="K17" s="24">
        <f t="shared" si="4"/>
        <v>14000</v>
      </c>
      <c r="L17" t="s">
        <v>48</v>
      </c>
      <c r="M17" s="23"/>
      <c r="N17" s="4">
        <v>42865</v>
      </c>
      <c r="P17" s="22" t="s">
        <v>57</v>
      </c>
      <c r="Q17" s="23"/>
      <c r="R17" s="24" t="str">
        <f t="shared" si="7"/>
        <v>260408-013ENTRADA</v>
      </c>
      <c r="S17" s="24" t="str">
        <f t="shared" si="8"/>
        <v>Semilla RaigrásENTRADA</v>
      </c>
      <c r="T17" t="str">
        <f t="shared" si="6"/>
        <v>260408-013</v>
      </c>
    </row>
    <row r="18" spans="1:20">
      <c r="A18" s="22" t="s">
        <v>101</v>
      </c>
      <c r="B18" s="23">
        <v>46120</v>
      </c>
      <c r="C18" t="s">
        <v>102</v>
      </c>
      <c r="D18" t="s">
        <v>103</v>
      </c>
      <c r="E18" t="s">
        <v>53</v>
      </c>
      <c r="F18" t="s">
        <v>54</v>
      </c>
      <c r="G18" t="s">
        <v>55</v>
      </c>
      <c r="H18" s="22" t="str">
        <f t="shared" si="5"/>
        <v>260408-014</v>
      </c>
      <c r="I18" t="s">
        <v>47</v>
      </c>
      <c r="J18" s="31">
        <v>1140</v>
      </c>
      <c r="K18" s="24">
        <f t="shared" si="4"/>
        <v>1140</v>
      </c>
      <c r="L18" t="s">
        <v>56</v>
      </c>
      <c r="M18" s="23"/>
      <c r="N18" s="4">
        <v>12416</v>
      </c>
      <c r="P18" s="22" t="s">
        <v>57</v>
      </c>
      <c r="Q18" s="23"/>
      <c r="R18" s="24" t="str">
        <f t="shared" si="7"/>
        <v>260408-014ENTRADA</v>
      </c>
      <c r="S18" s="24" t="str">
        <f t="shared" si="8"/>
        <v>Starane XtraENTRADA</v>
      </c>
      <c r="T18" t="str">
        <f t="shared" si="6"/>
        <v>260408-014</v>
      </c>
    </row>
    <row r="19" spans="1:20">
      <c r="A19" s="22" t="s">
        <v>104</v>
      </c>
      <c r="B19" s="23">
        <v>46120</v>
      </c>
      <c r="C19" t="s">
        <v>105</v>
      </c>
      <c r="D19" t="s">
        <v>106</v>
      </c>
      <c r="E19" t="s">
        <v>53</v>
      </c>
      <c r="F19" t="s">
        <v>54</v>
      </c>
      <c r="G19" t="s">
        <v>55</v>
      </c>
      <c r="H19" s="22" t="str">
        <f t="shared" si="5"/>
        <v>260408-015</v>
      </c>
      <c r="I19" t="s">
        <v>47</v>
      </c>
      <c r="J19" s="31">
        <v>500</v>
      </c>
      <c r="K19" s="24">
        <f t="shared" si="4"/>
        <v>500</v>
      </c>
      <c r="L19" t="s">
        <v>56</v>
      </c>
      <c r="M19" s="23"/>
      <c r="N19" s="4">
        <v>12416</v>
      </c>
      <c r="P19" s="22" t="s">
        <v>57</v>
      </c>
      <c r="Q19" s="23"/>
      <c r="R19" s="24" t="str">
        <f t="shared" si="7"/>
        <v>260408-015ENTRADA</v>
      </c>
      <c r="S19" s="24" t="str">
        <f t="shared" si="8"/>
        <v>PixxaroENTRADA</v>
      </c>
      <c r="T19" t="str">
        <f t="shared" si="6"/>
        <v>260408-015</v>
      </c>
    </row>
    <row r="20" spans="1:20">
      <c r="A20" s="22" t="s">
        <v>107</v>
      </c>
      <c r="B20" s="23">
        <v>46120</v>
      </c>
      <c r="C20" t="s">
        <v>94</v>
      </c>
      <c r="D20" t="s">
        <v>95</v>
      </c>
      <c r="E20" t="s">
        <v>53</v>
      </c>
      <c r="F20" t="s">
        <v>54</v>
      </c>
      <c r="H20" s="22" t="s">
        <v>108</v>
      </c>
      <c r="I20" t="s">
        <v>84</v>
      </c>
      <c r="J20" s="31">
        <v>600</v>
      </c>
      <c r="K20" s="24">
        <f t="shared" si="4"/>
        <v>-600</v>
      </c>
      <c r="L20" t="s">
        <v>56</v>
      </c>
      <c r="M20" s="23"/>
      <c r="N20" s="4">
        <v>59310</v>
      </c>
      <c r="O20" t="s">
        <v>109</v>
      </c>
      <c r="P20" s="22" t="s">
        <v>57</v>
      </c>
      <c r="Q20" s="23"/>
      <c r="R20" s="24" t="str">
        <f t="shared" si="7"/>
        <v>260407-012SALIDA</v>
      </c>
      <c r="S20" s="24" t="str">
        <f t="shared" si="8"/>
        <v>Dedalo eliteSALIDA</v>
      </c>
      <c r="T20" t="str">
        <f t="shared" si="6"/>
        <v/>
      </c>
    </row>
    <row r="21" spans="1:20">
      <c r="A21" s="22" t="s">
        <v>110</v>
      </c>
      <c r="B21" s="23">
        <v>46120</v>
      </c>
      <c r="C21" t="s">
        <v>73</v>
      </c>
      <c r="D21" t="s">
        <v>74</v>
      </c>
      <c r="E21" t="s">
        <v>53</v>
      </c>
      <c r="F21" t="s">
        <v>54</v>
      </c>
      <c r="H21" s="22" t="s">
        <v>111</v>
      </c>
      <c r="I21" t="s">
        <v>84</v>
      </c>
      <c r="J21" s="31">
        <v>15</v>
      </c>
      <c r="K21" s="24">
        <f t="shared" si="4"/>
        <v>-15</v>
      </c>
      <c r="L21" t="s">
        <v>75</v>
      </c>
      <c r="M21" s="23"/>
      <c r="N21" s="4">
        <v>59310</v>
      </c>
      <c r="O21" t="s">
        <v>109</v>
      </c>
      <c r="P21" s="22" t="s">
        <v>57</v>
      </c>
      <c r="Q21" s="23"/>
      <c r="R21" s="24" t="str">
        <f t="shared" si="7"/>
        <v>260401-007SALIDA</v>
      </c>
      <c r="S21" s="24" t="str">
        <f t="shared" si="8"/>
        <v>TronadorSALIDA</v>
      </c>
      <c r="T21" t="str">
        <f t="shared" si="6"/>
        <v/>
      </c>
    </row>
    <row r="22" spans="1:20">
      <c r="A22" s="22" t="s">
        <v>112</v>
      </c>
      <c r="B22" s="23">
        <v>46120</v>
      </c>
      <c r="C22" t="s">
        <v>64</v>
      </c>
      <c r="D22" t="s">
        <v>82</v>
      </c>
      <c r="E22" t="s">
        <v>53</v>
      </c>
      <c r="F22" t="s">
        <v>66</v>
      </c>
      <c r="H22" s="22" t="s">
        <v>83</v>
      </c>
      <c r="I22" t="s">
        <v>84</v>
      </c>
      <c r="J22" s="31">
        <v>560</v>
      </c>
      <c r="K22" s="24">
        <f t="shared" si="4"/>
        <v>-560</v>
      </c>
      <c r="L22" t="s">
        <v>56</v>
      </c>
      <c r="M22" s="23"/>
      <c r="N22" s="4">
        <v>59310</v>
      </c>
      <c r="O22" t="s">
        <v>109</v>
      </c>
      <c r="P22" s="22" t="s">
        <v>57</v>
      </c>
      <c r="Q22" s="23"/>
      <c r="R22" s="24" t="str">
        <f t="shared" si="7"/>
        <v>260401-004SALIDA</v>
      </c>
      <c r="S22" s="24" t="str">
        <f t="shared" si="8"/>
        <v>PresideSALIDA</v>
      </c>
      <c r="T22" t="str">
        <f t="shared" si="6"/>
        <v/>
      </c>
    </row>
    <row r="23" spans="1:20">
      <c r="A23" s="22" t="s">
        <v>113</v>
      </c>
      <c r="B23" s="23">
        <v>46120</v>
      </c>
      <c r="C23" t="s">
        <v>102</v>
      </c>
      <c r="D23" t="s">
        <v>103</v>
      </c>
      <c r="E23" t="s">
        <v>53</v>
      </c>
      <c r="F23" t="s">
        <v>54</v>
      </c>
      <c r="H23" s="22" t="s">
        <v>114</v>
      </c>
      <c r="I23" t="s">
        <v>84</v>
      </c>
      <c r="J23" s="31">
        <v>600</v>
      </c>
      <c r="K23" s="24">
        <f t="shared" si="4"/>
        <v>-600</v>
      </c>
      <c r="L23" t="s">
        <v>56</v>
      </c>
      <c r="M23" s="23"/>
      <c r="N23" s="4">
        <v>59310</v>
      </c>
      <c r="O23" t="s">
        <v>109</v>
      </c>
      <c r="P23" s="22" t="s">
        <v>57</v>
      </c>
      <c r="Q23" s="23"/>
      <c r="R23" s="24" t="str">
        <f t="shared" si="7"/>
        <v>260408-014SALIDA</v>
      </c>
      <c r="S23" s="24" t="str">
        <f t="shared" si="8"/>
        <v>Starane XtraSALIDA</v>
      </c>
      <c r="T23" t="str">
        <f t="shared" si="6"/>
        <v/>
      </c>
    </row>
    <row r="24" spans="1:20">
      <c r="A24" s="22" t="s">
        <v>115</v>
      </c>
      <c r="B24" s="23">
        <v>46120</v>
      </c>
      <c r="C24" t="s">
        <v>78</v>
      </c>
      <c r="D24" t="s">
        <v>79</v>
      </c>
      <c r="E24" t="s">
        <v>53</v>
      </c>
      <c r="F24" t="s">
        <v>54</v>
      </c>
      <c r="H24" s="22" t="s">
        <v>87</v>
      </c>
      <c r="I24" t="s">
        <v>84</v>
      </c>
      <c r="J24" s="31">
        <v>2100</v>
      </c>
      <c r="K24" s="24">
        <f t="shared" si="4"/>
        <v>-2100</v>
      </c>
      <c r="L24" t="s">
        <v>56</v>
      </c>
      <c r="M24" s="23"/>
      <c r="N24" s="4">
        <v>59310</v>
      </c>
      <c r="O24" t="s">
        <v>109</v>
      </c>
      <c r="P24" s="22" t="s">
        <v>57</v>
      </c>
      <c r="Q24" s="23"/>
      <c r="R24" s="24" t="str">
        <f t="shared" si="7"/>
        <v>260401-008SALIDA</v>
      </c>
      <c r="S24" s="24" t="str">
        <f t="shared" si="8"/>
        <v>Venceweed extraSALIDA</v>
      </c>
      <c r="T24" t="str">
        <f t="shared" si="6"/>
        <v/>
      </c>
    </row>
    <row r="25" spans="1:20">
      <c r="A25" s="22" t="s">
        <v>116</v>
      </c>
      <c r="B25" s="23">
        <v>46120</v>
      </c>
      <c r="C25" t="s">
        <v>105</v>
      </c>
      <c r="D25" t="s">
        <v>106</v>
      </c>
      <c r="E25" t="s">
        <v>53</v>
      </c>
      <c r="F25" t="s">
        <v>54</v>
      </c>
      <c r="H25" s="22" t="s">
        <v>117</v>
      </c>
      <c r="I25" t="s">
        <v>84</v>
      </c>
      <c r="J25" s="31">
        <v>300</v>
      </c>
      <c r="K25" s="24">
        <f t="shared" si="4"/>
        <v>-300</v>
      </c>
      <c r="L25" t="s">
        <v>56</v>
      </c>
      <c r="M25" s="23"/>
      <c r="N25" s="4">
        <v>59310</v>
      </c>
      <c r="O25" t="s">
        <v>109</v>
      </c>
      <c r="P25" s="22" t="s">
        <v>57</v>
      </c>
      <c r="Q25" s="23"/>
      <c r="R25" s="24" t="str">
        <f t="shared" si="7"/>
        <v>260408-015SALIDA</v>
      </c>
      <c r="S25" s="24" t="str">
        <f t="shared" si="8"/>
        <v>PixxaroSALIDA</v>
      </c>
      <c r="T25" t="str">
        <f t="shared" si="6"/>
        <v/>
      </c>
    </row>
    <row r="26" spans="1:20">
      <c r="A26" s="22" t="s">
        <v>118</v>
      </c>
      <c r="B26" s="23">
        <v>46120</v>
      </c>
      <c r="C26" t="s">
        <v>51</v>
      </c>
      <c r="D26" t="s">
        <v>119</v>
      </c>
      <c r="E26" t="s">
        <v>53</v>
      </c>
      <c r="F26" t="s">
        <v>54</v>
      </c>
      <c r="H26" s="22" t="s">
        <v>120</v>
      </c>
      <c r="I26" t="s">
        <v>84</v>
      </c>
      <c r="J26" s="31">
        <v>200</v>
      </c>
      <c r="K26" s="24">
        <f t="shared" si="4"/>
        <v>-200</v>
      </c>
      <c r="L26" t="s">
        <v>56</v>
      </c>
      <c r="M26" s="23"/>
      <c r="N26" s="4">
        <v>59310</v>
      </c>
      <c r="O26" t="s">
        <v>109</v>
      </c>
      <c r="P26" s="22" t="s">
        <v>57</v>
      </c>
      <c r="Q26" s="23"/>
      <c r="R26" s="24" t="str">
        <f t="shared" si="7"/>
        <v>260401-002SALIDA</v>
      </c>
      <c r="S26" s="24" t="str">
        <f t="shared" si="8"/>
        <v>KorvettoSALIDA</v>
      </c>
      <c r="T26" t="str">
        <f t="shared" si="6"/>
        <v/>
      </c>
    </row>
    <row r="27" spans="1:20">
      <c r="A27" s="22" t="s">
        <v>121</v>
      </c>
      <c r="B27" s="23"/>
      <c r="H27" s="22" t="str">
        <f t="shared" si="5"/>
        <v/>
      </c>
      <c r="J27" s="31"/>
      <c r="K27" s="24" t="str">
        <f t="shared" si="4"/>
        <v/>
      </c>
      <c r="M27" s="23"/>
      <c r="N27" s="4"/>
      <c r="P27" s="22"/>
      <c r="Q27" s="23"/>
      <c r="R27" s="24" t="str">
        <f t="shared" si="7"/>
        <v/>
      </c>
      <c r="S27" s="24" t="str">
        <f t="shared" si="8"/>
        <v/>
      </c>
      <c r="T27" t="str">
        <f t="shared" si="6"/>
        <v/>
      </c>
    </row>
    <row r="28" spans="1:20">
      <c r="A28" s="22" t="s">
        <v>122</v>
      </c>
      <c r="B28" s="23"/>
      <c r="H28" s="22" t="str">
        <f t="shared" si="5"/>
        <v/>
      </c>
      <c r="J28" s="31"/>
      <c r="K28" s="24" t="str">
        <f t="shared" si="4"/>
        <v/>
      </c>
      <c r="M28" s="23"/>
      <c r="N28" s="4"/>
      <c r="P28" s="22"/>
      <c r="Q28" s="23"/>
      <c r="R28" s="24" t="str">
        <f t="shared" si="7"/>
        <v/>
      </c>
      <c r="S28" s="24" t="str">
        <f t="shared" si="8"/>
        <v/>
      </c>
      <c r="T28" t="str">
        <f t="shared" si="6"/>
        <v/>
      </c>
    </row>
    <row r="29" spans="1:20">
      <c r="A29" s="22" t="s">
        <v>123</v>
      </c>
      <c r="B29" s="23"/>
      <c r="H29" s="22" t="str">
        <f t="shared" si="5"/>
        <v/>
      </c>
      <c r="J29" s="31"/>
      <c r="K29" s="24" t="str">
        <f t="shared" si="4"/>
        <v/>
      </c>
      <c r="M29" s="23"/>
      <c r="N29" s="4"/>
      <c r="P29" s="22"/>
      <c r="Q29" s="23"/>
      <c r="R29" s="24" t="str">
        <f t="shared" si="7"/>
        <v/>
      </c>
      <c r="S29" s="24" t="str">
        <f t="shared" si="8"/>
        <v/>
      </c>
      <c r="T29" t="str">
        <f t="shared" si="6"/>
        <v/>
      </c>
    </row>
    <row r="30" spans="1:20">
      <c r="A30" s="22" t="s">
        <v>124</v>
      </c>
      <c r="B30" s="23"/>
      <c r="H30" s="22" t="str">
        <f t="shared" si="5"/>
        <v/>
      </c>
      <c r="J30" s="31"/>
      <c r="K30" s="24" t="str">
        <f t="shared" si="4"/>
        <v/>
      </c>
      <c r="M30" s="23"/>
      <c r="N30" s="4"/>
      <c r="P30" s="22"/>
      <c r="Q30" s="23"/>
      <c r="R30" s="24" t="str">
        <f t="shared" si="7"/>
        <v/>
      </c>
      <c r="S30" s="24" t="str">
        <f t="shared" si="8"/>
        <v/>
      </c>
      <c r="T30" t="str">
        <f t="shared" si="6"/>
        <v/>
      </c>
    </row>
    <row r="31" spans="1:20">
      <c r="A31" s="22" t="s">
        <v>125</v>
      </c>
      <c r="B31" s="23"/>
      <c r="H31" s="22" t="str">
        <f t="shared" si="5"/>
        <v/>
      </c>
      <c r="J31" s="31"/>
      <c r="K31" s="24" t="str">
        <f t="shared" si="4"/>
        <v/>
      </c>
      <c r="M31" s="23"/>
      <c r="N31" s="4"/>
      <c r="P31" s="22"/>
      <c r="Q31" s="23"/>
      <c r="R31" s="24" t="str">
        <f t="shared" si="7"/>
        <v/>
      </c>
      <c r="S31" s="24" t="str">
        <f t="shared" si="8"/>
        <v/>
      </c>
      <c r="T31" t="str">
        <f t="shared" si="6"/>
        <v/>
      </c>
    </row>
    <row r="32" spans="1:20">
      <c r="A32" s="22" t="s">
        <v>126</v>
      </c>
      <c r="B32" s="23"/>
      <c r="H32" s="22" t="str">
        <f t="shared" si="5"/>
        <v/>
      </c>
      <c r="J32" s="31"/>
      <c r="K32" s="24" t="str">
        <f t="shared" si="4"/>
        <v/>
      </c>
      <c r="M32" s="23"/>
      <c r="N32" s="4"/>
      <c r="P32" s="22"/>
      <c r="Q32" s="23"/>
      <c r="R32" s="24" t="str">
        <f t="shared" si="7"/>
        <v/>
      </c>
      <c r="S32" s="24" t="str">
        <f t="shared" si="8"/>
        <v/>
      </c>
      <c r="T32" t="str">
        <f t="shared" si="6"/>
        <v/>
      </c>
    </row>
    <row r="33" spans="1:20">
      <c r="A33" s="22" t="s">
        <v>127</v>
      </c>
      <c r="B33" s="5"/>
      <c r="C33" s="5"/>
      <c r="D33" s="5"/>
      <c r="E33" s="5"/>
      <c r="F33" s="5"/>
      <c r="G33" s="5"/>
      <c r="H33" s="22" t="str">
        <f t="shared" si="5"/>
        <v/>
      </c>
      <c r="I33" s="5"/>
      <c r="J33" s="33"/>
      <c r="K33" s="24" t="str">
        <f t="shared" si="4"/>
        <v/>
      </c>
      <c r="L33" s="5"/>
      <c r="M33" s="5"/>
      <c r="N33" s="5"/>
      <c r="O33" s="5"/>
      <c r="P33" s="22"/>
      <c r="Q33" s="23"/>
      <c r="R33" s="24" t="str">
        <f t="shared" si="7"/>
        <v/>
      </c>
      <c r="S33" s="24" t="str">
        <f t="shared" si="8"/>
        <v/>
      </c>
      <c r="T33" t="str">
        <f t="shared" si="6"/>
        <v/>
      </c>
    </row>
    <row r="34" spans="1:20">
      <c r="A34" s="22" t="s">
        <v>128</v>
      </c>
      <c r="B34" s="5"/>
      <c r="C34" s="5"/>
      <c r="D34" s="5"/>
      <c r="E34" s="5"/>
      <c r="F34" s="5"/>
      <c r="G34" s="5"/>
      <c r="H34" s="22" t="str">
        <f t="shared" si="5"/>
        <v/>
      </c>
      <c r="I34" s="5"/>
      <c r="J34" s="33"/>
      <c r="K34" s="24" t="str">
        <f t="shared" si="4"/>
        <v/>
      </c>
      <c r="L34" s="5"/>
      <c r="M34" s="5"/>
      <c r="N34" s="5"/>
      <c r="O34" s="5"/>
      <c r="P34" s="22"/>
      <c r="Q34" s="23"/>
      <c r="R34" s="24" t="str">
        <f t="shared" si="7"/>
        <v/>
      </c>
      <c r="S34" s="24" t="str">
        <f t="shared" si="8"/>
        <v/>
      </c>
      <c r="T34" t="str">
        <f t="shared" si="6"/>
        <v/>
      </c>
    </row>
    <row r="35" spans="1:20">
      <c r="A35" s="22" t="s">
        <v>129</v>
      </c>
      <c r="B35" s="5"/>
      <c r="C35" s="5"/>
      <c r="D35" s="5"/>
      <c r="E35" s="5"/>
      <c r="F35" s="5"/>
      <c r="G35" s="5"/>
      <c r="H35" s="22" t="str">
        <f t="shared" si="5"/>
        <v/>
      </c>
      <c r="I35" s="5"/>
      <c r="J35" s="33"/>
      <c r="K35" s="24" t="str">
        <f t="shared" si="4"/>
        <v/>
      </c>
      <c r="L35" s="5"/>
      <c r="M35" s="5"/>
      <c r="N35" s="5"/>
      <c r="O35" s="5"/>
      <c r="P35" s="22"/>
      <c r="Q35" s="23"/>
      <c r="R35" s="24" t="str">
        <f t="shared" si="7"/>
        <v/>
      </c>
      <c r="S35" s="24" t="str">
        <f t="shared" si="8"/>
        <v/>
      </c>
      <c r="T35" t="str">
        <f t="shared" si="6"/>
        <v/>
      </c>
    </row>
    <row r="36" spans="1:20">
      <c r="A36" s="22" t="s">
        <v>130</v>
      </c>
      <c r="B36" s="5"/>
      <c r="C36" s="5"/>
      <c r="D36" s="5"/>
      <c r="E36" s="5"/>
      <c r="F36" s="5"/>
      <c r="G36" s="5"/>
      <c r="H36" s="22" t="str">
        <f t="shared" si="5"/>
        <v/>
      </c>
      <c r="I36" s="5"/>
      <c r="J36" s="33"/>
      <c r="K36" s="24" t="str">
        <f t="shared" si="4"/>
        <v/>
      </c>
      <c r="L36" s="5"/>
      <c r="M36" s="5"/>
      <c r="N36" s="5"/>
      <c r="O36" s="5"/>
      <c r="P36" s="22"/>
      <c r="Q36" s="23"/>
      <c r="R36" s="24" t="str">
        <f t="shared" si="7"/>
        <v/>
      </c>
      <c r="S36" s="24" t="str">
        <f t="shared" si="8"/>
        <v/>
      </c>
      <c r="T36" t="str">
        <f t="shared" si="6"/>
        <v/>
      </c>
    </row>
    <row r="37" spans="1:20">
      <c r="A37" s="22" t="s">
        <v>131</v>
      </c>
      <c r="B37" s="5"/>
      <c r="C37" s="5"/>
      <c r="D37" s="5"/>
      <c r="E37" s="5"/>
      <c r="F37" s="5"/>
      <c r="G37" s="5"/>
      <c r="H37" s="22" t="str">
        <f t="shared" si="5"/>
        <v/>
      </c>
      <c r="I37" s="5"/>
      <c r="J37" s="33"/>
      <c r="K37" s="24" t="str">
        <f t="shared" si="4"/>
        <v/>
      </c>
      <c r="L37" s="5"/>
      <c r="M37" s="5"/>
      <c r="N37" s="5"/>
      <c r="O37" s="5"/>
      <c r="P37" s="22"/>
      <c r="Q37" s="23"/>
      <c r="R37" s="24" t="str">
        <f t="shared" si="7"/>
        <v/>
      </c>
      <c r="S37" s="24" t="str">
        <f t="shared" si="8"/>
        <v/>
      </c>
      <c r="T37" t="str">
        <f t="shared" si="6"/>
        <v/>
      </c>
    </row>
    <row r="38" spans="1:20">
      <c r="A38" s="22" t="s">
        <v>132</v>
      </c>
      <c r="B38" s="5"/>
      <c r="C38" s="5"/>
      <c r="D38" s="5"/>
      <c r="E38" s="5"/>
      <c r="F38" s="5"/>
      <c r="G38" s="5"/>
      <c r="H38" s="22" t="str">
        <f t="shared" si="5"/>
        <v/>
      </c>
      <c r="I38" s="5"/>
      <c r="J38" s="33"/>
      <c r="K38" s="24" t="str">
        <f t="shared" si="4"/>
        <v/>
      </c>
      <c r="L38" s="5"/>
      <c r="M38" s="5"/>
      <c r="N38" s="5"/>
      <c r="O38" s="5"/>
      <c r="P38" s="22"/>
      <c r="Q38" s="23"/>
      <c r="R38" s="24" t="str">
        <f t="shared" si="7"/>
        <v/>
      </c>
      <c r="S38" s="24" t="str">
        <f t="shared" si="8"/>
        <v/>
      </c>
      <c r="T38" t="str">
        <f t="shared" si="6"/>
        <v/>
      </c>
    </row>
    <row r="39" spans="1:20">
      <c r="A39" s="22" t="s">
        <v>133</v>
      </c>
      <c r="B39" s="5"/>
      <c r="C39" s="5"/>
      <c r="D39" s="5"/>
      <c r="E39" s="5"/>
      <c r="F39" s="5"/>
      <c r="G39" s="5"/>
      <c r="H39" s="22" t="str">
        <f t="shared" si="5"/>
        <v/>
      </c>
      <c r="I39" s="5"/>
      <c r="J39" s="33"/>
      <c r="K39" s="24" t="str">
        <f t="shared" si="4"/>
        <v/>
      </c>
      <c r="L39" s="5"/>
      <c r="M39" s="5"/>
      <c r="N39" s="5"/>
      <c r="O39" s="5"/>
      <c r="P39" s="22"/>
      <c r="Q39" s="23"/>
      <c r="R39" s="24" t="str">
        <f t="shared" si="7"/>
        <v/>
      </c>
      <c r="S39" s="24" t="str">
        <f t="shared" si="8"/>
        <v/>
      </c>
      <c r="T39" t="str">
        <f t="shared" si="6"/>
        <v/>
      </c>
    </row>
    <row r="40" spans="1:20">
      <c r="A40" s="22" t="s">
        <v>134</v>
      </c>
      <c r="B40" s="5"/>
      <c r="C40" s="5"/>
      <c r="D40" s="5"/>
      <c r="E40" s="5"/>
      <c r="F40" s="5"/>
      <c r="G40" s="5"/>
      <c r="H40" s="22" t="str">
        <f t="shared" si="5"/>
        <v/>
      </c>
      <c r="I40" s="5"/>
      <c r="J40" s="33"/>
      <c r="K40" s="24" t="str">
        <f t="shared" si="4"/>
        <v/>
      </c>
      <c r="L40" s="5"/>
      <c r="M40" s="5"/>
      <c r="N40" s="5"/>
      <c r="O40" s="5"/>
      <c r="P40" s="22"/>
      <c r="Q40" s="23"/>
      <c r="R40" s="24" t="str">
        <f t="shared" si="7"/>
        <v/>
      </c>
      <c r="S40" s="24" t="str">
        <f t="shared" si="8"/>
        <v/>
      </c>
      <c r="T40" t="str">
        <f t="shared" si="6"/>
        <v/>
      </c>
    </row>
    <row r="41" spans="1:20">
      <c r="A41" s="22" t="s">
        <v>135</v>
      </c>
      <c r="B41" s="5"/>
      <c r="C41" s="5"/>
      <c r="D41" s="5"/>
      <c r="E41" s="5"/>
      <c r="F41" s="5"/>
      <c r="G41" s="5"/>
      <c r="H41" s="22" t="str">
        <f t="shared" si="5"/>
        <v/>
      </c>
      <c r="I41" s="5"/>
      <c r="J41" s="33"/>
      <c r="K41" s="24" t="str">
        <f t="shared" si="4"/>
        <v/>
      </c>
      <c r="L41" s="5"/>
      <c r="M41" s="5"/>
      <c r="N41" s="5"/>
      <c r="O41" s="5"/>
      <c r="P41" s="22"/>
      <c r="Q41" s="23"/>
      <c r="R41" s="24" t="str">
        <f t="shared" si="7"/>
        <v/>
      </c>
      <c r="S41" s="24" t="str">
        <f t="shared" si="8"/>
        <v/>
      </c>
      <c r="T41" t="str">
        <f t="shared" si="6"/>
        <v/>
      </c>
    </row>
    <row r="42" spans="1:20">
      <c r="A42" s="22" t="s">
        <v>136</v>
      </c>
      <c r="B42" s="5"/>
      <c r="C42" s="5"/>
      <c r="D42" s="5"/>
      <c r="E42" s="5"/>
      <c r="F42" s="5"/>
      <c r="G42" s="5"/>
      <c r="H42" s="22" t="str">
        <f t="shared" si="5"/>
        <v/>
      </c>
      <c r="I42" s="5"/>
      <c r="J42" s="33"/>
      <c r="K42" s="24" t="str">
        <f t="shared" si="4"/>
        <v/>
      </c>
      <c r="L42" s="5"/>
      <c r="M42" s="5"/>
      <c r="N42" s="5"/>
      <c r="O42" s="5"/>
      <c r="P42" s="22"/>
      <c r="Q42" s="23"/>
      <c r="R42" s="24" t="str">
        <f t="shared" si="7"/>
        <v/>
      </c>
      <c r="S42" s="24" t="str">
        <f t="shared" si="8"/>
        <v/>
      </c>
      <c r="T42" t="str">
        <f t="shared" si="6"/>
        <v/>
      </c>
    </row>
    <row r="43" spans="1:20">
      <c r="A43" s="22" t="s">
        <v>137</v>
      </c>
      <c r="B43" s="5"/>
      <c r="C43" s="5"/>
      <c r="D43" s="5"/>
      <c r="E43" s="5"/>
      <c r="F43" s="5"/>
      <c r="G43" s="5"/>
      <c r="H43" s="22" t="str">
        <f t="shared" si="5"/>
        <v/>
      </c>
      <c r="I43" s="5"/>
      <c r="J43" s="33"/>
      <c r="K43" s="24" t="str">
        <f t="shared" si="4"/>
        <v/>
      </c>
      <c r="L43" s="5"/>
      <c r="M43" s="5"/>
      <c r="N43" s="5"/>
      <c r="O43" s="5"/>
      <c r="P43" s="22"/>
      <c r="Q43" s="23"/>
      <c r="R43" s="24" t="str">
        <f t="shared" si="7"/>
        <v/>
      </c>
      <c r="S43" s="24" t="str">
        <f t="shared" si="8"/>
        <v/>
      </c>
      <c r="T43" t="str">
        <f t="shared" si="6"/>
        <v/>
      </c>
    </row>
    <row r="44" spans="1:20">
      <c r="A44" s="22" t="s">
        <v>138</v>
      </c>
      <c r="B44" s="5"/>
      <c r="C44" s="5"/>
      <c r="D44" s="5"/>
      <c r="E44" s="5"/>
      <c r="F44" s="5"/>
      <c r="G44" s="5"/>
      <c r="H44" s="22" t="str">
        <f t="shared" si="5"/>
        <v/>
      </c>
      <c r="I44" s="5"/>
      <c r="J44" s="33"/>
      <c r="K44" s="24" t="str">
        <f t="shared" si="4"/>
        <v/>
      </c>
      <c r="L44" s="5"/>
      <c r="M44" s="5"/>
      <c r="N44" s="5"/>
      <c r="O44" s="5"/>
      <c r="P44" s="22"/>
      <c r="Q44" s="23"/>
      <c r="R44" s="24" t="str">
        <f t="shared" si="7"/>
        <v/>
      </c>
      <c r="S44" s="24" t="str">
        <f t="shared" si="8"/>
        <v/>
      </c>
      <c r="T44" t="str">
        <f t="shared" si="6"/>
        <v/>
      </c>
    </row>
    <row r="45" spans="1:20">
      <c r="A45" s="22" t="s">
        <v>139</v>
      </c>
      <c r="B45" s="5"/>
      <c r="C45" s="5"/>
      <c r="D45" s="5"/>
      <c r="E45" s="5"/>
      <c r="F45" s="5"/>
      <c r="G45" s="5"/>
      <c r="H45" s="22" t="str">
        <f t="shared" si="5"/>
        <v/>
      </c>
      <c r="I45" s="5"/>
      <c r="J45" s="33"/>
      <c r="K45" s="24" t="str">
        <f t="shared" si="4"/>
        <v/>
      </c>
      <c r="L45" s="5"/>
      <c r="M45" s="5"/>
      <c r="N45" s="5"/>
      <c r="O45" s="5"/>
      <c r="P45" s="22"/>
      <c r="Q45" s="23"/>
      <c r="R45" s="24" t="str">
        <f t="shared" si="7"/>
        <v/>
      </c>
      <c r="S45" s="24" t="str">
        <f t="shared" si="8"/>
        <v/>
      </c>
      <c r="T45" t="str">
        <f t="shared" si="6"/>
        <v/>
      </c>
    </row>
    <row r="46" spans="1:20">
      <c r="A46" s="22" t="s">
        <v>140</v>
      </c>
      <c r="B46" s="5"/>
      <c r="C46" s="5"/>
      <c r="D46" s="5"/>
      <c r="E46" s="5"/>
      <c r="F46" s="5"/>
      <c r="G46" s="5"/>
      <c r="H46" s="22" t="str">
        <f t="shared" si="5"/>
        <v/>
      </c>
      <c r="I46" s="5"/>
      <c r="J46" s="33"/>
      <c r="K46" s="24" t="str">
        <f t="shared" si="4"/>
        <v/>
      </c>
      <c r="L46" s="5"/>
      <c r="M46" s="5"/>
      <c r="N46" s="5"/>
      <c r="O46" s="5"/>
      <c r="P46" s="22"/>
      <c r="Q46" s="23"/>
      <c r="R46" s="24" t="str">
        <f t="shared" si="7"/>
        <v/>
      </c>
      <c r="S46" s="24" t="str">
        <f t="shared" si="8"/>
        <v/>
      </c>
      <c r="T46" t="str">
        <f t="shared" si="6"/>
        <v/>
      </c>
    </row>
    <row r="47" spans="1:20">
      <c r="A47" s="22" t="s">
        <v>141</v>
      </c>
      <c r="B47" s="5"/>
      <c r="C47" s="5"/>
      <c r="D47" s="5"/>
      <c r="E47" s="5"/>
      <c r="F47" s="5"/>
      <c r="G47" s="5"/>
      <c r="H47" s="22" t="str">
        <f t="shared" si="5"/>
        <v/>
      </c>
      <c r="I47" s="5"/>
      <c r="J47" s="33"/>
      <c r="K47" s="24" t="str">
        <f t="shared" si="4"/>
        <v/>
      </c>
      <c r="L47" s="5"/>
      <c r="M47" s="5"/>
      <c r="N47" s="5"/>
      <c r="O47" s="5"/>
      <c r="P47" s="5"/>
      <c r="Q47" s="23"/>
      <c r="R47" s="24" t="str">
        <f t="shared" si="7"/>
        <v/>
      </c>
      <c r="S47" s="24" t="str">
        <f t="shared" si="8"/>
        <v/>
      </c>
      <c r="T47" t="str">
        <f t="shared" si="6"/>
        <v/>
      </c>
    </row>
    <row r="48" spans="1:20">
      <c r="A48" s="22" t="s">
        <v>142</v>
      </c>
      <c r="B48" s="5"/>
      <c r="C48" s="5"/>
      <c r="D48" s="5"/>
      <c r="E48" s="5"/>
      <c r="F48" s="5"/>
      <c r="G48" s="5"/>
      <c r="H48" s="22" t="str">
        <f t="shared" si="5"/>
        <v/>
      </c>
      <c r="I48" s="5"/>
      <c r="J48" s="33"/>
      <c r="K48" s="24" t="str">
        <f t="shared" si="4"/>
        <v/>
      </c>
      <c r="L48" s="5"/>
      <c r="M48" s="5"/>
      <c r="N48" s="5"/>
      <c r="O48" s="5"/>
      <c r="P48" s="5"/>
      <c r="Q48" s="23"/>
      <c r="R48" s="24" t="str">
        <f t="shared" si="7"/>
        <v/>
      </c>
      <c r="S48" s="24" t="str">
        <f t="shared" si="8"/>
        <v/>
      </c>
      <c r="T48" t="str">
        <f t="shared" si="6"/>
        <v/>
      </c>
    </row>
    <row r="49" spans="1:20">
      <c r="A49" s="22" t="s">
        <v>143</v>
      </c>
      <c r="B49" s="5"/>
      <c r="C49" s="5"/>
      <c r="D49" s="5"/>
      <c r="E49" s="5"/>
      <c r="F49" s="5"/>
      <c r="G49" s="5"/>
      <c r="H49" s="22" t="str">
        <f t="shared" si="5"/>
        <v/>
      </c>
      <c r="I49" s="5"/>
      <c r="J49" s="33"/>
      <c r="K49" s="24" t="str">
        <f t="shared" si="4"/>
        <v/>
      </c>
      <c r="L49" s="5"/>
      <c r="M49" s="5"/>
      <c r="N49" s="5"/>
      <c r="O49" s="5"/>
      <c r="P49" s="5"/>
      <c r="Q49" s="23"/>
      <c r="R49" s="24" t="str">
        <f t="shared" si="7"/>
        <v/>
      </c>
      <c r="S49" s="24" t="str">
        <f t="shared" si="8"/>
        <v/>
      </c>
      <c r="T49" t="str">
        <f t="shared" si="6"/>
        <v/>
      </c>
    </row>
    <row r="50" spans="1:20">
      <c r="A50" s="22" t="s">
        <v>144</v>
      </c>
      <c r="B50" s="5"/>
      <c r="C50" s="5"/>
      <c r="D50" s="5"/>
      <c r="E50" s="5"/>
      <c r="F50" s="5"/>
      <c r="G50" s="5"/>
      <c r="H50" s="22" t="str">
        <f t="shared" si="5"/>
        <v/>
      </c>
      <c r="I50" s="5"/>
      <c r="J50" s="33"/>
      <c r="K50" s="24" t="str">
        <f t="shared" si="4"/>
        <v/>
      </c>
      <c r="L50" s="5"/>
      <c r="M50" s="5"/>
      <c r="N50" s="5"/>
      <c r="O50" s="5"/>
      <c r="P50" s="5"/>
      <c r="Q50" s="23"/>
      <c r="R50" s="24" t="str">
        <f t="shared" si="7"/>
        <v/>
      </c>
      <c r="S50" s="24" t="str">
        <f t="shared" si="8"/>
        <v/>
      </c>
      <c r="T50" t="str">
        <f t="shared" si="6"/>
        <v/>
      </c>
    </row>
    <row r="51" spans="1:20">
      <c r="A51" s="22" t="s">
        <v>145</v>
      </c>
      <c r="B51" s="5"/>
      <c r="C51" s="5"/>
      <c r="D51" s="5"/>
      <c r="E51" s="5"/>
      <c r="F51" s="5"/>
      <c r="G51" s="5"/>
      <c r="H51" s="22" t="str">
        <f t="shared" si="5"/>
        <v/>
      </c>
      <c r="I51" s="5"/>
      <c r="J51" s="33"/>
      <c r="K51" s="24" t="str">
        <f t="shared" si="4"/>
        <v/>
      </c>
      <c r="L51" s="5"/>
      <c r="M51" s="5"/>
      <c r="N51" s="5"/>
      <c r="O51" s="5"/>
      <c r="P51" s="5"/>
      <c r="Q51" s="23"/>
      <c r="R51" s="24" t="str">
        <f t="shared" si="7"/>
        <v/>
      </c>
      <c r="S51" s="24" t="str">
        <f t="shared" si="8"/>
        <v/>
      </c>
      <c r="T51" t="str">
        <f t="shared" si="6"/>
        <v/>
      </c>
    </row>
    <row r="52" spans="1:20">
      <c r="A52" s="22" t="s">
        <v>146</v>
      </c>
      <c r="B52" s="5"/>
      <c r="C52" s="5"/>
      <c r="D52" s="5"/>
      <c r="E52" s="5"/>
      <c r="F52" s="5"/>
      <c r="G52" s="5"/>
      <c r="H52" s="22" t="str">
        <f t="shared" si="5"/>
        <v/>
      </c>
      <c r="I52" s="5"/>
      <c r="J52" s="33"/>
      <c r="K52" s="24" t="str">
        <f t="shared" si="4"/>
        <v/>
      </c>
      <c r="L52" s="5"/>
      <c r="M52" s="5"/>
      <c r="N52" s="5"/>
      <c r="O52" s="5"/>
      <c r="P52" s="5"/>
      <c r="Q52" s="23"/>
      <c r="R52" s="24" t="str">
        <f t="shared" si="7"/>
        <v/>
      </c>
      <c r="S52" s="24" t="str">
        <f t="shared" si="8"/>
        <v/>
      </c>
      <c r="T52" t="str">
        <f t="shared" si="6"/>
        <v/>
      </c>
    </row>
    <row r="53" spans="1:20">
      <c r="A53" s="22" t="s">
        <v>147</v>
      </c>
      <c r="B53" s="5"/>
      <c r="C53" s="5"/>
      <c r="D53" s="5"/>
      <c r="E53" s="5"/>
      <c r="F53" s="5"/>
      <c r="G53" s="5"/>
      <c r="H53" s="22" t="str">
        <f t="shared" si="5"/>
        <v/>
      </c>
      <c r="I53" s="5"/>
      <c r="J53" s="33"/>
      <c r="K53" s="24" t="str">
        <f t="shared" si="4"/>
        <v/>
      </c>
      <c r="L53" s="5"/>
      <c r="M53" s="5"/>
      <c r="N53" s="5"/>
      <c r="O53" s="5"/>
      <c r="P53" s="5"/>
      <c r="Q53" s="23"/>
      <c r="R53" s="24" t="str">
        <f t="shared" si="7"/>
        <v/>
      </c>
      <c r="S53" s="24" t="str">
        <f t="shared" si="8"/>
        <v/>
      </c>
      <c r="T53" t="str">
        <f t="shared" si="6"/>
        <v/>
      </c>
    </row>
    <row r="54" spans="1:20">
      <c r="A54" s="22" t="s">
        <v>148</v>
      </c>
      <c r="B54" s="5"/>
      <c r="C54" s="5"/>
      <c r="D54" s="5"/>
      <c r="E54" s="5"/>
      <c r="F54" s="5"/>
      <c r="G54" s="5"/>
      <c r="H54" s="22" t="str">
        <f t="shared" si="5"/>
        <v/>
      </c>
      <c r="I54" s="5"/>
      <c r="J54" s="33"/>
      <c r="K54" s="24" t="str">
        <f t="shared" si="4"/>
        <v/>
      </c>
      <c r="L54" s="5"/>
      <c r="M54" s="5"/>
      <c r="N54" s="5"/>
      <c r="O54" s="5"/>
      <c r="P54" s="5"/>
      <c r="Q54" s="23"/>
      <c r="R54" s="24" t="str">
        <f t="shared" si="7"/>
        <v/>
      </c>
      <c r="S54" s="24" t="str">
        <f t="shared" si="8"/>
        <v/>
      </c>
      <c r="T54" t="str">
        <f t="shared" si="6"/>
        <v/>
      </c>
    </row>
    <row r="55" spans="1:20">
      <c r="A55" s="22" t="s">
        <v>149</v>
      </c>
      <c r="B55" s="5"/>
      <c r="C55" s="5"/>
      <c r="D55" s="5"/>
      <c r="E55" s="5"/>
      <c r="F55" s="5"/>
      <c r="G55" s="5"/>
      <c r="H55" s="22" t="str">
        <f t="shared" si="5"/>
        <v/>
      </c>
      <c r="I55" s="5"/>
      <c r="J55" s="33"/>
      <c r="K55" s="24" t="str">
        <f t="shared" si="4"/>
        <v/>
      </c>
      <c r="L55" s="5"/>
      <c r="M55" s="5"/>
      <c r="N55" s="5"/>
      <c r="O55" s="5"/>
      <c r="P55" s="5"/>
      <c r="Q55" s="23"/>
      <c r="R55" s="24" t="str">
        <f t="shared" si="7"/>
        <v/>
      </c>
      <c r="S55" s="24" t="str">
        <f t="shared" si="8"/>
        <v/>
      </c>
      <c r="T55" t="str">
        <f t="shared" si="6"/>
        <v/>
      </c>
    </row>
    <row r="56" spans="1:20">
      <c r="A56" s="22" t="s">
        <v>150</v>
      </c>
      <c r="B56" s="5"/>
      <c r="C56" s="5"/>
      <c r="D56" s="5"/>
      <c r="E56" s="5"/>
      <c r="F56" s="5"/>
      <c r="G56" s="5"/>
      <c r="H56" s="22" t="str">
        <f t="shared" si="5"/>
        <v/>
      </c>
      <c r="I56" s="5"/>
      <c r="J56" s="33"/>
      <c r="K56" s="24" t="str">
        <f t="shared" si="4"/>
        <v/>
      </c>
      <c r="L56" s="5"/>
      <c r="M56" s="5"/>
      <c r="N56" s="5"/>
      <c r="O56" s="5"/>
      <c r="P56" s="5"/>
      <c r="Q56" s="23"/>
      <c r="R56" s="24" t="str">
        <f t="shared" si="7"/>
        <v/>
      </c>
      <c r="S56" s="24" t="str">
        <f t="shared" si="8"/>
        <v/>
      </c>
      <c r="T56" t="str">
        <f t="shared" si="6"/>
        <v/>
      </c>
    </row>
    <row r="57" spans="1:20">
      <c r="A57" s="22" t="s">
        <v>151</v>
      </c>
      <c r="B57" s="5"/>
      <c r="C57" s="5"/>
      <c r="D57" s="5"/>
      <c r="E57" s="5"/>
      <c r="F57" s="5"/>
      <c r="G57" s="5"/>
      <c r="H57" s="22" t="str">
        <f t="shared" si="5"/>
        <v/>
      </c>
      <c r="I57" s="5"/>
      <c r="J57" s="33"/>
      <c r="K57" s="24" t="str">
        <f t="shared" si="4"/>
        <v/>
      </c>
      <c r="L57" s="5"/>
      <c r="M57" s="5"/>
      <c r="N57" s="5"/>
      <c r="O57" s="5"/>
      <c r="P57" s="5"/>
      <c r="Q57" s="23"/>
      <c r="R57" s="24" t="str">
        <f t="shared" si="7"/>
        <v/>
      </c>
      <c r="S57" s="24" t="str">
        <f t="shared" si="8"/>
        <v/>
      </c>
      <c r="T57" t="str">
        <f t="shared" si="6"/>
        <v/>
      </c>
    </row>
    <row r="58" spans="1:20">
      <c r="A58" s="22" t="s">
        <v>152</v>
      </c>
      <c r="B58" s="5"/>
      <c r="C58" s="5"/>
      <c r="D58" s="5"/>
      <c r="E58" s="5"/>
      <c r="F58" s="5"/>
      <c r="G58" s="5"/>
      <c r="H58" s="22" t="str">
        <f t="shared" si="5"/>
        <v/>
      </c>
      <c r="I58" s="5"/>
      <c r="J58" s="33"/>
      <c r="K58" s="24" t="str">
        <f t="shared" si="4"/>
        <v/>
      </c>
      <c r="L58" s="5"/>
      <c r="M58" s="5"/>
      <c r="N58" s="5"/>
      <c r="O58" s="5"/>
      <c r="P58" s="5"/>
      <c r="Q58" s="23"/>
      <c r="R58" s="24" t="str">
        <f t="shared" si="7"/>
        <v/>
      </c>
      <c r="S58" s="24" t="str">
        <f t="shared" si="8"/>
        <v/>
      </c>
      <c r="T58" t="str">
        <f t="shared" si="6"/>
        <v/>
      </c>
    </row>
    <row r="59" spans="1:20">
      <c r="A59" s="22" t="s">
        <v>153</v>
      </c>
      <c r="B59" s="5"/>
      <c r="C59" s="5"/>
      <c r="D59" s="5"/>
      <c r="E59" s="5"/>
      <c r="F59" s="5"/>
      <c r="G59" s="5"/>
      <c r="H59" s="22" t="str">
        <f t="shared" si="5"/>
        <v/>
      </c>
      <c r="I59" s="5"/>
      <c r="J59" s="33"/>
      <c r="K59" s="24" t="str">
        <f t="shared" si="4"/>
        <v/>
      </c>
      <c r="L59" s="5"/>
      <c r="M59" s="5"/>
      <c r="N59" s="5"/>
      <c r="O59" s="5"/>
      <c r="P59" s="5"/>
      <c r="Q59" s="23"/>
      <c r="R59" s="24" t="str">
        <f t="shared" si="7"/>
        <v/>
      </c>
      <c r="S59" s="24" t="str">
        <f t="shared" si="8"/>
        <v/>
      </c>
      <c r="T59" t="str">
        <f t="shared" si="6"/>
        <v/>
      </c>
    </row>
    <row r="60" spans="1:20">
      <c r="A60" s="22" t="s">
        <v>154</v>
      </c>
      <c r="B60" s="5"/>
      <c r="C60" s="5"/>
      <c r="D60" s="5"/>
      <c r="E60" s="5"/>
      <c r="F60" s="5"/>
      <c r="G60" s="5"/>
      <c r="H60" s="22" t="str">
        <f t="shared" si="5"/>
        <v/>
      </c>
      <c r="I60" s="5"/>
      <c r="J60" s="33"/>
      <c r="K60" s="24" t="str">
        <f t="shared" si="4"/>
        <v/>
      </c>
      <c r="L60" s="5"/>
      <c r="M60" s="5"/>
      <c r="N60" s="5"/>
      <c r="O60" s="5"/>
      <c r="P60" s="5"/>
      <c r="Q60" s="23"/>
      <c r="R60" s="24" t="str">
        <f t="shared" si="7"/>
        <v/>
      </c>
      <c r="S60" s="24" t="str">
        <f t="shared" si="8"/>
        <v/>
      </c>
      <c r="T60" t="str">
        <f t="shared" si="6"/>
        <v/>
      </c>
    </row>
    <row r="61" spans="1:20">
      <c r="A61" s="22" t="s">
        <v>155</v>
      </c>
      <c r="B61" s="5"/>
      <c r="C61" s="5"/>
      <c r="D61" s="5"/>
      <c r="E61" s="5"/>
      <c r="F61" s="5"/>
      <c r="G61" s="5"/>
      <c r="H61" s="22" t="str">
        <f t="shared" si="5"/>
        <v/>
      </c>
      <c r="I61" s="5"/>
      <c r="J61" s="33"/>
      <c r="K61" s="24" t="str">
        <f t="shared" si="4"/>
        <v/>
      </c>
      <c r="L61" s="5"/>
      <c r="M61" s="5"/>
      <c r="N61" s="5"/>
      <c r="O61" s="5"/>
      <c r="P61" s="5"/>
      <c r="Q61" s="23"/>
      <c r="R61" s="24" t="str">
        <f t="shared" si="7"/>
        <v/>
      </c>
      <c r="S61" s="24" t="str">
        <f t="shared" si="8"/>
        <v/>
      </c>
      <c r="T61" t="str">
        <f t="shared" si="6"/>
        <v/>
      </c>
    </row>
    <row r="62" spans="1:20">
      <c r="A62" s="22" t="s">
        <v>156</v>
      </c>
      <c r="B62" s="5"/>
      <c r="C62" s="5"/>
      <c r="D62" s="5"/>
      <c r="E62" s="5"/>
      <c r="F62" s="5"/>
      <c r="G62" s="5"/>
      <c r="H62" s="22" t="str">
        <f t="shared" si="5"/>
        <v/>
      </c>
      <c r="I62" s="5"/>
      <c r="J62" s="33"/>
      <c r="K62" s="24" t="str">
        <f t="shared" si="4"/>
        <v/>
      </c>
      <c r="L62" s="5"/>
      <c r="M62" s="5"/>
      <c r="N62" s="5"/>
      <c r="O62" s="5"/>
      <c r="P62" s="5"/>
      <c r="Q62" s="23"/>
      <c r="R62" s="24" t="str">
        <f t="shared" si="7"/>
        <v/>
      </c>
      <c r="S62" s="24" t="str">
        <f t="shared" si="8"/>
        <v/>
      </c>
      <c r="T62" t="str">
        <f t="shared" si="6"/>
        <v/>
      </c>
    </row>
    <row r="63" spans="1:20">
      <c r="A63" s="22" t="s">
        <v>157</v>
      </c>
      <c r="B63" s="5"/>
      <c r="C63" s="5"/>
      <c r="D63" s="5"/>
      <c r="E63" s="5"/>
      <c r="F63" s="5"/>
      <c r="G63" s="5"/>
      <c r="H63" s="22" t="str">
        <f t="shared" si="5"/>
        <v/>
      </c>
      <c r="I63" s="5"/>
      <c r="J63" s="33"/>
      <c r="K63" s="24" t="str">
        <f t="shared" si="4"/>
        <v/>
      </c>
      <c r="L63" s="5"/>
      <c r="M63" s="5"/>
      <c r="N63" s="5"/>
      <c r="O63" s="5"/>
      <c r="P63" s="5"/>
      <c r="Q63" s="23"/>
      <c r="R63" s="24" t="str">
        <f t="shared" si="7"/>
        <v/>
      </c>
      <c r="S63" s="24" t="str">
        <f t="shared" si="8"/>
        <v/>
      </c>
      <c r="T63" t="str">
        <f t="shared" si="6"/>
        <v/>
      </c>
    </row>
    <row r="64" spans="1:20">
      <c r="A64" s="22" t="s">
        <v>158</v>
      </c>
      <c r="B64" s="5"/>
      <c r="C64" s="5"/>
      <c r="D64" s="5"/>
      <c r="E64" s="5"/>
      <c r="F64" s="5"/>
      <c r="G64" s="5"/>
      <c r="H64" s="22" t="str">
        <f t="shared" si="5"/>
        <v/>
      </c>
      <c r="I64" s="5"/>
      <c r="J64" s="33"/>
      <c r="K64" s="24" t="str">
        <f t="shared" si="4"/>
        <v/>
      </c>
      <c r="L64" s="5"/>
      <c r="M64" s="5"/>
      <c r="N64" s="5"/>
      <c r="O64" s="5"/>
      <c r="P64" s="5"/>
      <c r="Q64" s="23"/>
      <c r="R64" s="24" t="str">
        <f t="shared" si="7"/>
        <v/>
      </c>
      <c r="S64" s="24" t="str">
        <f t="shared" si="8"/>
        <v/>
      </c>
      <c r="T64" t="str">
        <f t="shared" si="6"/>
        <v/>
      </c>
    </row>
    <row r="65" spans="1:20">
      <c r="A65" s="22" t="s">
        <v>159</v>
      </c>
      <c r="B65" s="5"/>
      <c r="C65" s="5"/>
      <c r="D65" s="5"/>
      <c r="E65" s="5"/>
      <c r="F65" s="5"/>
      <c r="G65" s="5"/>
      <c r="H65" s="22" t="str">
        <f t="shared" si="5"/>
        <v/>
      </c>
      <c r="I65" s="5"/>
      <c r="J65" s="33"/>
      <c r="K65" s="24" t="str">
        <f t="shared" si="4"/>
        <v/>
      </c>
      <c r="L65" s="5"/>
      <c r="M65" s="5"/>
      <c r="N65" s="5"/>
      <c r="O65" s="5"/>
      <c r="P65" s="5"/>
      <c r="Q65" s="23"/>
      <c r="R65" s="24" t="str">
        <f t="shared" si="7"/>
        <v/>
      </c>
      <c r="S65" s="24" t="str">
        <f t="shared" si="8"/>
        <v/>
      </c>
      <c r="T65" t="str">
        <f t="shared" si="6"/>
        <v/>
      </c>
    </row>
    <row r="66" spans="1:20">
      <c r="A66" s="22" t="s">
        <v>160</v>
      </c>
      <c r="B66" s="5"/>
      <c r="C66" s="5"/>
      <c r="D66" s="5"/>
      <c r="E66" s="5"/>
      <c r="F66" s="5"/>
      <c r="G66" s="5"/>
      <c r="H66" s="22" t="str">
        <f t="shared" si="5"/>
        <v/>
      </c>
      <c r="I66" s="5"/>
      <c r="J66" s="33"/>
      <c r="K66" s="24" t="str">
        <f t="shared" si="4"/>
        <v/>
      </c>
      <c r="L66" s="5"/>
      <c r="M66" s="5"/>
      <c r="N66" s="5"/>
      <c r="O66" s="5"/>
      <c r="P66" s="5"/>
      <c r="Q66" s="23"/>
      <c r="R66" s="24" t="str">
        <f t="shared" si="7"/>
        <v/>
      </c>
      <c r="S66" s="24" t="str">
        <f t="shared" si="8"/>
        <v/>
      </c>
      <c r="T66" t="str">
        <f t="shared" si="6"/>
        <v/>
      </c>
    </row>
    <row r="67" spans="1:20">
      <c r="A67" s="22" t="s">
        <v>161</v>
      </c>
      <c r="B67" s="5"/>
      <c r="C67" s="5"/>
      <c r="D67" s="5"/>
      <c r="E67" s="5"/>
      <c r="F67" s="5"/>
      <c r="G67" s="5"/>
      <c r="H67" s="22" t="str">
        <f t="shared" si="5"/>
        <v/>
      </c>
      <c r="I67" s="5"/>
      <c r="J67" s="33"/>
      <c r="K67" s="24" t="str">
        <f t="shared" si="4"/>
        <v/>
      </c>
      <c r="L67" s="5"/>
      <c r="M67" s="5"/>
      <c r="N67" s="5"/>
      <c r="O67" s="5"/>
      <c r="P67" s="5"/>
      <c r="Q67" s="23"/>
      <c r="R67" s="24" t="str">
        <f t="shared" si="7"/>
        <v/>
      </c>
      <c r="S67" s="24" t="str">
        <f t="shared" si="8"/>
        <v/>
      </c>
      <c r="T67" t="str">
        <f t="shared" si="6"/>
        <v/>
      </c>
    </row>
    <row r="68" spans="1:20">
      <c r="A68" s="22" t="s">
        <v>162</v>
      </c>
      <c r="B68" s="5"/>
      <c r="C68" s="5"/>
      <c r="D68" s="5"/>
      <c r="E68" s="5"/>
      <c r="F68" s="5"/>
      <c r="G68" s="5"/>
      <c r="H68" s="22" t="str">
        <f t="shared" si="5"/>
        <v/>
      </c>
      <c r="I68" s="5"/>
      <c r="J68" s="33"/>
      <c r="K68" s="24" t="str">
        <f t="shared" si="4"/>
        <v/>
      </c>
      <c r="L68" s="5"/>
      <c r="M68" s="5"/>
      <c r="N68" s="5"/>
      <c r="O68" s="5"/>
      <c r="P68" s="5"/>
      <c r="Q68" s="23"/>
      <c r="R68" s="24" t="str">
        <f t="shared" si="7"/>
        <v/>
      </c>
      <c r="S68" s="24" t="str">
        <f t="shared" si="8"/>
        <v/>
      </c>
      <c r="T68" t="str">
        <f t="shared" si="6"/>
        <v/>
      </c>
    </row>
    <row r="69" spans="1:20">
      <c r="A69" s="22" t="s">
        <v>163</v>
      </c>
      <c r="B69" s="5"/>
      <c r="C69" s="5"/>
      <c r="D69" s="5"/>
      <c r="E69" s="5"/>
      <c r="F69" s="5"/>
      <c r="G69" s="5"/>
      <c r="H69" s="22" t="str">
        <f t="shared" si="5"/>
        <v/>
      </c>
      <c r="I69" s="5"/>
      <c r="J69" s="33"/>
      <c r="K69" s="24" t="str">
        <f t="shared" si="4"/>
        <v/>
      </c>
      <c r="L69" s="5"/>
      <c r="M69" s="5"/>
      <c r="N69" s="5"/>
      <c r="O69" s="5"/>
      <c r="P69" s="5"/>
      <c r="Q69" s="23"/>
      <c r="R69" s="24" t="str">
        <f t="shared" si="7"/>
        <v/>
      </c>
      <c r="S69" s="24" t="str">
        <f t="shared" si="8"/>
        <v/>
      </c>
      <c r="T69" t="str">
        <f t="shared" si="6"/>
        <v/>
      </c>
    </row>
    <row r="70" spans="1:20">
      <c r="A70" s="22" t="s">
        <v>164</v>
      </c>
      <c r="B70" s="5"/>
      <c r="C70" s="5"/>
      <c r="D70" s="5"/>
      <c r="E70" s="5"/>
      <c r="F70" s="5"/>
      <c r="G70" s="5"/>
      <c r="H70" s="22" t="str">
        <f t="shared" si="5"/>
        <v/>
      </c>
      <c r="I70" s="5"/>
      <c r="J70" s="33"/>
      <c r="K70" s="24" t="str">
        <f t="shared" si="4"/>
        <v/>
      </c>
      <c r="L70" s="5"/>
      <c r="M70" s="5"/>
      <c r="N70" s="5"/>
      <c r="O70" s="5"/>
      <c r="P70" s="5"/>
      <c r="Q70" s="23"/>
      <c r="R70" s="24" t="str">
        <f t="shared" si="7"/>
        <v/>
      </c>
      <c r="S70" s="24" t="str">
        <f t="shared" si="8"/>
        <v/>
      </c>
      <c r="T70" t="str">
        <f t="shared" si="6"/>
        <v/>
      </c>
    </row>
    <row r="71" spans="1:20">
      <c r="A71" s="22" t="s">
        <v>165</v>
      </c>
      <c r="B71" s="5"/>
      <c r="C71" s="5"/>
      <c r="D71" s="5"/>
      <c r="E71" s="5"/>
      <c r="F71" s="5"/>
      <c r="G71" s="5"/>
      <c r="H71" s="22" t="str">
        <f t="shared" si="5"/>
        <v/>
      </c>
      <c r="I71" s="5"/>
      <c r="J71" s="33"/>
      <c r="K71" s="24" t="str">
        <f t="shared" si="4"/>
        <v/>
      </c>
      <c r="L71" s="5"/>
      <c r="M71" s="5"/>
      <c r="N71" s="5"/>
      <c r="O71" s="5"/>
      <c r="P71" s="5"/>
      <c r="Q71" s="23"/>
      <c r="R71" s="24" t="str">
        <f t="shared" si="7"/>
        <v/>
      </c>
      <c r="S71" s="24" t="str">
        <f t="shared" si="8"/>
        <v/>
      </c>
      <c r="T71" t="str">
        <f t="shared" si="6"/>
        <v/>
      </c>
    </row>
    <row r="72" spans="1:20">
      <c r="A72" s="22" t="s">
        <v>166</v>
      </c>
      <c r="B72" s="5"/>
      <c r="C72" s="5"/>
      <c r="D72" s="5"/>
      <c r="E72" s="5"/>
      <c r="F72" s="5"/>
      <c r="G72" s="5"/>
      <c r="H72" s="22" t="str">
        <f t="shared" si="5"/>
        <v/>
      </c>
      <c r="I72" s="5"/>
      <c r="J72" s="33"/>
      <c r="K72" s="24" t="str">
        <f t="shared" si="4"/>
        <v/>
      </c>
      <c r="L72" s="5"/>
      <c r="M72" s="5"/>
      <c r="N72" s="5"/>
      <c r="O72" s="5"/>
      <c r="P72" s="5"/>
      <c r="Q72" s="23"/>
      <c r="R72" s="24" t="str">
        <f t="shared" si="7"/>
        <v/>
      </c>
      <c r="S72" s="24" t="str">
        <f t="shared" si="8"/>
        <v/>
      </c>
      <c r="T72" t="str">
        <f t="shared" si="6"/>
        <v/>
      </c>
    </row>
    <row r="73" spans="1:20">
      <c r="A73" s="22" t="s">
        <v>167</v>
      </c>
      <c r="B73" s="5"/>
      <c r="C73" s="5"/>
      <c r="D73" s="5"/>
      <c r="E73" s="5"/>
      <c r="F73" s="5"/>
      <c r="G73" s="5"/>
      <c r="H73" s="22" t="str">
        <f t="shared" si="5"/>
        <v/>
      </c>
      <c r="I73" s="5"/>
      <c r="J73" s="33"/>
      <c r="K73" s="24" t="str">
        <f t="shared" ref="K73:K136" si="9">IF(I73="","",IF(I73="ENTRADA",ABS(J73),-ABS(J73)))</f>
        <v/>
      </c>
      <c r="L73" s="5"/>
      <c r="M73" s="5"/>
      <c r="N73" s="5"/>
      <c r="O73" s="5"/>
      <c r="P73" s="5"/>
      <c r="Q73" s="23"/>
      <c r="R73" s="24" t="str">
        <f t="shared" si="7"/>
        <v/>
      </c>
      <c r="S73" s="24" t="str">
        <f t="shared" si="8"/>
        <v/>
      </c>
      <c r="T73" t="str">
        <f t="shared" si="6"/>
        <v/>
      </c>
    </row>
    <row r="74" spans="1:20">
      <c r="A74" s="22" t="s">
        <v>168</v>
      </c>
      <c r="B74" s="5"/>
      <c r="C74" s="5"/>
      <c r="D74" s="5"/>
      <c r="E74" s="5"/>
      <c r="F74" s="5"/>
      <c r="G74" s="5"/>
      <c r="H74" s="22" t="str">
        <f t="shared" si="5"/>
        <v/>
      </c>
      <c r="I74" s="5"/>
      <c r="J74" s="33"/>
      <c r="K74" s="24" t="str">
        <f t="shared" si="9"/>
        <v/>
      </c>
      <c r="L74" s="5"/>
      <c r="M74" s="5"/>
      <c r="N74" s="5"/>
      <c r="O74" s="5"/>
      <c r="P74" s="5"/>
      <c r="Q74" s="23"/>
      <c r="R74" s="24" t="str">
        <f t="shared" si="7"/>
        <v/>
      </c>
      <c r="S74" s="24" t="str">
        <f t="shared" si="8"/>
        <v/>
      </c>
      <c r="T74" t="str">
        <f t="shared" si="6"/>
        <v/>
      </c>
    </row>
    <row r="75" spans="1:20">
      <c r="A75" s="22" t="s">
        <v>169</v>
      </c>
      <c r="B75" s="5"/>
      <c r="C75" s="5"/>
      <c r="D75" s="5"/>
      <c r="E75" s="5"/>
      <c r="F75" s="5"/>
      <c r="G75" s="5"/>
      <c r="H75" s="22" t="str">
        <f t="shared" si="5"/>
        <v/>
      </c>
      <c r="I75" s="5"/>
      <c r="J75" s="33"/>
      <c r="K75" s="24" t="str">
        <f t="shared" si="9"/>
        <v/>
      </c>
      <c r="L75" s="5"/>
      <c r="M75" s="5"/>
      <c r="N75" s="5"/>
      <c r="O75" s="5"/>
      <c r="P75" s="5"/>
      <c r="Q75" s="23"/>
      <c r="R75" s="24" t="str">
        <f t="shared" si="7"/>
        <v/>
      </c>
      <c r="S75" s="24" t="str">
        <f t="shared" si="8"/>
        <v/>
      </c>
      <c r="T75" t="str">
        <f t="shared" si="6"/>
        <v/>
      </c>
    </row>
    <row r="76" spans="1:20">
      <c r="A76" s="22" t="s">
        <v>170</v>
      </c>
      <c r="B76" s="5"/>
      <c r="C76" s="5"/>
      <c r="D76" s="5"/>
      <c r="E76" s="5"/>
      <c r="F76" s="5"/>
      <c r="G76" s="5"/>
      <c r="H76" s="22" t="str">
        <f t="shared" si="5"/>
        <v/>
      </c>
      <c r="I76" s="5"/>
      <c r="J76" s="33"/>
      <c r="K76" s="24" t="str">
        <f t="shared" si="9"/>
        <v/>
      </c>
      <c r="L76" s="5"/>
      <c r="M76" s="5"/>
      <c r="N76" s="5"/>
      <c r="O76" s="5"/>
      <c r="P76" s="5"/>
      <c r="Q76" s="23"/>
      <c r="R76" s="24" t="str">
        <f t="shared" si="7"/>
        <v/>
      </c>
      <c r="S76" s="24" t="str">
        <f t="shared" si="8"/>
        <v/>
      </c>
      <c r="T76" t="str">
        <f t="shared" si="6"/>
        <v/>
      </c>
    </row>
    <row r="77" spans="1:20">
      <c r="A77" s="22" t="s">
        <v>171</v>
      </c>
      <c r="B77" s="5"/>
      <c r="C77" s="5"/>
      <c r="D77" s="5"/>
      <c r="E77" s="5"/>
      <c r="F77" s="5"/>
      <c r="G77" s="5"/>
      <c r="H77" s="22" t="str">
        <f t="shared" si="5"/>
        <v/>
      </c>
      <c r="I77" s="5"/>
      <c r="J77" s="33"/>
      <c r="K77" s="24" t="str">
        <f t="shared" si="9"/>
        <v/>
      </c>
      <c r="L77" s="5"/>
      <c r="M77" s="5"/>
      <c r="N77" s="5"/>
      <c r="O77" s="5"/>
      <c r="P77" s="5"/>
      <c r="Q77" s="23"/>
      <c r="R77" s="24" t="str">
        <f t="shared" si="7"/>
        <v/>
      </c>
      <c r="S77" s="24" t="str">
        <f t="shared" si="8"/>
        <v/>
      </c>
      <c r="T77" t="str">
        <f t="shared" si="6"/>
        <v/>
      </c>
    </row>
    <row r="78" spans="1:20">
      <c r="A78" s="22" t="s">
        <v>172</v>
      </c>
      <c r="B78" s="5"/>
      <c r="C78" s="5"/>
      <c r="D78" s="5"/>
      <c r="E78" s="5"/>
      <c r="F78" s="5"/>
      <c r="G78" s="5"/>
      <c r="H78" s="22" t="str">
        <f t="shared" si="5"/>
        <v/>
      </c>
      <c r="I78" s="5"/>
      <c r="J78" s="33"/>
      <c r="K78" s="24" t="str">
        <f t="shared" si="9"/>
        <v/>
      </c>
      <c r="L78" s="5"/>
      <c r="M78" s="5"/>
      <c r="N78" s="5"/>
      <c r="O78" s="5"/>
      <c r="P78" s="5"/>
      <c r="Q78" s="23"/>
      <c r="R78" s="24" t="str">
        <f t="shared" si="7"/>
        <v/>
      </c>
      <c r="S78" s="24" t="str">
        <f t="shared" si="8"/>
        <v/>
      </c>
      <c r="T78" t="str">
        <f t="shared" si="6"/>
        <v/>
      </c>
    </row>
    <row r="79" spans="1:20">
      <c r="A79" s="22" t="s">
        <v>173</v>
      </c>
      <c r="B79" s="5"/>
      <c r="C79" s="5"/>
      <c r="D79" s="5"/>
      <c r="E79" s="5"/>
      <c r="F79" s="5"/>
      <c r="G79" s="5"/>
      <c r="H79" s="22" t="str">
        <f t="shared" si="5"/>
        <v/>
      </c>
      <c r="I79" s="5"/>
      <c r="J79" s="33"/>
      <c r="K79" s="24" t="str">
        <f t="shared" si="9"/>
        <v/>
      </c>
      <c r="L79" s="5"/>
      <c r="M79" s="5"/>
      <c r="N79" s="5"/>
      <c r="O79" s="5"/>
      <c r="P79" s="5"/>
      <c r="Q79" s="23"/>
      <c r="R79" s="24" t="str">
        <f t="shared" si="7"/>
        <v/>
      </c>
      <c r="S79" s="24" t="str">
        <f t="shared" si="8"/>
        <v/>
      </c>
      <c r="T79" t="str">
        <f t="shared" ref="T79:T142" si="10">IF(OR(C79="",I79&lt;&gt;"ENTRADA"),"",TEXT(B79,"AAMMDD")&amp;"-"&amp;TEXT(VALUE(SUBSTITUTE(A79,"MOV-","")),"000"))</f>
        <v/>
      </c>
    </row>
    <row r="80" spans="1:20">
      <c r="A80" s="22" t="s">
        <v>174</v>
      </c>
      <c r="B80" s="5"/>
      <c r="C80" s="5"/>
      <c r="D80" s="5"/>
      <c r="E80" s="5"/>
      <c r="F80" s="5"/>
      <c r="G80" s="5"/>
      <c r="H80" s="22" t="str">
        <f t="shared" ref="H80:H143" si="11">+T80</f>
        <v/>
      </c>
      <c r="I80" s="5"/>
      <c r="J80" s="33"/>
      <c r="K80" s="24" t="str">
        <f t="shared" si="9"/>
        <v/>
      </c>
      <c r="L80" s="5"/>
      <c r="M80" s="5"/>
      <c r="N80" s="5"/>
      <c r="O80" s="5"/>
      <c r="P80" s="5"/>
      <c r="Q80" s="23"/>
      <c r="R80" s="24" t="str">
        <f t="shared" ref="R80:R143" si="12">IF(H80="","",H80&amp;I80)</f>
        <v/>
      </c>
      <c r="S80" s="24" t="str">
        <f t="shared" ref="S80:S143" si="13">IF(C80="","",C80&amp;I80)</f>
        <v/>
      </c>
      <c r="T80" t="str">
        <f t="shared" si="10"/>
        <v/>
      </c>
    </row>
    <row r="81" spans="1:20">
      <c r="A81" s="22" t="s">
        <v>175</v>
      </c>
      <c r="B81" s="5"/>
      <c r="C81" s="5"/>
      <c r="D81" s="5"/>
      <c r="E81" s="5"/>
      <c r="F81" s="5"/>
      <c r="G81" s="5"/>
      <c r="H81" s="22" t="str">
        <f t="shared" si="11"/>
        <v/>
      </c>
      <c r="I81" s="5"/>
      <c r="J81" s="33"/>
      <c r="K81" s="24" t="str">
        <f t="shared" si="9"/>
        <v/>
      </c>
      <c r="L81" s="5"/>
      <c r="M81" s="5"/>
      <c r="N81" s="5"/>
      <c r="O81" s="5"/>
      <c r="P81" s="5"/>
      <c r="Q81" s="23"/>
      <c r="R81" s="24" t="str">
        <f t="shared" si="12"/>
        <v/>
      </c>
      <c r="S81" s="24" t="str">
        <f t="shared" si="13"/>
        <v/>
      </c>
      <c r="T81" t="str">
        <f t="shared" si="10"/>
        <v/>
      </c>
    </row>
    <row r="82" spans="1:20">
      <c r="A82" s="22" t="s">
        <v>176</v>
      </c>
      <c r="B82" s="5"/>
      <c r="C82" s="5"/>
      <c r="D82" s="5"/>
      <c r="E82" s="5"/>
      <c r="F82" s="5"/>
      <c r="G82" s="5"/>
      <c r="H82" s="22" t="str">
        <f t="shared" si="11"/>
        <v/>
      </c>
      <c r="I82" s="5"/>
      <c r="J82" s="33"/>
      <c r="K82" s="24" t="str">
        <f t="shared" si="9"/>
        <v/>
      </c>
      <c r="L82" s="5"/>
      <c r="M82" s="5"/>
      <c r="N82" s="5"/>
      <c r="O82" s="5"/>
      <c r="P82" s="5"/>
      <c r="Q82" s="23"/>
      <c r="R82" s="24" t="str">
        <f t="shared" si="12"/>
        <v/>
      </c>
      <c r="S82" s="24" t="str">
        <f t="shared" si="13"/>
        <v/>
      </c>
      <c r="T82" t="str">
        <f t="shared" si="10"/>
        <v/>
      </c>
    </row>
    <row r="83" spans="1:20">
      <c r="A83" s="22" t="s">
        <v>177</v>
      </c>
      <c r="B83" s="5"/>
      <c r="C83" s="5"/>
      <c r="D83" s="5"/>
      <c r="E83" s="5"/>
      <c r="F83" s="5"/>
      <c r="G83" s="5"/>
      <c r="H83" s="22" t="str">
        <f t="shared" si="11"/>
        <v/>
      </c>
      <c r="I83" s="5"/>
      <c r="J83" s="33"/>
      <c r="K83" s="24" t="str">
        <f t="shared" si="9"/>
        <v/>
      </c>
      <c r="L83" s="5"/>
      <c r="M83" s="5"/>
      <c r="N83" s="5"/>
      <c r="O83" s="5"/>
      <c r="P83" s="5"/>
      <c r="Q83" s="23"/>
      <c r="R83" s="24" t="str">
        <f t="shared" si="12"/>
        <v/>
      </c>
      <c r="S83" s="24" t="str">
        <f t="shared" si="13"/>
        <v/>
      </c>
      <c r="T83" t="str">
        <f t="shared" si="10"/>
        <v/>
      </c>
    </row>
    <row r="84" spans="1:20">
      <c r="A84" s="22" t="s">
        <v>178</v>
      </c>
      <c r="B84" s="5"/>
      <c r="C84" s="5"/>
      <c r="D84" s="5"/>
      <c r="E84" s="5"/>
      <c r="F84" s="5"/>
      <c r="G84" s="5"/>
      <c r="H84" s="22" t="str">
        <f t="shared" si="11"/>
        <v/>
      </c>
      <c r="I84" s="5"/>
      <c r="J84" s="33"/>
      <c r="K84" s="24" t="str">
        <f t="shared" si="9"/>
        <v/>
      </c>
      <c r="L84" s="5"/>
      <c r="M84" s="5"/>
      <c r="N84" s="5"/>
      <c r="O84" s="5"/>
      <c r="P84" s="5"/>
      <c r="Q84" s="23"/>
      <c r="R84" s="24" t="str">
        <f t="shared" si="12"/>
        <v/>
      </c>
      <c r="S84" s="24" t="str">
        <f t="shared" si="13"/>
        <v/>
      </c>
      <c r="T84" t="str">
        <f t="shared" si="10"/>
        <v/>
      </c>
    </row>
    <row r="85" spans="1:20">
      <c r="A85" s="22" t="s">
        <v>179</v>
      </c>
      <c r="B85" s="5"/>
      <c r="C85" s="5"/>
      <c r="D85" s="5"/>
      <c r="E85" s="5"/>
      <c r="F85" s="5"/>
      <c r="G85" s="5"/>
      <c r="H85" s="22" t="str">
        <f t="shared" si="11"/>
        <v/>
      </c>
      <c r="I85" s="5"/>
      <c r="J85" s="33"/>
      <c r="K85" s="24" t="str">
        <f t="shared" si="9"/>
        <v/>
      </c>
      <c r="L85" s="5"/>
      <c r="M85" s="5"/>
      <c r="N85" s="5"/>
      <c r="O85" s="5"/>
      <c r="P85" s="5"/>
      <c r="Q85" s="23"/>
      <c r="R85" s="24" t="str">
        <f t="shared" si="12"/>
        <v/>
      </c>
      <c r="S85" s="24" t="str">
        <f t="shared" si="13"/>
        <v/>
      </c>
      <c r="T85" t="str">
        <f t="shared" si="10"/>
        <v/>
      </c>
    </row>
    <row r="86" spans="1:20">
      <c r="A86" s="22" t="s">
        <v>180</v>
      </c>
      <c r="B86" s="5"/>
      <c r="C86" s="5"/>
      <c r="D86" s="5"/>
      <c r="E86" s="5"/>
      <c r="F86" s="5"/>
      <c r="G86" s="5"/>
      <c r="H86" s="22" t="str">
        <f t="shared" si="11"/>
        <v/>
      </c>
      <c r="I86" s="5"/>
      <c r="J86" s="33"/>
      <c r="K86" s="24" t="str">
        <f t="shared" si="9"/>
        <v/>
      </c>
      <c r="L86" s="5"/>
      <c r="M86" s="5"/>
      <c r="N86" s="5"/>
      <c r="O86" s="5"/>
      <c r="P86" s="5"/>
      <c r="Q86" s="23"/>
      <c r="R86" s="24" t="str">
        <f t="shared" si="12"/>
        <v/>
      </c>
      <c r="S86" s="24" t="str">
        <f t="shared" si="13"/>
        <v/>
      </c>
      <c r="T86" t="str">
        <f t="shared" si="10"/>
        <v/>
      </c>
    </row>
    <row r="87" spans="1:20">
      <c r="A87" s="22" t="s">
        <v>181</v>
      </c>
      <c r="B87" s="5"/>
      <c r="C87" s="5"/>
      <c r="D87" s="5"/>
      <c r="E87" s="5"/>
      <c r="F87" s="5"/>
      <c r="G87" s="5"/>
      <c r="H87" s="22" t="str">
        <f t="shared" si="11"/>
        <v/>
      </c>
      <c r="I87" s="5"/>
      <c r="J87" s="33"/>
      <c r="K87" s="24" t="str">
        <f t="shared" si="9"/>
        <v/>
      </c>
      <c r="L87" s="5"/>
      <c r="M87" s="5"/>
      <c r="N87" s="5"/>
      <c r="O87" s="5"/>
      <c r="P87" s="5"/>
      <c r="Q87" s="23"/>
      <c r="R87" s="24" t="str">
        <f t="shared" si="12"/>
        <v/>
      </c>
      <c r="S87" s="24" t="str">
        <f t="shared" si="13"/>
        <v/>
      </c>
      <c r="T87" t="str">
        <f t="shared" si="10"/>
        <v/>
      </c>
    </row>
    <row r="88" spans="1:20">
      <c r="A88" s="22" t="s">
        <v>182</v>
      </c>
      <c r="B88" s="5"/>
      <c r="C88" s="5"/>
      <c r="D88" s="5"/>
      <c r="E88" s="5"/>
      <c r="F88" s="5"/>
      <c r="G88" s="5"/>
      <c r="H88" s="22" t="str">
        <f t="shared" si="11"/>
        <v/>
      </c>
      <c r="I88" s="5"/>
      <c r="J88" s="33"/>
      <c r="K88" s="24" t="str">
        <f t="shared" si="9"/>
        <v/>
      </c>
      <c r="L88" s="5"/>
      <c r="M88" s="5"/>
      <c r="N88" s="5"/>
      <c r="O88" s="5"/>
      <c r="P88" s="5"/>
      <c r="Q88" s="23"/>
      <c r="R88" s="24" t="str">
        <f t="shared" si="12"/>
        <v/>
      </c>
      <c r="S88" s="24" t="str">
        <f t="shared" si="13"/>
        <v/>
      </c>
      <c r="T88" t="str">
        <f t="shared" si="10"/>
        <v/>
      </c>
    </row>
    <row r="89" spans="1:20">
      <c r="A89" s="22" t="s">
        <v>183</v>
      </c>
      <c r="B89" s="5"/>
      <c r="C89" s="5"/>
      <c r="D89" s="5"/>
      <c r="E89" s="5"/>
      <c r="F89" s="5"/>
      <c r="G89" s="5"/>
      <c r="H89" s="22" t="str">
        <f t="shared" si="11"/>
        <v/>
      </c>
      <c r="I89" s="5"/>
      <c r="J89" s="33"/>
      <c r="K89" s="24" t="str">
        <f t="shared" si="9"/>
        <v/>
      </c>
      <c r="L89" s="5"/>
      <c r="M89" s="5"/>
      <c r="N89" s="5"/>
      <c r="O89" s="5"/>
      <c r="P89" s="5"/>
      <c r="Q89" s="23"/>
      <c r="R89" s="24" t="str">
        <f t="shared" si="12"/>
        <v/>
      </c>
      <c r="S89" s="24" t="str">
        <f t="shared" si="13"/>
        <v/>
      </c>
      <c r="T89" t="str">
        <f t="shared" si="10"/>
        <v/>
      </c>
    </row>
    <row r="90" spans="1:20">
      <c r="A90" s="22" t="s">
        <v>184</v>
      </c>
      <c r="B90" s="5"/>
      <c r="C90" s="5"/>
      <c r="D90" s="5"/>
      <c r="E90" s="5"/>
      <c r="F90" s="5"/>
      <c r="G90" s="5"/>
      <c r="H90" s="22" t="str">
        <f t="shared" si="11"/>
        <v/>
      </c>
      <c r="I90" s="5"/>
      <c r="J90" s="33"/>
      <c r="K90" s="24" t="str">
        <f t="shared" si="9"/>
        <v/>
      </c>
      <c r="L90" s="5"/>
      <c r="M90" s="5"/>
      <c r="N90" s="5"/>
      <c r="O90" s="5"/>
      <c r="P90" s="5"/>
      <c r="Q90" s="23"/>
      <c r="R90" s="24" t="str">
        <f t="shared" si="12"/>
        <v/>
      </c>
      <c r="S90" s="24" t="str">
        <f t="shared" si="13"/>
        <v/>
      </c>
      <c r="T90" t="str">
        <f t="shared" si="10"/>
        <v/>
      </c>
    </row>
    <row r="91" spans="1:20">
      <c r="A91" s="22" t="s">
        <v>185</v>
      </c>
      <c r="B91" s="5"/>
      <c r="C91" s="5"/>
      <c r="D91" s="5"/>
      <c r="E91" s="5"/>
      <c r="F91" s="5"/>
      <c r="G91" s="5"/>
      <c r="H91" s="22" t="str">
        <f t="shared" si="11"/>
        <v/>
      </c>
      <c r="I91" s="5"/>
      <c r="J91" s="33"/>
      <c r="K91" s="24" t="str">
        <f t="shared" si="9"/>
        <v/>
      </c>
      <c r="L91" s="5"/>
      <c r="M91" s="5"/>
      <c r="N91" s="5"/>
      <c r="O91" s="5"/>
      <c r="P91" s="5"/>
      <c r="Q91" s="23"/>
      <c r="R91" s="24" t="str">
        <f t="shared" si="12"/>
        <v/>
      </c>
      <c r="S91" s="24" t="str">
        <f t="shared" si="13"/>
        <v/>
      </c>
      <c r="T91" t="str">
        <f t="shared" si="10"/>
        <v/>
      </c>
    </row>
    <row r="92" spans="1:20">
      <c r="A92" s="22" t="s">
        <v>186</v>
      </c>
      <c r="B92" s="5"/>
      <c r="C92" s="5"/>
      <c r="D92" s="5"/>
      <c r="E92" s="5"/>
      <c r="F92" s="5"/>
      <c r="G92" s="5"/>
      <c r="H92" s="22" t="str">
        <f t="shared" si="11"/>
        <v/>
      </c>
      <c r="I92" s="5"/>
      <c r="J92" s="33"/>
      <c r="K92" s="24" t="str">
        <f t="shared" si="9"/>
        <v/>
      </c>
      <c r="L92" s="5"/>
      <c r="M92" s="5"/>
      <c r="N92" s="5"/>
      <c r="O92" s="5"/>
      <c r="P92" s="5"/>
      <c r="Q92" s="23"/>
      <c r="R92" s="24" t="str">
        <f t="shared" si="12"/>
        <v/>
      </c>
      <c r="S92" s="24" t="str">
        <f t="shared" si="13"/>
        <v/>
      </c>
      <c r="T92" t="str">
        <f t="shared" si="10"/>
        <v/>
      </c>
    </row>
    <row r="93" spans="1:20">
      <c r="A93" s="22" t="s">
        <v>187</v>
      </c>
      <c r="B93" s="5"/>
      <c r="C93" s="5"/>
      <c r="D93" s="5"/>
      <c r="E93" s="5"/>
      <c r="F93" s="5"/>
      <c r="G93" s="5"/>
      <c r="H93" s="22" t="str">
        <f t="shared" si="11"/>
        <v/>
      </c>
      <c r="I93" s="5"/>
      <c r="J93" s="33"/>
      <c r="K93" s="24" t="str">
        <f t="shared" si="9"/>
        <v/>
      </c>
      <c r="L93" s="5"/>
      <c r="M93" s="5"/>
      <c r="N93" s="5"/>
      <c r="O93" s="5"/>
      <c r="P93" s="5"/>
      <c r="Q93" s="23"/>
      <c r="R93" s="24" t="str">
        <f t="shared" si="12"/>
        <v/>
      </c>
      <c r="S93" s="24" t="str">
        <f t="shared" si="13"/>
        <v/>
      </c>
      <c r="T93" t="str">
        <f t="shared" si="10"/>
        <v/>
      </c>
    </row>
    <row r="94" spans="1:20">
      <c r="A94" s="22" t="s">
        <v>188</v>
      </c>
      <c r="B94" s="5"/>
      <c r="C94" s="5"/>
      <c r="D94" s="5"/>
      <c r="E94" s="5"/>
      <c r="F94" s="5"/>
      <c r="G94" s="5"/>
      <c r="H94" s="22" t="str">
        <f t="shared" si="11"/>
        <v/>
      </c>
      <c r="I94" s="5"/>
      <c r="J94" s="33"/>
      <c r="K94" s="24" t="str">
        <f t="shared" si="9"/>
        <v/>
      </c>
      <c r="L94" s="5"/>
      <c r="M94" s="5"/>
      <c r="N94" s="5"/>
      <c r="O94" s="5"/>
      <c r="P94" s="5"/>
      <c r="Q94" s="23"/>
      <c r="R94" s="24" t="str">
        <f t="shared" si="12"/>
        <v/>
      </c>
      <c r="S94" s="24" t="str">
        <f t="shared" si="13"/>
        <v/>
      </c>
      <c r="T94" t="str">
        <f t="shared" si="10"/>
        <v/>
      </c>
    </row>
    <row r="95" spans="1:20">
      <c r="A95" s="22" t="s">
        <v>189</v>
      </c>
      <c r="B95" s="5"/>
      <c r="C95" s="5"/>
      <c r="D95" s="5"/>
      <c r="E95" s="5"/>
      <c r="F95" s="5"/>
      <c r="G95" s="5"/>
      <c r="H95" s="22" t="str">
        <f t="shared" si="11"/>
        <v/>
      </c>
      <c r="I95" s="5"/>
      <c r="J95" s="33"/>
      <c r="K95" s="24" t="str">
        <f t="shared" si="9"/>
        <v/>
      </c>
      <c r="L95" s="5"/>
      <c r="M95" s="5"/>
      <c r="N95" s="5"/>
      <c r="O95" s="5"/>
      <c r="P95" s="5"/>
      <c r="Q95" s="23"/>
      <c r="R95" s="24" t="str">
        <f t="shared" si="12"/>
        <v/>
      </c>
      <c r="S95" s="24" t="str">
        <f t="shared" si="13"/>
        <v/>
      </c>
      <c r="T95" t="str">
        <f t="shared" si="10"/>
        <v/>
      </c>
    </row>
    <row r="96" spans="1:20">
      <c r="A96" s="22" t="s">
        <v>190</v>
      </c>
      <c r="B96" s="5"/>
      <c r="C96" s="5"/>
      <c r="D96" s="5"/>
      <c r="E96" s="5"/>
      <c r="F96" s="5"/>
      <c r="G96" s="5"/>
      <c r="H96" s="22" t="str">
        <f t="shared" si="11"/>
        <v/>
      </c>
      <c r="I96" s="5"/>
      <c r="J96" s="33"/>
      <c r="K96" s="24" t="str">
        <f t="shared" si="9"/>
        <v/>
      </c>
      <c r="L96" s="5"/>
      <c r="M96" s="5"/>
      <c r="N96" s="5"/>
      <c r="O96" s="5"/>
      <c r="P96" s="5"/>
      <c r="Q96" s="23"/>
      <c r="R96" s="24" t="str">
        <f t="shared" si="12"/>
        <v/>
      </c>
      <c r="S96" s="24" t="str">
        <f t="shared" si="13"/>
        <v/>
      </c>
      <c r="T96" t="str">
        <f t="shared" si="10"/>
        <v/>
      </c>
    </row>
    <row r="97" spans="1:20">
      <c r="A97" s="22" t="s">
        <v>191</v>
      </c>
      <c r="B97" s="5"/>
      <c r="C97" s="5"/>
      <c r="D97" s="5"/>
      <c r="E97" s="5"/>
      <c r="F97" s="5"/>
      <c r="G97" s="5"/>
      <c r="H97" s="22" t="str">
        <f t="shared" si="11"/>
        <v/>
      </c>
      <c r="I97" s="5"/>
      <c r="J97" s="33"/>
      <c r="K97" s="24" t="str">
        <f t="shared" si="9"/>
        <v/>
      </c>
      <c r="L97" s="5"/>
      <c r="M97" s="5"/>
      <c r="N97" s="5"/>
      <c r="O97" s="5"/>
      <c r="P97" s="5"/>
      <c r="Q97" s="23"/>
      <c r="R97" s="24" t="str">
        <f t="shared" si="12"/>
        <v/>
      </c>
      <c r="S97" s="24" t="str">
        <f t="shared" si="13"/>
        <v/>
      </c>
      <c r="T97" t="str">
        <f t="shared" si="10"/>
        <v/>
      </c>
    </row>
    <row r="98" spans="1:20">
      <c r="A98" s="22" t="s">
        <v>192</v>
      </c>
      <c r="B98" s="5"/>
      <c r="C98" s="5"/>
      <c r="D98" s="5"/>
      <c r="E98" s="5"/>
      <c r="F98" s="5"/>
      <c r="G98" s="5"/>
      <c r="H98" s="22" t="str">
        <f t="shared" si="11"/>
        <v/>
      </c>
      <c r="I98" s="5"/>
      <c r="J98" s="33"/>
      <c r="K98" s="24" t="str">
        <f t="shared" si="9"/>
        <v/>
      </c>
      <c r="L98" s="5"/>
      <c r="M98" s="5"/>
      <c r="N98" s="5"/>
      <c r="O98" s="5"/>
      <c r="P98" s="5"/>
      <c r="Q98" s="23"/>
      <c r="R98" s="24" t="str">
        <f t="shared" si="12"/>
        <v/>
      </c>
      <c r="S98" s="24" t="str">
        <f t="shared" si="13"/>
        <v/>
      </c>
      <c r="T98" t="str">
        <f t="shared" si="10"/>
        <v/>
      </c>
    </row>
    <row r="99" spans="1:20">
      <c r="A99" s="22" t="s">
        <v>193</v>
      </c>
      <c r="B99" s="5"/>
      <c r="C99" s="5"/>
      <c r="D99" s="5"/>
      <c r="E99" s="5"/>
      <c r="F99" s="5"/>
      <c r="G99" s="5"/>
      <c r="H99" s="22" t="str">
        <f t="shared" si="11"/>
        <v/>
      </c>
      <c r="I99" s="5"/>
      <c r="J99" s="33"/>
      <c r="K99" s="24" t="str">
        <f t="shared" si="9"/>
        <v/>
      </c>
      <c r="L99" s="5"/>
      <c r="M99" s="5"/>
      <c r="N99" s="5"/>
      <c r="O99" s="5"/>
      <c r="P99" s="5"/>
      <c r="Q99" s="23"/>
      <c r="R99" s="24" t="str">
        <f t="shared" si="12"/>
        <v/>
      </c>
      <c r="S99" s="24" t="str">
        <f t="shared" si="13"/>
        <v/>
      </c>
      <c r="T99" t="str">
        <f t="shared" si="10"/>
        <v/>
      </c>
    </row>
    <row r="100" spans="1:20">
      <c r="A100" s="22" t="s">
        <v>194</v>
      </c>
      <c r="B100" s="5"/>
      <c r="C100" s="5"/>
      <c r="D100" s="5"/>
      <c r="E100" s="5"/>
      <c r="F100" s="5"/>
      <c r="G100" s="5"/>
      <c r="H100" s="22" t="str">
        <f t="shared" si="11"/>
        <v/>
      </c>
      <c r="I100" s="5"/>
      <c r="J100" s="33"/>
      <c r="K100" s="24" t="str">
        <f t="shared" si="9"/>
        <v/>
      </c>
      <c r="L100" s="5"/>
      <c r="M100" s="5"/>
      <c r="N100" s="5"/>
      <c r="O100" s="5"/>
      <c r="P100" s="5"/>
      <c r="Q100" s="23"/>
      <c r="R100" s="24" t="str">
        <f t="shared" si="12"/>
        <v/>
      </c>
      <c r="S100" s="24" t="str">
        <f t="shared" si="13"/>
        <v/>
      </c>
      <c r="T100" t="str">
        <f t="shared" si="10"/>
        <v/>
      </c>
    </row>
    <row r="101" spans="1:20">
      <c r="A101" s="22" t="s">
        <v>195</v>
      </c>
      <c r="B101" s="5"/>
      <c r="C101" s="5"/>
      <c r="D101" s="5"/>
      <c r="E101" s="5"/>
      <c r="F101" s="5"/>
      <c r="G101" s="5"/>
      <c r="H101" s="22" t="str">
        <f t="shared" si="11"/>
        <v/>
      </c>
      <c r="I101" s="5"/>
      <c r="J101" s="33"/>
      <c r="K101" s="24" t="str">
        <f t="shared" si="9"/>
        <v/>
      </c>
      <c r="L101" s="5"/>
      <c r="M101" s="5"/>
      <c r="N101" s="5"/>
      <c r="O101" s="5"/>
      <c r="P101" s="5"/>
      <c r="Q101" s="23"/>
      <c r="R101" s="24" t="str">
        <f t="shared" si="12"/>
        <v/>
      </c>
      <c r="S101" s="24" t="str">
        <f t="shared" si="13"/>
        <v/>
      </c>
      <c r="T101" t="str">
        <f t="shared" si="10"/>
        <v/>
      </c>
    </row>
    <row r="102" spans="1:20">
      <c r="A102" s="22" t="s">
        <v>196</v>
      </c>
      <c r="B102" s="5"/>
      <c r="C102" s="5"/>
      <c r="D102" s="5"/>
      <c r="E102" s="5"/>
      <c r="F102" s="5"/>
      <c r="G102" s="5"/>
      <c r="H102" s="22" t="str">
        <f t="shared" si="11"/>
        <v/>
      </c>
      <c r="I102" s="5"/>
      <c r="J102" s="33"/>
      <c r="K102" s="24" t="str">
        <f t="shared" si="9"/>
        <v/>
      </c>
      <c r="L102" s="5"/>
      <c r="M102" s="5"/>
      <c r="N102" s="5"/>
      <c r="O102" s="5"/>
      <c r="P102" s="5"/>
      <c r="Q102" s="23"/>
      <c r="R102" s="24" t="str">
        <f t="shared" si="12"/>
        <v/>
      </c>
      <c r="S102" s="24" t="str">
        <f t="shared" si="13"/>
        <v/>
      </c>
      <c r="T102" t="str">
        <f t="shared" si="10"/>
        <v/>
      </c>
    </row>
    <row r="103" spans="1:20">
      <c r="A103" s="22" t="s">
        <v>197</v>
      </c>
      <c r="B103" s="5"/>
      <c r="C103" s="5"/>
      <c r="D103" s="5"/>
      <c r="E103" s="5"/>
      <c r="F103" s="5"/>
      <c r="G103" s="5"/>
      <c r="H103" s="22" t="str">
        <f t="shared" si="11"/>
        <v/>
      </c>
      <c r="I103" s="5"/>
      <c r="J103" s="33"/>
      <c r="K103" s="24" t="str">
        <f t="shared" si="9"/>
        <v/>
      </c>
      <c r="L103" s="5"/>
      <c r="M103" s="5"/>
      <c r="N103" s="5"/>
      <c r="O103" s="5"/>
      <c r="P103" s="5"/>
      <c r="Q103" s="23"/>
      <c r="R103" s="24" t="str">
        <f t="shared" si="12"/>
        <v/>
      </c>
      <c r="S103" s="24" t="str">
        <f t="shared" si="13"/>
        <v/>
      </c>
      <c r="T103" t="str">
        <f t="shared" si="10"/>
        <v/>
      </c>
    </row>
    <row r="104" spans="1:20">
      <c r="A104" s="22" t="s">
        <v>198</v>
      </c>
      <c r="B104" s="5"/>
      <c r="C104" s="5"/>
      <c r="D104" s="5"/>
      <c r="E104" s="5"/>
      <c r="F104" s="5"/>
      <c r="G104" s="5"/>
      <c r="H104" s="22" t="str">
        <f t="shared" si="11"/>
        <v/>
      </c>
      <c r="I104" s="5"/>
      <c r="J104" s="33"/>
      <c r="K104" s="24" t="str">
        <f t="shared" si="9"/>
        <v/>
      </c>
      <c r="L104" s="5"/>
      <c r="M104" s="5"/>
      <c r="N104" s="5"/>
      <c r="O104" s="5"/>
      <c r="P104" s="5"/>
      <c r="Q104" s="23"/>
      <c r="R104" s="24" t="str">
        <f t="shared" si="12"/>
        <v/>
      </c>
      <c r="S104" s="24" t="str">
        <f t="shared" si="13"/>
        <v/>
      </c>
      <c r="T104" t="str">
        <f t="shared" si="10"/>
        <v/>
      </c>
    </row>
    <row r="105" spans="1:20">
      <c r="A105" s="22" t="s">
        <v>199</v>
      </c>
      <c r="B105" s="5"/>
      <c r="C105" s="5"/>
      <c r="D105" s="5"/>
      <c r="E105" s="5"/>
      <c r="F105" s="5"/>
      <c r="G105" s="5"/>
      <c r="H105" s="22" t="str">
        <f t="shared" si="11"/>
        <v/>
      </c>
      <c r="I105" s="5"/>
      <c r="J105" s="33"/>
      <c r="K105" s="24" t="str">
        <f t="shared" si="9"/>
        <v/>
      </c>
      <c r="L105" s="5"/>
      <c r="M105" s="5"/>
      <c r="N105" s="5"/>
      <c r="O105" s="5"/>
      <c r="P105" s="5"/>
      <c r="Q105" s="23"/>
      <c r="R105" s="24" t="str">
        <f t="shared" si="12"/>
        <v/>
      </c>
      <c r="S105" s="24" t="str">
        <f t="shared" si="13"/>
        <v/>
      </c>
      <c r="T105" t="str">
        <f t="shared" si="10"/>
        <v/>
      </c>
    </row>
    <row r="106" spans="1:20">
      <c r="A106" s="22" t="s">
        <v>200</v>
      </c>
      <c r="B106" s="5"/>
      <c r="C106" s="5"/>
      <c r="D106" s="5"/>
      <c r="E106" s="5"/>
      <c r="F106" s="5"/>
      <c r="G106" s="5"/>
      <c r="H106" s="22" t="str">
        <f t="shared" si="11"/>
        <v/>
      </c>
      <c r="I106" s="5"/>
      <c r="J106" s="33"/>
      <c r="K106" s="24" t="str">
        <f t="shared" si="9"/>
        <v/>
      </c>
      <c r="L106" s="5"/>
      <c r="M106" s="5"/>
      <c r="N106" s="5"/>
      <c r="O106" s="5"/>
      <c r="P106" s="5"/>
      <c r="Q106" s="23"/>
      <c r="R106" s="24" t="str">
        <f t="shared" si="12"/>
        <v/>
      </c>
      <c r="S106" s="24" t="str">
        <f t="shared" si="13"/>
        <v/>
      </c>
      <c r="T106" t="str">
        <f t="shared" si="10"/>
        <v/>
      </c>
    </row>
    <row r="107" spans="1:20">
      <c r="A107" s="22" t="s">
        <v>201</v>
      </c>
      <c r="B107" s="5"/>
      <c r="C107" s="5"/>
      <c r="D107" s="5"/>
      <c r="E107" s="5"/>
      <c r="F107" s="5"/>
      <c r="G107" s="5"/>
      <c r="H107" s="22" t="str">
        <f t="shared" si="11"/>
        <v/>
      </c>
      <c r="I107" s="5"/>
      <c r="J107" s="33"/>
      <c r="K107" s="24" t="str">
        <f t="shared" si="9"/>
        <v/>
      </c>
      <c r="L107" s="5"/>
      <c r="M107" s="5"/>
      <c r="N107" s="5"/>
      <c r="O107" s="5"/>
      <c r="P107" s="5"/>
      <c r="Q107" s="23"/>
      <c r="R107" s="24" t="str">
        <f t="shared" si="12"/>
        <v/>
      </c>
      <c r="S107" s="24" t="str">
        <f t="shared" si="13"/>
        <v/>
      </c>
      <c r="T107" t="str">
        <f t="shared" si="10"/>
        <v/>
      </c>
    </row>
    <row r="108" spans="1:20">
      <c r="A108" s="22" t="s">
        <v>202</v>
      </c>
      <c r="B108" s="5"/>
      <c r="C108" s="5"/>
      <c r="D108" s="5"/>
      <c r="E108" s="5"/>
      <c r="F108" s="5"/>
      <c r="G108" s="5"/>
      <c r="H108" s="22" t="str">
        <f t="shared" si="11"/>
        <v/>
      </c>
      <c r="I108" s="5"/>
      <c r="J108" s="33"/>
      <c r="K108" s="24" t="str">
        <f t="shared" si="9"/>
        <v/>
      </c>
      <c r="L108" s="5"/>
      <c r="M108" s="5"/>
      <c r="N108" s="5"/>
      <c r="O108" s="5"/>
      <c r="P108" s="5"/>
      <c r="Q108" s="23"/>
      <c r="R108" s="24" t="str">
        <f t="shared" si="12"/>
        <v/>
      </c>
      <c r="S108" s="24" t="str">
        <f t="shared" si="13"/>
        <v/>
      </c>
      <c r="T108" t="str">
        <f t="shared" si="10"/>
        <v/>
      </c>
    </row>
    <row r="109" spans="1:20">
      <c r="A109" s="22" t="s">
        <v>203</v>
      </c>
      <c r="B109" s="5"/>
      <c r="C109" s="5"/>
      <c r="D109" s="5"/>
      <c r="E109" s="5"/>
      <c r="F109" s="5"/>
      <c r="G109" s="5"/>
      <c r="H109" s="22" t="str">
        <f t="shared" si="11"/>
        <v/>
      </c>
      <c r="I109" s="5"/>
      <c r="J109" s="33"/>
      <c r="K109" s="24" t="str">
        <f t="shared" si="9"/>
        <v/>
      </c>
      <c r="L109" s="5"/>
      <c r="M109" s="5"/>
      <c r="N109" s="5"/>
      <c r="O109" s="5"/>
      <c r="P109" s="5"/>
      <c r="Q109" s="23"/>
      <c r="R109" s="24" t="str">
        <f t="shared" si="12"/>
        <v/>
      </c>
      <c r="S109" s="24" t="str">
        <f t="shared" si="13"/>
        <v/>
      </c>
      <c r="T109" t="str">
        <f t="shared" si="10"/>
        <v/>
      </c>
    </row>
    <row r="110" spans="1:20">
      <c r="A110" s="22" t="s">
        <v>204</v>
      </c>
      <c r="B110" s="5"/>
      <c r="C110" s="5"/>
      <c r="D110" s="5"/>
      <c r="E110" s="5"/>
      <c r="F110" s="5"/>
      <c r="G110" s="5"/>
      <c r="H110" s="22" t="str">
        <f t="shared" si="11"/>
        <v/>
      </c>
      <c r="I110" s="5"/>
      <c r="J110" s="33"/>
      <c r="K110" s="24" t="str">
        <f t="shared" si="9"/>
        <v/>
      </c>
      <c r="L110" s="5"/>
      <c r="M110" s="5"/>
      <c r="N110" s="5"/>
      <c r="O110" s="5"/>
      <c r="P110" s="5"/>
      <c r="Q110" s="23"/>
      <c r="R110" s="24" t="str">
        <f t="shared" si="12"/>
        <v/>
      </c>
      <c r="S110" s="24" t="str">
        <f t="shared" si="13"/>
        <v/>
      </c>
      <c r="T110" t="str">
        <f t="shared" si="10"/>
        <v/>
      </c>
    </row>
    <row r="111" spans="1:20">
      <c r="A111" s="22" t="s">
        <v>205</v>
      </c>
      <c r="B111" s="5"/>
      <c r="C111" s="5"/>
      <c r="D111" s="5"/>
      <c r="E111" s="5"/>
      <c r="F111" s="5"/>
      <c r="G111" s="5"/>
      <c r="H111" s="22" t="str">
        <f t="shared" si="11"/>
        <v/>
      </c>
      <c r="I111" s="5"/>
      <c r="J111" s="33"/>
      <c r="K111" s="24" t="str">
        <f t="shared" si="9"/>
        <v/>
      </c>
      <c r="L111" s="5"/>
      <c r="M111" s="5"/>
      <c r="N111" s="5"/>
      <c r="O111" s="5"/>
      <c r="P111" s="5"/>
      <c r="Q111" s="23"/>
      <c r="R111" s="24" t="str">
        <f t="shared" si="12"/>
        <v/>
      </c>
      <c r="S111" s="24" t="str">
        <f t="shared" si="13"/>
        <v/>
      </c>
      <c r="T111" t="str">
        <f t="shared" si="10"/>
        <v/>
      </c>
    </row>
    <row r="112" spans="1:20">
      <c r="A112" s="22" t="s">
        <v>206</v>
      </c>
      <c r="B112" s="5"/>
      <c r="C112" s="5"/>
      <c r="D112" s="5"/>
      <c r="E112" s="5"/>
      <c r="F112" s="5"/>
      <c r="G112" s="5"/>
      <c r="H112" s="22" t="str">
        <f t="shared" si="11"/>
        <v/>
      </c>
      <c r="I112" s="5"/>
      <c r="J112" s="33"/>
      <c r="K112" s="24" t="str">
        <f t="shared" si="9"/>
        <v/>
      </c>
      <c r="L112" s="5"/>
      <c r="M112" s="5"/>
      <c r="N112" s="5"/>
      <c r="O112" s="5"/>
      <c r="P112" s="5"/>
      <c r="Q112" s="23"/>
      <c r="R112" s="24" t="str">
        <f t="shared" si="12"/>
        <v/>
      </c>
      <c r="S112" s="24" t="str">
        <f t="shared" si="13"/>
        <v/>
      </c>
      <c r="T112" t="str">
        <f t="shared" si="10"/>
        <v/>
      </c>
    </row>
    <row r="113" spans="1:20">
      <c r="A113" s="22" t="s">
        <v>207</v>
      </c>
      <c r="B113" s="5"/>
      <c r="C113" s="5"/>
      <c r="D113" s="5"/>
      <c r="E113" s="5"/>
      <c r="F113" s="5"/>
      <c r="G113" s="5"/>
      <c r="H113" s="22" t="str">
        <f t="shared" si="11"/>
        <v/>
      </c>
      <c r="I113" s="5"/>
      <c r="J113" s="33"/>
      <c r="K113" s="24" t="str">
        <f t="shared" si="9"/>
        <v/>
      </c>
      <c r="L113" s="5"/>
      <c r="M113" s="5"/>
      <c r="N113" s="5"/>
      <c r="O113" s="5"/>
      <c r="P113" s="5"/>
      <c r="Q113" s="23"/>
      <c r="R113" s="24" t="str">
        <f t="shared" si="12"/>
        <v/>
      </c>
      <c r="S113" s="24" t="str">
        <f t="shared" si="13"/>
        <v/>
      </c>
      <c r="T113" t="str">
        <f t="shared" si="10"/>
        <v/>
      </c>
    </row>
    <row r="114" spans="1:20">
      <c r="A114" s="22" t="s">
        <v>208</v>
      </c>
      <c r="B114" s="5"/>
      <c r="C114" s="5"/>
      <c r="D114" s="5"/>
      <c r="E114" s="5"/>
      <c r="F114" s="5"/>
      <c r="G114" s="5"/>
      <c r="H114" s="22" t="str">
        <f t="shared" si="11"/>
        <v/>
      </c>
      <c r="I114" s="5"/>
      <c r="J114" s="33"/>
      <c r="K114" s="24" t="str">
        <f t="shared" si="9"/>
        <v/>
      </c>
      <c r="L114" s="5"/>
      <c r="M114" s="5"/>
      <c r="N114" s="5"/>
      <c r="O114" s="5"/>
      <c r="P114" s="5"/>
      <c r="Q114" s="23"/>
      <c r="R114" s="24" t="str">
        <f t="shared" si="12"/>
        <v/>
      </c>
      <c r="S114" s="24" t="str">
        <f t="shared" si="13"/>
        <v/>
      </c>
      <c r="T114" t="str">
        <f t="shared" si="10"/>
        <v/>
      </c>
    </row>
    <row r="115" spans="1:20">
      <c r="A115" s="22" t="s">
        <v>209</v>
      </c>
      <c r="B115" s="5"/>
      <c r="C115" s="5"/>
      <c r="D115" s="5"/>
      <c r="E115" s="5"/>
      <c r="F115" s="5"/>
      <c r="G115" s="5"/>
      <c r="H115" s="22" t="str">
        <f t="shared" si="11"/>
        <v/>
      </c>
      <c r="I115" s="5"/>
      <c r="J115" s="33"/>
      <c r="K115" s="24" t="str">
        <f t="shared" si="9"/>
        <v/>
      </c>
      <c r="L115" s="5"/>
      <c r="M115" s="5"/>
      <c r="N115" s="5"/>
      <c r="O115" s="5"/>
      <c r="P115" s="5"/>
      <c r="Q115" s="23"/>
      <c r="R115" s="24" t="str">
        <f t="shared" si="12"/>
        <v/>
      </c>
      <c r="S115" s="24" t="str">
        <f t="shared" si="13"/>
        <v/>
      </c>
      <c r="T115" t="str">
        <f t="shared" si="10"/>
        <v/>
      </c>
    </row>
    <row r="116" spans="1:20">
      <c r="A116" s="22" t="s">
        <v>210</v>
      </c>
      <c r="B116" s="5"/>
      <c r="C116" s="5"/>
      <c r="D116" s="5"/>
      <c r="E116" s="5"/>
      <c r="F116" s="5"/>
      <c r="G116" s="5"/>
      <c r="H116" s="22" t="str">
        <f t="shared" si="11"/>
        <v/>
      </c>
      <c r="I116" s="5"/>
      <c r="J116" s="33"/>
      <c r="K116" s="24" t="str">
        <f t="shared" si="9"/>
        <v/>
      </c>
      <c r="L116" s="5"/>
      <c r="M116" s="5"/>
      <c r="N116" s="5"/>
      <c r="O116" s="5"/>
      <c r="P116" s="5"/>
      <c r="Q116" s="23"/>
      <c r="R116" s="24" t="str">
        <f t="shared" si="12"/>
        <v/>
      </c>
      <c r="S116" s="24" t="str">
        <f t="shared" si="13"/>
        <v/>
      </c>
      <c r="T116" t="str">
        <f t="shared" si="10"/>
        <v/>
      </c>
    </row>
    <row r="117" spans="1:20">
      <c r="A117" s="22" t="s">
        <v>211</v>
      </c>
      <c r="B117" s="5"/>
      <c r="C117" s="5"/>
      <c r="D117" s="5"/>
      <c r="E117" s="5"/>
      <c r="F117" s="5"/>
      <c r="G117" s="5"/>
      <c r="H117" s="22" t="str">
        <f t="shared" si="11"/>
        <v/>
      </c>
      <c r="I117" s="5"/>
      <c r="J117" s="33"/>
      <c r="K117" s="24" t="str">
        <f t="shared" si="9"/>
        <v/>
      </c>
      <c r="L117" s="5"/>
      <c r="M117" s="5"/>
      <c r="N117" s="5"/>
      <c r="O117" s="5"/>
      <c r="P117" s="5"/>
      <c r="Q117" s="23"/>
      <c r="R117" s="24" t="str">
        <f t="shared" si="12"/>
        <v/>
      </c>
      <c r="S117" s="24" t="str">
        <f t="shared" si="13"/>
        <v/>
      </c>
      <c r="T117" t="str">
        <f t="shared" si="10"/>
        <v/>
      </c>
    </row>
    <row r="118" spans="1:20">
      <c r="A118" s="22" t="s">
        <v>212</v>
      </c>
      <c r="B118" s="5"/>
      <c r="C118" s="5"/>
      <c r="D118" s="5"/>
      <c r="E118" s="5"/>
      <c r="F118" s="5"/>
      <c r="G118" s="5"/>
      <c r="H118" s="22" t="str">
        <f t="shared" si="11"/>
        <v/>
      </c>
      <c r="I118" s="5"/>
      <c r="J118" s="33"/>
      <c r="K118" s="24" t="str">
        <f t="shared" si="9"/>
        <v/>
      </c>
      <c r="L118" s="5"/>
      <c r="M118" s="5"/>
      <c r="N118" s="5"/>
      <c r="O118" s="5"/>
      <c r="P118" s="5"/>
      <c r="Q118" s="23"/>
      <c r="R118" s="24" t="str">
        <f t="shared" si="12"/>
        <v/>
      </c>
      <c r="S118" s="24" t="str">
        <f t="shared" si="13"/>
        <v/>
      </c>
      <c r="T118" t="str">
        <f t="shared" si="10"/>
        <v/>
      </c>
    </row>
    <row r="119" spans="1:20">
      <c r="A119" s="22" t="s">
        <v>213</v>
      </c>
      <c r="B119" s="5"/>
      <c r="C119" s="5"/>
      <c r="D119" s="5"/>
      <c r="E119" s="5"/>
      <c r="F119" s="5"/>
      <c r="G119" s="5"/>
      <c r="H119" s="22" t="str">
        <f t="shared" si="11"/>
        <v/>
      </c>
      <c r="I119" s="5"/>
      <c r="J119" s="33"/>
      <c r="K119" s="24" t="str">
        <f t="shared" si="9"/>
        <v/>
      </c>
      <c r="L119" s="5"/>
      <c r="M119" s="5"/>
      <c r="N119" s="5"/>
      <c r="O119" s="5"/>
      <c r="P119" s="5"/>
      <c r="Q119" s="23"/>
      <c r="R119" s="24" t="str">
        <f t="shared" si="12"/>
        <v/>
      </c>
      <c r="S119" s="24" t="str">
        <f t="shared" si="13"/>
        <v/>
      </c>
      <c r="T119" t="str">
        <f t="shared" si="10"/>
        <v/>
      </c>
    </row>
    <row r="120" spans="1:20">
      <c r="A120" s="22" t="s">
        <v>214</v>
      </c>
      <c r="B120" s="5"/>
      <c r="C120" s="5"/>
      <c r="D120" s="5"/>
      <c r="E120" s="5"/>
      <c r="F120" s="5"/>
      <c r="G120" s="5"/>
      <c r="H120" s="22" t="str">
        <f t="shared" si="11"/>
        <v/>
      </c>
      <c r="I120" s="5"/>
      <c r="J120" s="33"/>
      <c r="K120" s="24" t="str">
        <f t="shared" si="9"/>
        <v/>
      </c>
      <c r="L120" s="5"/>
      <c r="M120" s="5"/>
      <c r="N120" s="5"/>
      <c r="O120" s="5"/>
      <c r="P120" s="5"/>
      <c r="Q120" s="23"/>
      <c r="R120" s="24" t="str">
        <f t="shared" si="12"/>
        <v/>
      </c>
      <c r="S120" s="24" t="str">
        <f t="shared" si="13"/>
        <v/>
      </c>
      <c r="T120" t="str">
        <f t="shared" si="10"/>
        <v/>
      </c>
    </row>
    <row r="121" spans="1:20">
      <c r="A121" s="22" t="s">
        <v>215</v>
      </c>
      <c r="B121" s="5"/>
      <c r="C121" s="5"/>
      <c r="D121" s="5"/>
      <c r="E121" s="5"/>
      <c r="F121" s="5"/>
      <c r="G121" s="5"/>
      <c r="H121" s="22" t="str">
        <f t="shared" si="11"/>
        <v/>
      </c>
      <c r="I121" s="5"/>
      <c r="J121" s="33"/>
      <c r="K121" s="24" t="str">
        <f t="shared" si="9"/>
        <v/>
      </c>
      <c r="L121" s="5"/>
      <c r="M121" s="5"/>
      <c r="N121" s="5"/>
      <c r="O121" s="5"/>
      <c r="P121" s="5"/>
      <c r="Q121" s="23"/>
      <c r="R121" s="24" t="str">
        <f t="shared" si="12"/>
        <v/>
      </c>
      <c r="S121" s="24" t="str">
        <f t="shared" si="13"/>
        <v/>
      </c>
      <c r="T121" t="str">
        <f t="shared" si="10"/>
        <v/>
      </c>
    </row>
    <row r="122" spans="1:20">
      <c r="A122" s="22" t="s">
        <v>216</v>
      </c>
      <c r="B122" s="5"/>
      <c r="C122" s="5"/>
      <c r="D122" s="5"/>
      <c r="E122" s="5"/>
      <c r="F122" s="5"/>
      <c r="G122" s="5"/>
      <c r="H122" s="22" t="str">
        <f t="shared" si="11"/>
        <v/>
      </c>
      <c r="I122" s="5"/>
      <c r="J122" s="33"/>
      <c r="K122" s="24" t="str">
        <f t="shared" si="9"/>
        <v/>
      </c>
      <c r="L122" s="5"/>
      <c r="M122" s="5"/>
      <c r="N122" s="5"/>
      <c r="O122" s="5"/>
      <c r="P122" s="5"/>
      <c r="Q122" s="23"/>
      <c r="R122" s="24" t="str">
        <f t="shared" si="12"/>
        <v/>
      </c>
      <c r="S122" s="24" t="str">
        <f t="shared" si="13"/>
        <v/>
      </c>
      <c r="T122" t="str">
        <f t="shared" si="10"/>
        <v/>
      </c>
    </row>
    <row r="123" spans="1:20">
      <c r="A123" s="22" t="s">
        <v>217</v>
      </c>
      <c r="B123" s="5"/>
      <c r="C123" s="5"/>
      <c r="D123" s="5"/>
      <c r="E123" s="5"/>
      <c r="F123" s="5"/>
      <c r="G123" s="5"/>
      <c r="H123" s="22" t="str">
        <f t="shared" si="11"/>
        <v/>
      </c>
      <c r="I123" s="5"/>
      <c r="J123" s="33"/>
      <c r="K123" s="24" t="str">
        <f t="shared" si="9"/>
        <v/>
      </c>
      <c r="L123" s="5"/>
      <c r="M123" s="5"/>
      <c r="N123" s="5"/>
      <c r="O123" s="5"/>
      <c r="P123" s="5"/>
      <c r="Q123" s="23"/>
      <c r="R123" s="24" t="str">
        <f t="shared" si="12"/>
        <v/>
      </c>
      <c r="S123" s="24" t="str">
        <f t="shared" si="13"/>
        <v/>
      </c>
      <c r="T123" t="str">
        <f t="shared" si="10"/>
        <v/>
      </c>
    </row>
    <row r="124" spans="1:20">
      <c r="A124" s="22" t="s">
        <v>218</v>
      </c>
      <c r="B124" s="5"/>
      <c r="C124" s="5"/>
      <c r="D124" s="5"/>
      <c r="E124" s="5"/>
      <c r="F124" s="5"/>
      <c r="G124" s="5"/>
      <c r="H124" s="22" t="str">
        <f t="shared" si="11"/>
        <v/>
      </c>
      <c r="I124" s="5"/>
      <c r="J124" s="33"/>
      <c r="K124" s="24" t="str">
        <f t="shared" si="9"/>
        <v/>
      </c>
      <c r="L124" s="5"/>
      <c r="M124" s="5"/>
      <c r="N124" s="5"/>
      <c r="O124" s="5"/>
      <c r="P124" s="5"/>
      <c r="Q124" s="23"/>
      <c r="R124" s="24" t="str">
        <f t="shared" si="12"/>
        <v/>
      </c>
      <c r="S124" s="24" t="str">
        <f t="shared" si="13"/>
        <v/>
      </c>
      <c r="T124" t="str">
        <f t="shared" si="10"/>
        <v/>
      </c>
    </row>
    <row r="125" spans="1:20">
      <c r="A125" s="22" t="s">
        <v>219</v>
      </c>
      <c r="B125" s="5"/>
      <c r="C125" s="5"/>
      <c r="D125" s="5"/>
      <c r="E125" s="5"/>
      <c r="F125" s="5"/>
      <c r="G125" s="5"/>
      <c r="H125" s="22" t="str">
        <f t="shared" si="11"/>
        <v/>
      </c>
      <c r="I125" s="5"/>
      <c r="J125" s="33"/>
      <c r="K125" s="24" t="str">
        <f t="shared" si="9"/>
        <v/>
      </c>
      <c r="L125" s="5"/>
      <c r="M125" s="5"/>
      <c r="N125" s="5"/>
      <c r="O125" s="5"/>
      <c r="P125" s="5"/>
      <c r="Q125" s="23"/>
      <c r="R125" s="24" t="str">
        <f t="shared" si="12"/>
        <v/>
      </c>
      <c r="S125" s="24" t="str">
        <f t="shared" si="13"/>
        <v/>
      </c>
      <c r="T125" t="str">
        <f t="shared" si="10"/>
        <v/>
      </c>
    </row>
    <row r="126" spans="1:20">
      <c r="A126" s="22" t="s">
        <v>220</v>
      </c>
      <c r="B126" s="5"/>
      <c r="C126" s="5"/>
      <c r="D126" s="5"/>
      <c r="E126" s="5"/>
      <c r="F126" s="5"/>
      <c r="G126" s="5"/>
      <c r="H126" s="22" t="str">
        <f t="shared" si="11"/>
        <v/>
      </c>
      <c r="I126" s="5"/>
      <c r="J126" s="33"/>
      <c r="K126" s="24" t="str">
        <f t="shared" si="9"/>
        <v/>
      </c>
      <c r="L126" s="5"/>
      <c r="M126" s="5"/>
      <c r="N126" s="5"/>
      <c r="O126" s="5"/>
      <c r="P126" s="5"/>
      <c r="Q126" s="23"/>
      <c r="R126" s="24" t="str">
        <f t="shared" si="12"/>
        <v/>
      </c>
      <c r="S126" s="24" t="str">
        <f t="shared" si="13"/>
        <v/>
      </c>
      <c r="T126" t="str">
        <f t="shared" si="10"/>
        <v/>
      </c>
    </row>
    <row r="127" spans="1:20">
      <c r="A127" s="22" t="s">
        <v>221</v>
      </c>
      <c r="B127" s="5"/>
      <c r="C127" s="5"/>
      <c r="D127" s="5"/>
      <c r="E127" s="5"/>
      <c r="F127" s="5"/>
      <c r="G127" s="5"/>
      <c r="H127" s="22" t="str">
        <f t="shared" si="11"/>
        <v/>
      </c>
      <c r="I127" s="5"/>
      <c r="J127" s="33"/>
      <c r="K127" s="24" t="str">
        <f t="shared" si="9"/>
        <v/>
      </c>
      <c r="L127" s="5"/>
      <c r="M127" s="5"/>
      <c r="N127" s="5"/>
      <c r="O127" s="5"/>
      <c r="P127" s="5"/>
      <c r="Q127" s="23"/>
      <c r="R127" s="24" t="str">
        <f t="shared" si="12"/>
        <v/>
      </c>
      <c r="S127" s="24" t="str">
        <f t="shared" si="13"/>
        <v/>
      </c>
      <c r="T127" t="str">
        <f t="shared" si="10"/>
        <v/>
      </c>
    </row>
    <row r="128" spans="1:20">
      <c r="A128" s="22" t="s">
        <v>222</v>
      </c>
      <c r="B128" s="5"/>
      <c r="C128" s="5"/>
      <c r="D128" s="5"/>
      <c r="E128" s="5"/>
      <c r="F128" s="5"/>
      <c r="G128" s="5"/>
      <c r="H128" s="22" t="str">
        <f t="shared" si="11"/>
        <v/>
      </c>
      <c r="I128" s="5"/>
      <c r="J128" s="33"/>
      <c r="K128" s="24" t="str">
        <f t="shared" si="9"/>
        <v/>
      </c>
      <c r="L128" s="5"/>
      <c r="M128" s="5"/>
      <c r="N128" s="5"/>
      <c r="O128" s="5"/>
      <c r="P128" s="5"/>
      <c r="Q128" s="23"/>
      <c r="R128" s="24" t="str">
        <f t="shared" si="12"/>
        <v/>
      </c>
      <c r="S128" s="24" t="str">
        <f t="shared" si="13"/>
        <v/>
      </c>
      <c r="T128" t="str">
        <f t="shared" si="10"/>
        <v/>
      </c>
    </row>
    <row r="129" spans="1:20">
      <c r="A129" s="22" t="s">
        <v>223</v>
      </c>
      <c r="B129" s="5"/>
      <c r="C129" s="5"/>
      <c r="D129" s="5"/>
      <c r="E129" s="5"/>
      <c r="F129" s="5"/>
      <c r="G129" s="5"/>
      <c r="H129" s="22" t="str">
        <f t="shared" si="11"/>
        <v/>
      </c>
      <c r="I129" s="5"/>
      <c r="J129" s="33"/>
      <c r="K129" s="24" t="str">
        <f t="shared" si="9"/>
        <v/>
      </c>
      <c r="L129" s="5"/>
      <c r="M129" s="5"/>
      <c r="N129" s="5"/>
      <c r="O129" s="5"/>
      <c r="P129" s="5"/>
      <c r="Q129" s="23"/>
      <c r="R129" s="24" t="str">
        <f t="shared" si="12"/>
        <v/>
      </c>
      <c r="S129" s="24" t="str">
        <f t="shared" si="13"/>
        <v/>
      </c>
      <c r="T129" t="str">
        <f t="shared" si="10"/>
        <v/>
      </c>
    </row>
    <row r="130" spans="1:20">
      <c r="A130" s="22" t="s">
        <v>224</v>
      </c>
      <c r="B130" s="5"/>
      <c r="C130" s="5"/>
      <c r="D130" s="5"/>
      <c r="E130" s="5"/>
      <c r="F130" s="5"/>
      <c r="G130" s="5"/>
      <c r="H130" s="22" t="str">
        <f t="shared" si="11"/>
        <v/>
      </c>
      <c r="I130" s="5"/>
      <c r="J130" s="33"/>
      <c r="K130" s="24" t="str">
        <f t="shared" si="9"/>
        <v/>
      </c>
      <c r="L130" s="5"/>
      <c r="M130" s="5"/>
      <c r="N130" s="5"/>
      <c r="O130" s="5"/>
      <c r="P130" s="5"/>
      <c r="Q130" s="23"/>
      <c r="R130" s="24" t="str">
        <f t="shared" si="12"/>
        <v/>
      </c>
      <c r="S130" s="24" t="str">
        <f t="shared" si="13"/>
        <v/>
      </c>
      <c r="T130" t="str">
        <f t="shared" si="10"/>
        <v/>
      </c>
    </row>
    <row r="131" spans="1:20">
      <c r="A131" s="22" t="s">
        <v>225</v>
      </c>
      <c r="B131" s="5"/>
      <c r="C131" s="5"/>
      <c r="D131" s="5"/>
      <c r="E131" s="5"/>
      <c r="F131" s="5"/>
      <c r="G131" s="5"/>
      <c r="H131" s="22" t="str">
        <f t="shared" si="11"/>
        <v/>
      </c>
      <c r="I131" s="5"/>
      <c r="J131" s="33"/>
      <c r="K131" s="24" t="str">
        <f t="shared" si="9"/>
        <v/>
      </c>
      <c r="L131" s="5"/>
      <c r="M131" s="5"/>
      <c r="N131" s="5"/>
      <c r="O131" s="5"/>
      <c r="P131" s="5"/>
      <c r="Q131" s="23"/>
      <c r="R131" s="24" t="str">
        <f t="shared" si="12"/>
        <v/>
      </c>
      <c r="S131" s="24" t="str">
        <f t="shared" si="13"/>
        <v/>
      </c>
      <c r="T131" t="str">
        <f t="shared" si="10"/>
        <v/>
      </c>
    </row>
    <row r="132" spans="1:20">
      <c r="A132" s="22" t="s">
        <v>226</v>
      </c>
      <c r="B132" s="5"/>
      <c r="C132" s="5"/>
      <c r="D132" s="5"/>
      <c r="E132" s="5"/>
      <c r="F132" s="5"/>
      <c r="G132" s="5"/>
      <c r="H132" s="22" t="str">
        <f t="shared" si="11"/>
        <v/>
      </c>
      <c r="I132" s="5"/>
      <c r="J132" s="33"/>
      <c r="K132" s="24" t="str">
        <f t="shared" si="9"/>
        <v/>
      </c>
      <c r="L132" s="5"/>
      <c r="M132" s="5"/>
      <c r="N132" s="5"/>
      <c r="O132" s="5"/>
      <c r="P132" s="5"/>
      <c r="Q132" s="23"/>
      <c r="R132" s="24" t="str">
        <f t="shared" si="12"/>
        <v/>
      </c>
      <c r="S132" s="24" t="str">
        <f t="shared" si="13"/>
        <v/>
      </c>
      <c r="T132" t="str">
        <f t="shared" si="10"/>
        <v/>
      </c>
    </row>
    <row r="133" spans="1:20">
      <c r="A133" s="22" t="s">
        <v>227</v>
      </c>
      <c r="B133" s="5"/>
      <c r="C133" s="5"/>
      <c r="D133" s="5"/>
      <c r="E133" s="5"/>
      <c r="F133" s="5"/>
      <c r="G133" s="5"/>
      <c r="H133" s="22" t="str">
        <f t="shared" si="11"/>
        <v/>
      </c>
      <c r="I133" s="5"/>
      <c r="J133" s="33"/>
      <c r="K133" s="24" t="str">
        <f t="shared" si="9"/>
        <v/>
      </c>
      <c r="L133" s="5"/>
      <c r="M133" s="5"/>
      <c r="N133" s="5"/>
      <c r="O133" s="5"/>
      <c r="P133" s="5"/>
      <c r="Q133" s="23"/>
      <c r="R133" s="24" t="str">
        <f t="shared" si="12"/>
        <v/>
      </c>
      <c r="S133" s="24" t="str">
        <f t="shared" si="13"/>
        <v/>
      </c>
      <c r="T133" t="str">
        <f t="shared" si="10"/>
        <v/>
      </c>
    </row>
    <row r="134" spans="1:20">
      <c r="A134" s="22" t="s">
        <v>228</v>
      </c>
      <c r="B134" s="5"/>
      <c r="C134" s="5"/>
      <c r="D134" s="5"/>
      <c r="E134" s="5"/>
      <c r="F134" s="5"/>
      <c r="G134" s="5"/>
      <c r="H134" s="22" t="str">
        <f t="shared" si="11"/>
        <v/>
      </c>
      <c r="I134" s="5"/>
      <c r="J134" s="33"/>
      <c r="K134" s="24" t="str">
        <f t="shared" si="9"/>
        <v/>
      </c>
      <c r="L134" s="5"/>
      <c r="M134" s="5"/>
      <c r="N134" s="5"/>
      <c r="O134" s="5"/>
      <c r="P134" s="5"/>
      <c r="Q134" s="23"/>
      <c r="R134" s="24" t="str">
        <f t="shared" si="12"/>
        <v/>
      </c>
      <c r="S134" s="24" t="str">
        <f t="shared" si="13"/>
        <v/>
      </c>
      <c r="T134" t="str">
        <f t="shared" si="10"/>
        <v/>
      </c>
    </row>
    <row r="135" spans="1:20">
      <c r="A135" s="22" t="s">
        <v>229</v>
      </c>
      <c r="B135" s="5"/>
      <c r="C135" s="5"/>
      <c r="D135" s="5"/>
      <c r="E135" s="5"/>
      <c r="F135" s="5"/>
      <c r="G135" s="5"/>
      <c r="H135" s="22" t="str">
        <f t="shared" si="11"/>
        <v/>
      </c>
      <c r="I135" s="5"/>
      <c r="J135" s="33"/>
      <c r="K135" s="24" t="str">
        <f t="shared" si="9"/>
        <v/>
      </c>
      <c r="L135" s="5"/>
      <c r="M135" s="5"/>
      <c r="N135" s="5"/>
      <c r="O135" s="5"/>
      <c r="P135" s="5"/>
      <c r="Q135" s="23"/>
      <c r="R135" s="24" t="str">
        <f t="shared" si="12"/>
        <v/>
      </c>
      <c r="S135" s="24" t="str">
        <f t="shared" si="13"/>
        <v/>
      </c>
      <c r="T135" t="str">
        <f t="shared" si="10"/>
        <v/>
      </c>
    </row>
    <row r="136" spans="1:20">
      <c r="A136" s="22" t="s">
        <v>230</v>
      </c>
      <c r="B136" s="5"/>
      <c r="C136" s="5"/>
      <c r="D136" s="5"/>
      <c r="E136" s="5"/>
      <c r="F136" s="5"/>
      <c r="G136" s="5"/>
      <c r="H136" s="22" t="str">
        <f t="shared" si="11"/>
        <v/>
      </c>
      <c r="I136" s="5"/>
      <c r="J136" s="33"/>
      <c r="K136" s="24" t="str">
        <f t="shared" si="9"/>
        <v/>
      </c>
      <c r="L136" s="5"/>
      <c r="M136" s="5"/>
      <c r="N136" s="5"/>
      <c r="O136" s="5"/>
      <c r="P136" s="5"/>
      <c r="Q136" s="23"/>
      <c r="R136" s="24" t="str">
        <f t="shared" si="12"/>
        <v/>
      </c>
      <c r="S136" s="24" t="str">
        <f t="shared" si="13"/>
        <v/>
      </c>
      <c r="T136" t="str">
        <f t="shared" si="10"/>
        <v/>
      </c>
    </row>
    <row r="137" spans="1:20">
      <c r="A137" s="22" t="s">
        <v>231</v>
      </c>
      <c r="B137" s="5"/>
      <c r="C137" s="5"/>
      <c r="D137" s="5"/>
      <c r="E137" s="5"/>
      <c r="F137" s="5"/>
      <c r="G137" s="5"/>
      <c r="H137" s="22" t="str">
        <f t="shared" si="11"/>
        <v/>
      </c>
      <c r="I137" s="5"/>
      <c r="J137" s="33"/>
      <c r="K137" s="24" t="str">
        <f t="shared" ref="K137:K200" si="14">IF(I137="","",IF(I137="ENTRADA",ABS(J137),-ABS(J137)))</f>
        <v/>
      </c>
      <c r="L137" s="5"/>
      <c r="M137" s="5"/>
      <c r="N137" s="5"/>
      <c r="O137" s="5"/>
      <c r="P137" s="5"/>
      <c r="Q137" s="23"/>
      <c r="R137" s="24" t="str">
        <f t="shared" si="12"/>
        <v/>
      </c>
      <c r="S137" s="24" t="str">
        <f t="shared" si="13"/>
        <v/>
      </c>
      <c r="T137" t="str">
        <f t="shared" si="10"/>
        <v/>
      </c>
    </row>
    <row r="138" spans="1:20">
      <c r="A138" s="22" t="s">
        <v>232</v>
      </c>
      <c r="B138" s="5"/>
      <c r="C138" s="5"/>
      <c r="D138" s="5"/>
      <c r="E138" s="5"/>
      <c r="F138" s="5"/>
      <c r="G138" s="5"/>
      <c r="H138" s="22" t="str">
        <f t="shared" si="11"/>
        <v/>
      </c>
      <c r="I138" s="5"/>
      <c r="J138" s="33"/>
      <c r="K138" s="24" t="str">
        <f t="shared" si="14"/>
        <v/>
      </c>
      <c r="L138" s="5"/>
      <c r="M138" s="5"/>
      <c r="N138" s="5"/>
      <c r="O138" s="5"/>
      <c r="P138" s="5"/>
      <c r="Q138" s="23"/>
      <c r="R138" s="24" t="str">
        <f t="shared" si="12"/>
        <v/>
      </c>
      <c r="S138" s="24" t="str">
        <f t="shared" si="13"/>
        <v/>
      </c>
      <c r="T138" t="str">
        <f t="shared" si="10"/>
        <v/>
      </c>
    </row>
    <row r="139" spans="1:20">
      <c r="A139" s="22" t="s">
        <v>233</v>
      </c>
      <c r="B139" s="5"/>
      <c r="C139" s="5"/>
      <c r="D139" s="5"/>
      <c r="E139" s="5"/>
      <c r="F139" s="5"/>
      <c r="G139" s="5"/>
      <c r="H139" s="22" t="str">
        <f t="shared" si="11"/>
        <v/>
      </c>
      <c r="I139" s="5"/>
      <c r="J139" s="33"/>
      <c r="K139" s="24" t="str">
        <f t="shared" si="14"/>
        <v/>
      </c>
      <c r="L139" s="5"/>
      <c r="M139" s="5"/>
      <c r="N139" s="5"/>
      <c r="O139" s="5"/>
      <c r="P139" s="5"/>
      <c r="Q139" s="23"/>
      <c r="R139" s="24" t="str">
        <f t="shared" si="12"/>
        <v/>
      </c>
      <c r="S139" s="24" t="str">
        <f t="shared" si="13"/>
        <v/>
      </c>
      <c r="T139" t="str">
        <f t="shared" si="10"/>
        <v/>
      </c>
    </row>
    <row r="140" spans="1:20">
      <c r="A140" s="22" t="s">
        <v>234</v>
      </c>
      <c r="B140" s="5"/>
      <c r="C140" s="5"/>
      <c r="D140" s="5"/>
      <c r="E140" s="5"/>
      <c r="F140" s="5"/>
      <c r="G140" s="5"/>
      <c r="H140" s="22" t="str">
        <f t="shared" si="11"/>
        <v/>
      </c>
      <c r="I140" s="5"/>
      <c r="J140" s="33"/>
      <c r="K140" s="24" t="str">
        <f t="shared" si="14"/>
        <v/>
      </c>
      <c r="L140" s="5"/>
      <c r="M140" s="5"/>
      <c r="N140" s="5"/>
      <c r="O140" s="5"/>
      <c r="P140" s="5"/>
      <c r="Q140" s="23"/>
      <c r="R140" s="24" t="str">
        <f t="shared" si="12"/>
        <v/>
      </c>
      <c r="S140" s="24" t="str">
        <f t="shared" si="13"/>
        <v/>
      </c>
      <c r="T140" t="str">
        <f t="shared" si="10"/>
        <v/>
      </c>
    </row>
    <row r="141" spans="1:20">
      <c r="A141" s="22" t="s">
        <v>235</v>
      </c>
      <c r="B141" s="5"/>
      <c r="C141" s="5"/>
      <c r="D141" s="5"/>
      <c r="E141" s="5"/>
      <c r="F141" s="5"/>
      <c r="G141" s="5"/>
      <c r="H141" s="22" t="str">
        <f t="shared" si="11"/>
        <v/>
      </c>
      <c r="I141" s="5"/>
      <c r="J141" s="33"/>
      <c r="K141" s="24" t="str">
        <f t="shared" si="14"/>
        <v/>
      </c>
      <c r="L141" s="5"/>
      <c r="M141" s="5"/>
      <c r="N141" s="5"/>
      <c r="O141" s="5"/>
      <c r="P141" s="5"/>
      <c r="Q141" s="23"/>
      <c r="R141" s="24" t="str">
        <f t="shared" si="12"/>
        <v/>
      </c>
      <c r="S141" s="24" t="str">
        <f t="shared" si="13"/>
        <v/>
      </c>
      <c r="T141" t="str">
        <f t="shared" si="10"/>
        <v/>
      </c>
    </row>
    <row r="142" spans="1:20">
      <c r="A142" s="22" t="s">
        <v>236</v>
      </c>
      <c r="B142" s="5"/>
      <c r="C142" s="5"/>
      <c r="D142" s="5"/>
      <c r="E142" s="5"/>
      <c r="F142" s="5"/>
      <c r="G142" s="5"/>
      <c r="H142" s="22" t="str">
        <f t="shared" si="11"/>
        <v/>
      </c>
      <c r="I142" s="5"/>
      <c r="J142" s="33"/>
      <c r="K142" s="24" t="str">
        <f t="shared" si="14"/>
        <v/>
      </c>
      <c r="L142" s="5"/>
      <c r="M142" s="5"/>
      <c r="N142" s="5"/>
      <c r="O142" s="5"/>
      <c r="P142" s="5"/>
      <c r="Q142" s="23"/>
      <c r="R142" s="24" t="str">
        <f t="shared" si="12"/>
        <v/>
      </c>
      <c r="S142" s="24" t="str">
        <f t="shared" si="13"/>
        <v/>
      </c>
      <c r="T142" t="str">
        <f t="shared" si="10"/>
        <v/>
      </c>
    </row>
    <row r="143" spans="1:20">
      <c r="A143" s="22" t="s">
        <v>237</v>
      </c>
      <c r="B143" s="5"/>
      <c r="C143" s="5"/>
      <c r="D143" s="5"/>
      <c r="E143" s="5"/>
      <c r="F143" s="5"/>
      <c r="G143" s="5"/>
      <c r="H143" s="22" t="str">
        <f t="shared" si="11"/>
        <v/>
      </c>
      <c r="I143" s="5"/>
      <c r="J143" s="33"/>
      <c r="K143" s="24" t="str">
        <f t="shared" si="14"/>
        <v/>
      </c>
      <c r="L143" s="5"/>
      <c r="M143" s="5"/>
      <c r="N143" s="5"/>
      <c r="O143" s="5"/>
      <c r="P143" s="5"/>
      <c r="Q143" s="23"/>
      <c r="R143" s="24" t="str">
        <f t="shared" si="12"/>
        <v/>
      </c>
      <c r="S143" s="24" t="str">
        <f t="shared" si="13"/>
        <v/>
      </c>
      <c r="T143" t="str">
        <f t="shared" ref="T143:T206" si="15">IF(OR(C143="",I143&lt;&gt;"ENTRADA"),"",TEXT(B143,"AAMMDD")&amp;"-"&amp;TEXT(VALUE(SUBSTITUTE(A143,"MOV-","")),"000"))</f>
        <v/>
      </c>
    </row>
    <row r="144" spans="1:20">
      <c r="A144" s="22" t="s">
        <v>238</v>
      </c>
      <c r="B144" s="5"/>
      <c r="C144" s="5"/>
      <c r="D144" s="5"/>
      <c r="E144" s="5"/>
      <c r="F144" s="5"/>
      <c r="G144" s="5"/>
      <c r="H144" s="22" t="str">
        <f t="shared" ref="H144:H207" si="16">+T144</f>
        <v/>
      </c>
      <c r="I144" s="5"/>
      <c r="J144" s="33"/>
      <c r="K144" s="24" t="str">
        <f t="shared" si="14"/>
        <v/>
      </c>
      <c r="L144" s="5"/>
      <c r="M144" s="5"/>
      <c r="N144" s="5"/>
      <c r="O144" s="5"/>
      <c r="P144" s="5"/>
      <c r="Q144" s="23"/>
      <c r="R144" s="24" t="str">
        <f t="shared" ref="R144:R207" si="17">IF(H144="","",H144&amp;I144)</f>
        <v/>
      </c>
      <c r="S144" s="24" t="str">
        <f t="shared" ref="S144:S207" si="18">IF(C144="","",C144&amp;I144)</f>
        <v/>
      </c>
      <c r="T144" t="str">
        <f t="shared" si="15"/>
        <v/>
      </c>
    </row>
    <row r="145" spans="1:20">
      <c r="A145" s="22" t="s">
        <v>239</v>
      </c>
      <c r="B145" s="5"/>
      <c r="C145" s="5"/>
      <c r="D145" s="5"/>
      <c r="E145" s="5"/>
      <c r="F145" s="5"/>
      <c r="G145" s="5"/>
      <c r="H145" s="22" t="str">
        <f t="shared" si="16"/>
        <v/>
      </c>
      <c r="I145" s="5"/>
      <c r="J145" s="33"/>
      <c r="K145" s="24" t="str">
        <f t="shared" si="14"/>
        <v/>
      </c>
      <c r="L145" s="5"/>
      <c r="M145" s="5"/>
      <c r="N145" s="5"/>
      <c r="O145" s="5"/>
      <c r="P145" s="5"/>
      <c r="Q145" s="23"/>
      <c r="R145" s="24" t="str">
        <f t="shared" si="17"/>
        <v/>
      </c>
      <c r="S145" s="24" t="str">
        <f t="shared" si="18"/>
        <v/>
      </c>
      <c r="T145" t="str">
        <f t="shared" si="15"/>
        <v/>
      </c>
    </row>
    <row r="146" spans="1:20">
      <c r="A146" s="22" t="s">
        <v>240</v>
      </c>
      <c r="B146" s="5"/>
      <c r="C146" s="5"/>
      <c r="D146" s="5"/>
      <c r="E146" s="5"/>
      <c r="F146" s="5"/>
      <c r="G146" s="5"/>
      <c r="H146" s="22" t="str">
        <f t="shared" si="16"/>
        <v/>
      </c>
      <c r="I146" s="5"/>
      <c r="J146" s="33"/>
      <c r="K146" s="24" t="str">
        <f t="shared" si="14"/>
        <v/>
      </c>
      <c r="L146" s="5"/>
      <c r="M146" s="5"/>
      <c r="N146" s="5"/>
      <c r="O146" s="5"/>
      <c r="P146" s="5"/>
      <c r="Q146" s="23"/>
      <c r="R146" s="24" t="str">
        <f t="shared" si="17"/>
        <v/>
      </c>
      <c r="S146" s="24" t="str">
        <f t="shared" si="18"/>
        <v/>
      </c>
      <c r="T146" t="str">
        <f t="shared" si="15"/>
        <v/>
      </c>
    </row>
    <row r="147" spans="1:20">
      <c r="A147" s="22" t="s">
        <v>241</v>
      </c>
      <c r="B147" s="5"/>
      <c r="C147" s="5"/>
      <c r="D147" s="5"/>
      <c r="E147" s="5"/>
      <c r="F147" s="5"/>
      <c r="G147" s="5"/>
      <c r="H147" s="22" t="str">
        <f t="shared" si="16"/>
        <v/>
      </c>
      <c r="I147" s="5"/>
      <c r="J147" s="33"/>
      <c r="K147" s="24" t="str">
        <f t="shared" si="14"/>
        <v/>
      </c>
      <c r="L147" s="5"/>
      <c r="M147" s="5"/>
      <c r="N147" s="5"/>
      <c r="O147" s="5"/>
      <c r="P147" s="5"/>
      <c r="Q147" s="23"/>
      <c r="R147" s="24" t="str">
        <f t="shared" si="17"/>
        <v/>
      </c>
      <c r="S147" s="24" t="str">
        <f t="shared" si="18"/>
        <v/>
      </c>
      <c r="T147" t="str">
        <f t="shared" si="15"/>
        <v/>
      </c>
    </row>
    <row r="148" spans="1:20">
      <c r="A148" s="22" t="s">
        <v>242</v>
      </c>
      <c r="B148" s="5"/>
      <c r="C148" s="5"/>
      <c r="D148" s="5"/>
      <c r="E148" s="5"/>
      <c r="F148" s="5"/>
      <c r="G148" s="5"/>
      <c r="H148" s="22" t="str">
        <f t="shared" si="16"/>
        <v/>
      </c>
      <c r="I148" s="5"/>
      <c r="J148" s="33"/>
      <c r="K148" s="24" t="str">
        <f t="shared" si="14"/>
        <v/>
      </c>
      <c r="L148" s="5"/>
      <c r="M148" s="5"/>
      <c r="N148" s="5"/>
      <c r="O148" s="5"/>
      <c r="P148" s="5"/>
      <c r="Q148" s="23"/>
      <c r="R148" s="24" t="str">
        <f t="shared" si="17"/>
        <v/>
      </c>
      <c r="S148" s="24" t="str">
        <f t="shared" si="18"/>
        <v/>
      </c>
      <c r="T148" t="str">
        <f t="shared" si="15"/>
        <v/>
      </c>
    </row>
    <row r="149" spans="1:20">
      <c r="A149" s="22" t="s">
        <v>243</v>
      </c>
      <c r="B149" s="5"/>
      <c r="C149" s="5"/>
      <c r="D149" s="5"/>
      <c r="E149" s="5"/>
      <c r="F149" s="5"/>
      <c r="G149" s="5"/>
      <c r="H149" s="22" t="str">
        <f t="shared" si="16"/>
        <v/>
      </c>
      <c r="I149" s="5"/>
      <c r="J149" s="33"/>
      <c r="K149" s="24" t="str">
        <f t="shared" si="14"/>
        <v/>
      </c>
      <c r="L149" s="5"/>
      <c r="M149" s="5"/>
      <c r="N149" s="5"/>
      <c r="O149" s="5"/>
      <c r="P149" s="5"/>
      <c r="Q149" s="23"/>
      <c r="R149" s="24" t="str">
        <f t="shared" si="17"/>
        <v/>
      </c>
      <c r="S149" s="24" t="str">
        <f t="shared" si="18"/>
        <v/>
      </c>
      <c r="T149" t="str">
        <f t="shared" si="15"/>
        <v/>
      </c>
    </row>
    <row r="150" spans="1:20">
      <c r="A150" s="22" t="s">
        <v>244</v>
      </c>
      <c r="B150" s="5"/>
      <c r="C150" s="5"/>
      <c r="D150" s="5"/>
      <c r="E150" s="5"/>
      <c r="F150" s="5"/>
      <c r="G150" s="5"/>
      <c r="H150" s="22" t="str">
        <f t="shared" si="16"/>
        <v/>
      </c>
      <c r="I150" s="5"/>
      <c r="J150" s="33"/>
      <c r="K150" s="24" t="str">
        <f t="shared" si="14"/>
        <v/>
      </c>
      <c r="L150" s="5"/>
      <c r="M150" s="5"/>
      <c r="N150" s="5"/>
      <c r="O150" s="5"/>
      <c r="P150" s="5"/>
      <c r="Q150" s="23"/>
      <c r="R150" s="24" t="str">
        <f t="shared" si="17"/>
        <v/>
      </c>
      <c r="S150" s="24" t="str">
        <f t="shared" si="18"/>
        <v/>
      </c>
      <c r="T150" t="str">
        <f t="shared" si="15"/>
        <v/>
      </c>
    </row>
    <row r="151" spans="1:20">
      <c r="A151" s="22" t="s">
        <v>245</v>
      </c>
      <c r="B151" s="5"/>
      <c r="C151" s="5"/>
      <c r="D151" s="5"/>
      <c r="E151" s="5"/>
      <c r="F151" s="5"/>
      <c r="G151" s="5"/>
      <c r="H151" s="22" t="str">
        <f t="shared" si="16"/>
        <v/>
      </c>
      <c r="I151" s="5"/>
      <c r="J151" s="33"/>
      <c r="K151" s="24" t="str">
        <f t="shared" si="14"/>
        <v/>
      </c>
      <c r="L151" s="5"/>
      <c r="M151" s="5"/>
      <c r="N151" s="5"/>
      <c r="O151" s="5"/>
      <c r="P151" s="5"/>
      <c r="Q151" s="23"/>
      <c r="R151" s="24" t="str">
        <f t="shared" si="17"/>
        <v/>
      </c>
      <c r="S151" s="24" t="str">
        <f t="shared" si="18"/>
        <v/>
      </c>
      <c r="T151" t="str">
        <f t="shared" si="15"/>
        <v/>
      </c>
    </row>
    <row r="152" spans="1:20">
      <c r="A152" s="22" t="s">
        <v>246</v>
      </c>
      <c r="B152" s="5"/>
      <c r="C152" s="5"/>
      <c r="D152" s="5"/>
      <c r="E152" s="5"/>
      <c r="F152" s="5"/>
      <c r="G152" s="5"/>
      <c r="H152" s="22" t="str">
        <f t="shared" si="16"/>
        <v/>
      </c>
      <c r="I152" s="5"/>
      <c r="J152" s="33"/>
      <c r="K152" s="24" t="str">
        <f t="shared" si="14"/>
        <v/>
      </c>
      <c r="L152" s="5"/>
      <c r="M152" s="5"/>
      <c r="N152" s="5"/>
      <c r="O152" s="5"/>
      <c r="P152" s="5"/>
      <c r="Q152" s="23"/>
      <c r="R152" s="24" t="str">
        <f t="shared" si="17"/>
        <v/>
      </c>
      <c r="S152" s="24" t="str">
        <f t="shared" si="18"/>
        <v/>
      </c>
      <c r="T152" t="str">
        <f t="shared" si="15"/>
        <v/>
      </c>
    </row>
    <row r="153" spans="1:20">
      <c r="A153" s="22" t="s">
        <v>247</v>
      </c>
      <c r="B153" s="5"/>
      <c r="C153" s="5"/>
      <c r="D153" s="5"/>
      <c r="E153" s="5"/>
      <c r="F153" s="5"/>
      <c r="G153" s="5"/>
      <c r="H153" s="22" t="str">
        <f t="shared" si="16"/>
        <v/>
      </c>
      <c r="I153" s="5"/>
      <c r="J153" s="33"/>
      <c r="K153" s="24" t="str">
        <f t="shared" si="14"/>
        <v/>
      </c>
      <c r="L153" s="5"/>
      <c r="M153" s="5"/>
      <c r="N153" s="5"/>
      <c r="O153" s="5"/>
      <c r="P153" s="5"/>
      <c r="Q153" s="23"/>
      <c r="R153" s="24" t="str">
        <f t="shared" si="17"/>
        <v/>
      </c>
      <c r="S153" s="24" t="str">
        <f t="shared" si="18"/>
        <v/>
      </c>
      <c r="T153" t="str">
        <f t="shared" si="15"/>
        <v/>
      </c>
    </row>
    <row r="154" spans="1:20">
      <c r="A154" s="22" t="s">
        <v>248</v>
      </c>
      <c r="B154" s="5"/>
      <c r="C154" s="5"/>
      <c r="D154" s="5"/>
      <c r="E154" s="5"/>
      <c r="F154" s="5"/>
      <c r="G154" s="5"/>
      <c r="H154" s="22" t="str">
        <f t="shared" si="16"/>
        <v/>
      </c>
      <c r="I154" s="5"/>
      <c r="J154" s="33"/>
      <c r="K154" s="24" t="str">
        <f t="shared" si="14"/>
        <v/>
      </c>
      <c r="L154" s="5"/>
      <c r="M154" s="5"/>
      <c r="N154" s="5"/>
      <c r="O154" s="5"/>
      <c r="P154" s="5"/>
      <c r="Q154" s="23"/>
      <c r="R154" s="24" t="str">
        <f t="shared" si="17"/>
        <v/>
      </c>
      <c r="S154" s="24" t="str">
        <f t="shared" si="18"/>
        <v/>
      </c>
      <c r="T154" t="str">
        <f t="shared" si="15"/>
        <v/>
      </c>
    </row>
    <row r="155" spans="1:20">
      <c r="A155" s="22" t="s">
        <v>249</v>
      </c>
      <c r="B155" s="5"/>
      <c r="C155" s="5"/>
      <c r="D155" s="5"/>
      <c r="E155" s="5"/>
      <c r="F155" s="5"/>
      <c r="G155" s="5"/>
      <c r="H155" s="22" t="str">
        <f t="shared" si="16"/>
        <v/>
      </c>
      <c r="I155" s="5"/>
      <c r="J155" s="33"/>
      <c r="K155" s="24" t="str">
        <f t="shared" si="14"/>
        <v/>
      </c>
      <c r="L155" s="5"/>
      <c r="M155" s="5"/>
      <c r="N155" s="5"/>
      <c r="O155" s="5"/>
      <c r="P155" s="5"/>
      <c r="Q155" s="23"/>
      <c r="R155" s="24" t="str">
        <f t="shared" si="17"/>
        <v/>
      </c>
      <c r="S155" s="24" t="str">
        <f t="shared" si="18"/>
        <v/>
      </c>
      <c r="T155" t="str">
        <f t="shared" si="15"/>
        <v/>
      </c>
    </row>
    <row r="156" spans="1:20">
      <c r="A156" s="22" t="s">
        <v>250</v>
      </c>
      <c r="B156" s="5"/>
      <c r="C156" s="5"/>
      <c r="D156" s="5"/>
      <c r="E156" s="5"/>
      <c r="F156" s="5"/>
      <c r="G156" s="5"/>
      <c r="H156" s="22" t="str">
        <f t="shared" si="16"/>
        <v/>
      </c>
      <c r="I156" s="5"/>
      <c r="J156" s="33"/>
      <c r="K156" s="24" t="str">
        <f t="shared" si="14"/>
        <v/>
      </c>
      <c r="L156" s="5"/>
      <c r="M156" s="5"/>
      <c r="N156" s="5"/>
      <c r="O156" s="5"/>
      <c r="P156" s="5"/>
      <c r="Q156" s="23"/>
      <c r="R156" s="24" t="str">
        <f t="shared" si="17"/>
        <v/>
      </c>
      <c r="S156" s="24" t="str">
        <f t="shared" si="18"/>
        <v/>
      </c>
      <c r="T156" t="str">
        <f t="shared" si="15"/>
        <v/>
      </c>
    </row>
    <row r="157" spans="1:20">
      <c r="A157" s="22" t="s">
        <v>251</v>
      </c>
      <c r="B157" s="5"/>
      <c r="C157" s="5"/>
      <c r="D157" s="5"/>
      <c r="E157" s="5"/>
      <c r="F157" s="5"/>
      <c r="G157" s="5"/>
      <c r="H157" s="22" t="str">
        <f t="shared" si="16"/>
        <v/>
      </c>
      <c r="I157" s="5"/>
      <c r="J157" s="33"/>
      <c r="K157" s="24" t="str">
        <f t="shared" si="14"/>
        <v/>
      </c>
      <c r="L157" s="5"/>
      <c r="M157" s="5"/>
      <c r="N157" s="5"/>
      <c r="O157" s="5"/>
      <c r="P157" s="5"/>
      <c r="Q157" s="23"/>
      <c r="R157" s="24" t="str">
        <f t="shared" si="17"/>
        <v/>
      </c>
      <c r="S157" s="24" t="str">
        <f t="shared" si="18"/>
        <v/>
      </c>
      <c r="T157" t="str">
        <f t="shared" si="15"/>
        <v/>
      </c>
    </row>
    <row r="158" spans="1:20">
      <c r="A158" s="22" t="s">
        <v>252</v>
      </c>
      <c r="B158" s="5"/>
      <c r="C158" s="5"/>
      <c r="D158" s="5"/>
      <c r="E158" s="5"/>
      <c r="F158" s="5"/>
      <c r="G158" s="5"/>
      <c r="H158" s="22" t="str">
        <f t="shared" si="16"/>
        <v/>
      </c>
      <c r="I158" s="5"/>
      <c r="J158" s="33"/>
      <c r="K158" s="24" t="str">
        <f t="shared" si="14"/>
        <v/>
      </c>
      <c r="L158" s="5"/>
      <c r="M158" s="5"/>
      <c r="N158" s="5"/>
      <c r="O158" s="5"/>
      <c r="P158" s="5"/>
      <c r="Q158" s="23"/>
      <c r="R158" s="24" t="str">
        <f t="shared" si="17"/>
        <v/>
      </c>
      <c r="S158" s="24" t="str">
        <f t="shared" si="18"/>
        <v/>
      </c>
      <c r="T158" t="str">
        <f t="shared" si="15"/>
        <v/>
      </c>
    </row>
    <row r="159" spans="1:20">
      <c r="A159" s="22" t="s">
        <v>253</v>
      </c>
      <c r="B159" s="5"/>
      <c r="C159" s="5"/>
      <c r="D159" s="5"/>
      <c r="E159" s="5"/>
      <c r="F159" s="5"/>
      <c r="G159" s="5"/>
      <c r="H159" s="22" t="str">
        <f t="shared" si="16"/>
        <v/>
      </c>
      <c r="I159" s="5"/>
      <c r="J159" s="33"/>
      <c r="K159" s="24" t="str">
        <f t="shared" si="14"/>
        <v/>
      </c>
      <c r="L159" s="5"/>
      <c r="M159" s="5"/>
      <c r="N159" s="5"/>
      <c r="O159" s="5"/>
      <c r="P159" s="5"/>
      <c r="Q159" s="23"/>
      <c r="R159" s="24" t="str">
        <f t="shared" si="17"/>
        <v/>
      </c>
      <c r="S159" s="24" t="str">
        <f t="shared" si="18"/>
        <v/>
      </c>
      <c r="T159" t="str">
        <f t="shared" si="15"/>
        <v/>
      </c>
    </row>
    <row r="160" spans="1:20">
      <c r="A160" s="22" t="s">
        <v>254</v>
      </c>
      <c r="B160" s="5"/>
      <c r="C160" s="5"/>
      <c r="D160" s="5"/>
      <c r="E160" s="5"/>
      <c r="F160" s="5"/>
      <c r="G160" s="5"/>
      <c r="H160" s="22" t="str">
        <f t="shared" si="16"/>
        <v/>
      </c>
      <c r="I160" s="5"/>
      <c r="J160" s="33"/>
      <c r="K160" s="24" t="str">
        <f t="shared" si="14"/>
        <v/>
      </c>
      <c r="L160" s="5"/>
      <c r="M160" s="5"/>
      <c r="N160" s="5"/>
      <c r="O160" s="5"/>
      <c r="P160" s="5"/>
      <c r="Q160" s="23"/>
      <c r="R160" s="24" t="str">
        <f t="shared" si="17"/>
        <v/>
      </c>
      <c r="S160" s="24" t="str">
        <f t="shared" si="18"/>
        <v/>
      </c>
      <c r="T160" t="str">
        <f t="shared" si="15"/>
        <v/>
      </c>
    </row>
    <row r="161" spans="1:20">
      <c r="A161" s="22" t="s">
        <v>255</v>
      </c>
      <c r="B161" s="5"/>
      <c r="C161" s="5"/>
      <c r="D161" s="5"/>
      <c r="E161" s="5"/>
      <c r="F161" s="5"/>
      <c r="G161" s="5"/>
      <c r="H161" s="22" t="str">
        <f t="shared" si="16"/>
        <v/>
      </c>
      <c r="I161" s="5"/>
      <c r="J161" s="33"/>
      <c r="K161" s="24" t="str">
        <f t="shared" si="14"/>
        <v/>
      </c>
      <c r="L161" s="5"/>
      <c r="M161" s="5"/>
      <c r="N161" s="5"/>
      <c r="O161" s="5"/>
      <c r="P161" s="5"/>
      <c r="Q161" s="23"/>
      <c r="R161" s="24" t="str">
        <f t="shared" si="17"/>
        <v/>
      </c>
      <c r="S161" s="24" t="str">
        <f t="shared" si="18"/>
        <v/>
      </c>
      <c r="T161" t="str">
        <f t="shared" si="15"/>
        <v/>
      </c>
    </row>
    <row r="162" spans="1:20">
      <c r="A162" s="22" t="s">
        <v>256</v>
      </c>
      <c r="B162" s="5"/>
      <c r="C162" s="5"/>
      <c r="D162" s="5"/>
      <c r="E162" s="5"/>
      <c r="F162" s="5"/>
      <c r="G162" s="5"/>
      <c r="H162" s="22" t="str">
        <f t="shared" si="16"/>
        <v/>
      </c>
      <c r="I162" s="5"/>
      <c r="J162" s="33"/>
      <c r="K162" s="24" t="str">
        <f t="shared" si="14"/>
        <v/>
      </c>
      <c r="L162" s="5"/>
      <c r="M162" s="5"/>
      <c r="N162" s="5"/>
      <c r="O162" s="5"/>
      <c r="P162" s="5"/>
      <c r="Q162" s="23"/>
      <c r="R162" s="24" t="str">
        <f t="shared" si="17"/>
        <v/>
      </c>
      <c r="S162" s="24" t="str">
        <f t="shared" si="18"/>
        <v/>
      </c>
      <c r="T162" t="str">
        <f t="shared" si="15"/>
        <v/>
      </c>
    </row>
    <row r="163" spans="1:20">
      <c r="A163" s="22" t="s">
        <v>257</v>
      </c>
      <c r="B163" s="5"/>
      <c r="C163" s="5"/>
      <c r="D163" s="5"/>
      <c r="E163" s="5"/>
      <c r="F163" s="5"/>
      <c r="G163" s="5"/>
      <c r="H163" s="22" t="str">
        <f t="shared" si="16"/>
        <v/>
      </c>
      <c r="I163" s="5"/>
      <c r="J163" s="33"/>
      <c r="K163" s="24" t="str">
        <f t="shared" si="14"/>
        <v/>
      </c>
      <c r="L163" s="5"/>
      <c r="M163" s="5"/>
      <c r="N163" s="5"/>
      <c r="O163" s="5"/>
      <c r="P163" s="5"/>
      <c r="Q163" s="23"/>
      <c r="R163" s="24" t="str">
        <f t="shared" si="17"/>
        <v/>
      </c>
      <c r="S163" s="24" t="str">
        <f t="shared" si="18"/>
        <v/>
      </c>
      <c r="T163" t="str">
        <f t="shared" si="15"/>
        <v/>
      </c>
    </row>
    <row r="164" spans="1:20">
      <c r="A164" s="22" t="s">
        <v>258</v>
      </c>
      <c r="B164" s="5"/>
      <c r="C164" s="5"/>
      <c r="D164" s="5"/>
      <c r="E164" s="5"/>
      <c r="F164" s="5"/>
      <c r="G164" s="5"/>
      <c r="H164" s="22" t="str">
        <f t="shared" si="16"/>
        <v/>
      </c>
      <c r="I164" s="5"/>
      <c r="J164" s="33"/>
      <c r="K164" s="24" t="str">
        <f t="shared" si="14"/>
        <v/>
      </c>
      <c r="L164" s="5"/>
      <c r="M164" s="5"/>
      <c r="N164" s="5"/>
      <c r="O164" s="5"/>
      <c r="P164" s="5"/>
      <c r="Q164" s="23"/>
      <c r="R164" s="24" t="str">
        <f t="shared" si="17"/>
        <v/>
      </c>
      <c r="S164" s="24" t="str">
        <f t="shared" si="18"/>
        <v/>
      </c>
      <c r="T164" t="str">
        <f t="shared" si="15"/>
        <v/>
      </c>
    </row>
    <row r="165" spans="1:20">
      <c r="A165" s="22" t="s">
        <v>259</v>
      </c>
      <c r="B165" s="5"/>
      <c r="C165" s="5"/>
      <c r="D165" s="5"/>
      <c r="E165" s="5"/>
      <c r="F165" s="5"/>
      <c r="G165" s="5"/>
      <c r="H165" s="22" t="str">
        <f t="shared" si="16"/>
        <v/>
      </c>
      <c r="I165" s="5"/>
      <c r="J165" s="33"/>
      <c r="K165" s="24" t="str">
        <f t="shared" si="14"/>
        <v/>
      </c>
      <c r="L165" s="5"/>
      <c r="M165" s="5"/>
      <c r="N165" s="5"/>
      <c r="O165" s="5"/>
      <c r="P165" s="5"/>
      <c r="Q165" s="23"/>
      <c r="R165" s="24" t="str">
        <f t="shared" si="17"/>
        <v/>
      </c>
      <c r="S165" s="24" t="str">
        <f t="shared" si="18"/>
        <v/>
      </c>
      <c r="T165" t="str">
        <f t="shared" si="15"/>
        <v/>
      </c>
    </row>
    <row r="166" spans="1:20">
      <c r="A166" s="22" t="s">
        <v>260</v>
      </c>
      <c r="B166" s="5"/>
      <c r="C166" s="5"/>
      <c r="D166" s="5"/>
      <c r="E166" s="5"/>
      <c r="F166" s="5"/>
      <c r="G166" s="5"/>
      <c r="H166" s="22" t="str">
        <f t="shared" si="16"/>
        <v/>
      </c>
      <c r="I166" s="5"/>
      <c r="J166" s="33"/>
      <c r="K166" s="24" t="str">
        <f t="shared" si="14"/>
        <v/>
      </c>
      <c r="L166" s="5"/>
      <c r="M166" s="5"/>
      <c r="N166" s="5"/>
      <c r="O166" s="5"/>
      <c r="P166" s="5"/>
      <c r="Q166" s="23"/>
      <c r="R166" s="24" t="str">
        <f t="shared" si="17"/>
        <v/>
      </c>
      <c r="S166" s="24" t="str">
        <f t="shared" si="18"/>
        <v/>
      </c>
      <c r="T166" t="str">
        <f t="shared" si="15"/>
        <v/>
      </c>
    </row>
    <row r="167" spans="1:20">
      <c r="A167" s="22" t="s">
        <v>261</v>
      </c>
      <c r="B167" s="5"/>
      <c r="C167" s="5"/>
      <c r="D167" s="5"/>
      <c r="E167" s="5"/>
      <c r="F167" s="5"/>
      <c r="G167" s="5"/>
      <c r="H167" s="22" t="str">
        <f t="shared" si="16"/>
        <v/>
      </c>
      <c r="I167" s="5"/>
      <c r="J167" s="33"/>
      <c r="K167" s="24" t="str">
        <f t="shared" si="14"/>
        <v/>
      </c>
      <c r="L167" s="5"/>
      <c r="M167" s="5"/>
      <c r="N167" s="5"/>
      <c r="O167" s="5"/>
      <c r="P167" s="5"/>
      <c r="Q167" s="23"/>
      <c r="R167" s="24" t="str">
        <f t="shared" si="17"/>
        <v/>
      </c>
      <c r="S167" s="24" t="str">
        <f t="shared" si="18"/>
        <v/>
      </c>
      <c r="T167" t="str">
        <f t="shared" si="15"/>
        <v/>
      </c>
    </row>
    <row r="168" spans="1:20">
      <c r="A168" s="22" t="s">
        <v>262</v>
      </c>
      <c r="B168" s="5"/>
      <c r="C168" s="5"/>
      <c r="D168" s="5"/>
      <c r="E168" s="5"/>
      <c r="F168" s="5"/>
      <c r="G168" s="5"/>
      <c r="H168" s="22" t="str">
        <f t="shared" si="16"/>
        <v/>
      </c>
      <c r="I168" s="5"/>
      <c r="J168" s="33"/>
      <c r="K168" s="24" t="str">
        <f t="shared" si="14"/>
        <v/>
      </c>
      <c r="L168" s="5"/>
      <c r="M168" s="5"/>
      <c r="N168" s="5"/>
      <c r="O168" s="5"/>
      <c r="P168" s="5"/>
      <c r="Q168" s="23"/>
      <c r="R168" s="24" t="str">
        <f t="shared" si="17"/>
        <v/>
      </c>
      <c r="S168" s="24" t="str">
        <f t="shared" si="18"/>
        <v/>
      </c>
      <c r="T168" t="str">
        <f t="shared" si="15"/>
        <v/>
      </c>
    </row>
    <row r="169" spans="1:20">
      <c r="A169" s="22" t="s">
        <v>263</v>
      </c>
      <c r="B169" s="5"/>
      <c r="C169" s="5"/>
      <c r="D169" s="5"/>
      <c r="E169" s="5"/>
      <c r="F169" s="5"/>
      <c r="G169" s="5"/>
      <c r="H169" s="22" t="str">
        <f t="shared" si="16"/>
        <v/>
      </c>
      <c r="I169" s="5"/>
      <c r="J169" s="33"/>
      <c r="K169" s="24" t="str">
        <f t="shared" si="14"/>
        <v/>
      </c>
      <c r="L169" s="5"/>
      <c r="M169" s="5"/>
      <c r="N169" s="5"/>
      <c r="O169" s="5"/>
      <c r="P169" s="5"/>
      <c r="Q169" s="23"/>
      <c r="R169" s="24" t="str">
        <f t="shared" si="17"/>
        <v/>
      </c>
      <c r="S169" s="24" t="str">
        <f t="shared" si="18"/>
        <v/>
      </c>
      <c r="T169" t="str">
        <f t="shared" si="15"/>
        <v/>
      </c>
    </row>
    <row r="170" spans="1:20">
      <c r="A170" s="22" t="s">
        <v>264</v>
      </c>
      <c r="B170" s="5"/>
      <c r="C170" s="5"/>
      <c r="D170" s="5"/>
      <c r="E170" s="5"/>
      <c r="F170" s="5"/>
      <c r="G170" s="5"/>
      <c r="H170" s="22" t="str">
        <f t="shared" si="16"/>
        <v/>
      </c>
      <c r="I170" s="5"/>
      <c r="J170" s="33"/>
      <c r="K170" s="24" t="str">
        <f t="shared" si="14"/>
        <v/>
      </c>
      <c r="L170" s="5"/>
      <c r="M170" s="5"/>
      <c r="N170" s="5"/>
      <c r="O170" s="5"/>
      <c r="P170" s="5"/>
      <c r="Q170" s="23"/>
      <c r="R170" s="24" t="str">
        <f t="shared" si="17"/>
        <v/>
      </c>
      <c r="S170" s="24" t="str">
        <f t="shared" si="18"/>
        <v/>
      </c>
      <c r="T170" t="str">
        <f t="shared" si="15"/>
        <v/>
      </c>
    </row>
    <row r="171" spans="1:20">
      <c r="A171" s="22" t="s">
        <v>265</v>
      </c>
      <c r="B171" s="5"/>
      <c r="C171" s="5"/>
      <c r="D171" s="5"/>
      <c r="E171" s="5"/>
      <c r="F171" s="5"/>
      <c r="G171" s="5"/>
      <c r="H171" s="22" t="str">
        <f t="shared" si="16"/>
        <v/>
      </c>
      <c r="I171" s="5"/>
      <c r="J171" s="33"/>
      <c r="K171" s="24" t="str">
        <f t="shared" si="14"/>
        <v/>
      </c>
      <c r="L171" s="5"/>
      <c r="M171" s="5"/>
      <c r="N171" s="5"/>
      <c r="O171" s="5"/>
      <c r="P171" s="5"/>
      <c r="Q171" s="23"/>
      <c r="R171" s="24" t="str">
        <f t="shared" si="17"/>
        <v/>
      </c>
      <c r="S171" s="24" t="str">
        <f t="shared" si="18"/>
        <v/>
      </c>
      <c r="T171" t="str">
        <f t="shared" si="15"/>
        <v/>
      </c>
    </row>
    <row r="172" spans="1:20">
      <c r="A172" s="22" t="s">
        <v>266</v>
      </c>
      <c r="B172" s="5"/>
      <c r="C172" s="5"/>
      <c r="D172" s="5"/>
      <c r="E172" s="5"/>
      <c r="F172" s="5"/>
      <c r="G172" s="5"/>
      <c r="H172" s="22" t="str">
        <f t="shared" si="16"/>
        <v/>
      </c>
      <c r="I172" s="5"/>
      <c r="J172" s="33"/>
      <c r="K172" s="24" t="str">
        <f t="shared" si="14"/>
        <v/>
      </c>
      <c r="L172" s="5"/>
      <c r="M172" s="5"/>
      <c r="N172" s="5"/>
      <c r="O172" s="5"/>
      <c r="P172" s="5"/>
      <c r="Q172" s="23"/>
      <c r="R172" s="24" t="str">
        <f t="shared" si="17"/>
        <v/>
      </c>
      <c r="S172" s="24" t="str">
        <f t="shared" si="18"/>
        <v/>
      </c>
      <c r="T172" t="str">
        <f t="shared" si="15"/>
        <v/>
      </c>
    </row>
    <row r="173" spans="1:20">
      <c r="A173" s="22" t="s">
        <v>267</v>
      </c>
      <c r="B173" s="5"/>
      <c r="C173" s="5"/>
      <c r="D173" s="5"/>
      <c r="E173" s="5"/>
      <c r="F173" s="5"/>
      <c r="G173" s="5"/>
      <c r="H173" s="22" t="str">
        <f t="shared" si="16"/>
        <v/>
      </c>
      <c r="I173" s="5"/>
      <c r="J173" s="33"/>
      <c r="K173" s="24" t="str">
        <f t="shared" si="14"/>
        <v/>
      </c>
      <c r="L173" s="5"/>
      <c r="M173" s="5"/>
      <c r="N173" s="5"/>
      <c r="O173" s="5"/>
      <c r="P173" s="5"/>
      <c r="Q173" s="23"/>
      <c r="R173" s="24" t="str">
        <f t="shared" si="17"/>
        <v/>
      </c>
      <c r="S173" s="24" t="str">
        <f t="shared" si="18"/>
        <v/>
      </c>
      <c r="T173" t="str">
        <f t="shared" si="15"/>
        <v/>
      </c>
    </row>
    <row r="174" spans="1:20">
      <c r="A174" s="22" t="s">
        <v>268</v>
      </c>
      <c r="B174" s="5"/>
      <c r="C174" s="5"/>
      <c r="D174" s="5"/>
      <c r="E174" s="5"/>
      <c r="F174" s="5"/>
      <c r="G174" s="5"/>
      <c r="H174" s="22" t="str">
        <f t="shared" si="16"/>
        <v/>
      </c>
      <c r="I174" s="5"/>
      <c r="J174" s="33"/>
      <c r="K174" s="24" t="str">
        <f t="shared" si="14"/>
        <v/>
      </c>
      <c r="L174" s="5"/>
      <c r="M174" s="5"/>
      <c r="N174" s="5"/>
      <c r="O174" s="5"/>
      <c r="P174" s="5"/>
      <c r="Q174" s="23"/>
      <c r="R174" s="24" t="str">
        <f t="shared" si="17"/>
        <v/>
      </c>
      <c r="S174" s="24" t="str">
        <f t="shared" si="18"/>
        <v/>
      </c>
      <c r="T174" t="str">
        <f t="shared" si="15"/>
        <v/>
      </c>
    </row>
    <row r="175" spans="1:20">
      <c r="A175" s="22" t="s">
        <v>269</v>
      </c>
      <c r="B175" s="5"/>
      <c r="C175" s="5"/>
      <c r="D175" s="5"/>
      <c r="E175" s="5"/>
      <c r="F175" s="5"/>
      <c r="G175" s="5"/>
      <c r="H175" s="22" t="str">
        <f t="shared" si="16"/>
        <v/>
      </c>
      <c r="I175" s="5"/>
      <c r="J175" s="33"/>
      <c r="K175" s="24" t="str">
        <f t="shared" si="14"/>
        <v/>
      </c>
      <c r="L175" s="5"/>
      <c r="M175" s="5"/>
      <c r="N175" s="5"/>
      <c r="O175" s="5"/>
      <c r="P175" s="5"/>
      <c r="Q175" s="23"/>
      <c r="R175" s="24" t="str">
        <f t="shared" si="17"/>
        <v/>
      </c>
      <c r="S175" s="24" t="str">
        <f t="shared" si="18"/>
        <v/>
      </c>
      <c r="T175" t="str">
        <f t="shared" si="15"/>
        <v/>
      </c>
    </row>
    <row r="176" spans="1:20">
      <c r="A176" s="22" t="s">
        <v>270</v>
      </c>
      <c r="B176" s="5"/>
      <c r="C176" s="5"/>
      <c r="D176" s="5"/>
      <c r="E176" s="5"/>
      <c r="F176" s="5"/>
      <c r="G176" s="5"/>
      <c r="H176" s="22" t="str">
        <f t="shared" si="16"/>
        <v/>
      </c>
      <c r="I176" s="5"/>
      <c r="J176" s="33"/>
      <c r="K176" s="24" t="str">
        <f t="shared" si="14"/>
        <v/>
      </c>
      <c r="L176" s="5"/>
      <c r="M176" s="5"/>
      <c r="N176" s="5"/>
      <c r="O176" s="5"/>
      <c r="P176" s="5"/>
      <c r="Q176" s="23"/>
      <c r="R176" s="24" t="str">
        <f t="shared" si="17"/>
        <v/>
      </c>
      <c r="S176" s="24" t="str">
        <f t="shared" si="18"/>
        <v/>
      </c>
      <c r="T176" t="str">
        <f t="shared" si="15"/>
        <v/>
      </c>
    </row>
    <row r="177" spans="1:20">
      <c r="A177" s="22" t="s">
        <v>271</v>
      </c>
      <c r="B177" s="5"/>
      <c r="C177" s="5"/>
      <c r="D177" s="5"/>
      <c r="E177" s="5"/>
      <c r="F177" s="5"/>
      <c r="G177" s="5"/>
      <c r="H177" s="22" t="str">
        <f t="shared" si="16"/>
        <v/>
      </c>
      <c r="I177" s="5"/>
      <c r="J177" s="33"/>
      <c r="K177" s="24" t="str">
        <f t="shared" si="14"/>
        <v/>
      </c>
      <c r="L177" s="5"/>
      <c r="M177" s="5"/>
      <c r="N177" s="5"/>
      <c r="O177" s="5"/>
      <c r="P177" s="5"/>
      <c r="Q177" s="23"/>
      <c r="R177" s="24" t="str">
        <f t="shared" si="17"/>
        <v/>
      </c>
      <c r="S177" s="24" t="str">
        <f t="shared" si="18"/>
        <v/>
      </c>
      <c r="T177" t="str">
        <f t="shared" si="15"/>
        <v/>
      </c>
    </row>
    <row r="178" spans="1:20">
      <c r="A178" s="22" t="s">
        <v>272</v>
      </c>
      <c r="B178" s="5"/>
      <c r="C178" s="5"/>
      <c r="D178" s="5"/>
      <c r="E178" s="5"/>
      <c r="F178" s="5"/>
      <c r="G178" s="5"/>
      <c r="H178" s="22" t="str">
        <f t="shared" si="16"/>
        <v/>
      </c>
      <c r="I178" s="5"/>
      <c r="J178" s="33"/>
      <c r="K178" s="24" t="str">
        <f t="shared" si="14"/>
        <v/>
      </c>
      <c r="L178" s="5"/>
      <c r="M178" s="5"/>
      <c r="N178" s="5"/>
      <c r="O178" s="5"/>
      <c r="P178" s="5"/>
      <c r="Q178" s="23"/>
      <c r="R178" s="24" t="str">
        <f t="shared" si="17"/>
        <v/>
      </c>
      <c r="S178" s="24" t="str">
        <f t="shared" si="18"/>
        <v/>
      </c>
      <c r="T178" t="str">
        <f t="shared" si="15"/>
        <v/>
      </c>
    </row>
    <row r="179" spans="1:20">
      <c r="A179" s="22" t="s">
        <v>273</v>
      </c>
      <c r="B179" s="5"/>
      <c r="C179" s="5"/>
      <c r="D179" s="5"/>
      <c r="E179" s="5"/>
      <c r="F179" s="5"/>
      <c r="G179" s="5"/>
      <c r="H179" s="22" t="str">
        <f t="shared" si="16"/>
        <v/>
      </c>
      <c r="I179" s="5"/>
      <c r="J179" s="33"/>
      <c r="K179" s="24" t="str">
        <f t="shared" si="14"/>
        <v/>
      </c>
      <c r="L179" s="5"/>
      <c r="M179" s="5"/>
      <c r="N179" s="5"/>
      <c r="O179" s="5"/>
      <c r="P179" s="5"/>
      <c r="Q179" s="23"/>
      <c r="R179" s="24" t="str">
        <f t="shared" si="17"/>
        <v/>
      </c>
      <c r="S179" s="24" t="str">
        <f t="shared" si="18"/>
        <v/>
      </c>
      <c r="T179" t="str">
        <f t="shared" si="15"/>
        <v/>
      </c>
    </row>
    <row r="180" spans="1:20">
      <c r="A180" s="22" t="s">
        <v>274</v>
      </c>
      <c r="B180" s="5"/>
      <c r="C180" s="5"/>
      <c r="D180" s="5"/>
      <c r="E180" s="5"/>
      <c r="F180" s="5"/>
      <c r="G180" s="5"/>
      <c r="H180" s="22" t="str">
        <f t="shared" si="16"/>
        <v/>
      </c>
      <c r="I180" s="5"/>
      <c r="J180" s="33"/>
      <c r="K180" s="24" t="str">
        <f t="shared" si="14"/>
        <v/>
      </c>
      <c r="L180" s="5"/>
      <c r="M180" s="5"/>
      <c r="N180" s="5"/>
      <c r="O180" s="5"/>
      <c r="P180" s="5"/>
      <c r="Q180" s="23"/>
      <c r="R180" s="24" t="str">
        <f t="shared" si="17"/>
        <v/>
      </c>
      <c r="S180" s="24" t="str">
        <f t="shared" si="18"/>
        <v/>
      </c>
      <c r="T180" t="str">
        <f t="shared" si="15"/>
        <v/>
      </c>
    </row>
    <row r="181" spans="1:20">
      <c r="A181" s="22" t="s">
        <v>275</v>
      </c>
      <c r="B181" s="5"/>
      <c r="C181" s="5"/>
      <c r="D181" s="5"/>
      <c r="E181" s="5"/>
      <c r="F181" s="5"/>
      <c r="G181" s="5"/>
      <c r="H181" s="22" t="str">
        <f t="shared" si="16"/>
        <v/>
      </c>
      <c r="I181" s="5"/>
      <c r="J181" s="33"/>
      <c r="K181" s="24" t="str">
        <f t="shared" si="14"/>
        <v/>
      </c>
      <c r="L181" s="5"/>
      <c r="M181" s="5"/>
      <c r="N181" s="5"/>
      <c r="O181" s="5"/>
      <c r="P181" s="5"/>
      <c r="Q181" s="23"/>
      <c r="R181" s="24" t="str">
        <f t="shared" si="17"/>
        <v/>
      </c>
      <c r="S181" s="24" t="str">
        <f t="shared" si="18"/>
        <v/>
      </c>
      <c r="T181" t="str">
        <f t="shared" si="15"/>
        <v/>
      </c>
    </row>
    <row r="182" spans="1:20">
      <c r="A182" s="22" t="s">
        <v>276</v>
      </c>
      <c r="B182" s="5"/>
      <c r="C182" s="5"/>
      <c r="D182" s="5"/>
      <c r="E182" s="5"/>
      <c r="F182" s="5"/>
      <c r="G182" s="5"/>
      <c r="H182" s="22" t="str">
        <f t="shared" si="16"/>
        <v/>
      </c>
      <c r="I182" s="5"/>
      <c r="J182" s="33"/>
      <c r="K182" s="24" t="str">
        <f t="shared" si="14"/>
        <v/>
      </c>
      <c r="L182" s="5"/>
      <c r="M182" s="5"/>
      <c r="N182" s="5"/>
      <c r="O182" s="5"/>
      <c r="P182" s="5"/>
      <c r="Q182" s="23"/>
      <c r="R182" s="24" t="str">
        <f t="shared" si="17"/>
        <v/>
      </c>
      <c r="S182" s="24" t="str">
        <f t="shared" si="18"/>
        <v/>
      </c>
      <c r="T182" t="str">
        <f t="shared" si="15"/>
        <v/>
      </c>
    </row>
    <row r="183" spans="1:20">
      <c r="A183" s="22" t="s">
        <v>277</v>
      </c>
      <c r="B183" s="5"/>
      <c r="C183" s="5"/>
      <c r="D183" s="5"/>
      <c r="E183" s="5"/>
      <c r="F183" s="5"/>
      <c r="G183" s="5"/>
      <c r="H183" s="22" t="str">
        <f t="shared" si="16"/>
        <v/>
      </c>
      <c r="I183" s="5"/>
      <c r="J183" s="33"/>
      <c r="K183" s="24" t="str">
        <f t="shared" si="14"/>
        <v/>
      </c>
      <c r="L183" s="5"/>
      <c r="M183" s="5"/>
      <c r="N183" s="5"/>
      <c r="O183" s="5"/>
      <c r="P183" s="5"/>
      <c r="Q183" s="23"/>
      <c r="R183" s="24" t="str">
        <f t="shared" si="17"/>
        <v/>
      </c>
      <c r="S183" s="24" t="str">
        <f t="shared" si="18"/>
        <v/>
      </c>
      <c r="T183" t="str">
        <f t="shared" si="15"/>
        <v/>
      </c>
    </row>
    <row r="184" spans="1:20">
      <c r="A184" s="22" t="s">
        <v>278</v>
      </c>
      <c r="B184" s="5"/>
      <c r="C184" s="5"/>
      <c r="D184" s="5"/>
      <c r="E184" s="5"/>
      <c r="F184" s="5"/>
      <c r="G184" s="5"/>
      <c r="H184" s="22" t="str">
        <f t="shared" si="16"/>
        <v/>
      </c>
      <c r="I184" s="5"/>
      <c r="J184" s="33"/>
      <c r="K184" s="24" t="str">
        <f t="shared" si="14"/>
        <v/>
      </c>
      <c r="L184" s="5"/>
      <c r="M184" s="5"/>
      <c r="N184" s="5"/>
      <c r="O184" s="5"/>
      <c r="P184" s="5"/>
      <c r="Q184" s="23"/>
      <c r="R184" s="24" t="str">
        <f t="shared" si="17"/>
        <v/>
      </c>
      <c r="S184" s="24" t="str">
        <f t="shared" si="18"/>
        <v/>
      </c>
      <c r="T184" t="str">
        <f t="shared" si="15"/>
        <v/>
      </c>
    </row>
    <row r="185" spans="1:20">
      <c r="A185" s="22" t="s">
        <v>279</v>
      </c>
      <c r="B185" s="5"/>
      <c r="C185" s="5"/>
      <c r="D185" s="5"/>
      <c r="E185" s="5"/>
      <c r="F185" s="5"/>
      <c r="G185" s="5"/>
      <c r="H185" s="22" t="str">
        <f t="shared" si="16"/>
        <v/>
      </c>
      <c r="I185" s="5"/>
      <c r="J185" s="33"/>
      <c r="K185" s="24" t="str">
        <f t="shared" si="14"/>
        <v/>
      </c>
      <c r="L185" s="5"/>
      <c r="M185" s="5"/>
      <c r="N185" s="5"/>
      <c r="O185" s="5"/>
      <c r="P185" s="5"/>
      <c r="Q185" s="23"/>
      <c r="R185" s="24" t="str">
        <f t="shared" si="17"/>
        <v/>
      </c>
      <c r="S185" s="24" t="str">
        <f t="shared" si="18"/>
        <v/>
      </c>
      <c r="T185" t="str">
        <f t="shared" si="15"/>
        <v/>
      </c>
    </row>
    <row r="186" spans="1:20">
      <c r="A186" s="22" t="s">
        <v>280</v>
      </c>
      <c r="B186" s="5"/>
      <c r="C186" s="5"/>
      <c r="D186" s="5"/>
      <c r="E186" s="5"/>
      <c r="F186" s="5"/>
      <c r="G186" s="5"/>
      <c r="H186" s="22" t="str">
        <f t="shared" si="16"/>
        <v/>
      </c>
      <c r="I186" s="5"/>
      <c r="J186" s="33"/>
      <c r="K186" s="24" t="str">
        <f t="shared" si="14"/>
        <v/>
      </c>
      <c r="L186" s="5"/>
      <c r="M186" s="5"/>
      <c r="N186" s="5"/>
      <c r="O186" s="5"/>
      <c r="P186" s="5"/>
      <c r="Q186" s="23"/>
      <c r="R186" s="24" t="str">
        <f t="shared" si="17"/>
        <v/>
      </c>
      <c r="S186" s="24" t="str">
        <f t="shared" si="18"/>
        <v/>
      </c>
      <c r="T186" t="str">
        <f t="shared" si="15"/>
        <v/>
      </c>
    </row>
    <row r="187" spans="1:20">
      <c r="A187" s="22" t="s">
        <v>281</v>
      </c>
      <c r="B187" s="5"/>
      <c r="C187" s="5"/>
      <c r="D187" s="5"/>
      <c r="E187" s="5"/>
      <c r="F187" s="5"/>
      <c r="G187" s="5"/>
      <c r="H187" s="22" t="str">
        <f t="shared" si="16"/>
        <v/>
      </c>
      <c r="I187" s="5"/>
      <c r="J187" s="33"/>
      <c r="K187" s="24" t="str">
        <f t="shared" si="14"/>
        <v/>
      </c>
      <c r="L187" s="5"/>
      <c r="M187" s="5"/>
      <c r="N187" s="5"/>
      <c r="O187" s="5"/>
      <c r="P187" s="5"/>
      <c r="Q187" s="23"/>
      <c r="R187" s="24" t="str">
        <f t="shared" si="17"/>
        <v/>
      </c>
      <c r="S187" s="24" t="str">
        <f t="shared" si="18"/>
        <v/>
      </c>
      <c r="T187" t="str">
        <f t="shared" si="15"/>
        <v/>
      </c>
    </row>
    <row r="188" spans="1:20">
      <c r="A188" s="22" t="s">
        <v>282</v>
      </c>
      <c r="B188" s="5"/>
      <c r="C188" s="5"/>
      <c r="D188" s="5"/>
      <c r="E188" s="5"/>
      <c r="F188" s="5"/>
      <c r="G188" s="5"/>
      <c r="H188" s="22" t="str">
        <f t="shared" si="16"/>
        <v/>
      </c>
      <c r="I188" s="5"/>
      <c r="J188" s="33"/>
      <c r="K188" s="24" t="str">
        <f t="shared" si="14"/>
        <v/>
      </c>
      <c r="L188" s="5"/>
      <c r="M188" s="5"/>
      <c r="N188" s="5"/>
      <c r="O188" s="5"/>
      <c r="P188" s="5"/>
      <c r="Q188" s="23"/>
      <c r="R188" s="24" t="str">
        <f t="shared" si="17"/>
        <v/>
      </c>
      <c r="S188" s="24" t="str">
        <f t="shared" si="18"/>
        <v/>
      </c>
      <c r="T188" t="str">
        <f t="shared" si="15"/>
        <v/>
      </c>
    </row>
    <row r="189" spans="1:20">
      <c r="A189" s="22" t="s">
        <v>283</v>
      </c>
      <c r="B189" s="5"/>
      <c r="C189" s="5"/>
      <c r="D189" s="5"/>
      <c r="E189" s="5"/>
      <c r="F189" s="5"/>
      <c r="G189" s="5"/>
      <c r="H189" s="22" t="str">
        <f t="shared" si="16"/>
        <v/>
      </c>
      <c r="I189" s="5"/>
      <c r="J189" s="33"/>
      <c r="K189" s="24" t="str">
        <f t="shared" si="14"/>
        <v/>
      </c>
      <c r="L189" s="5"/>
      <c r="M189" s="5"/>
      <c r="N189" s="5"/>
      <c r="O189" s="5"/>
      <c r="P189" s="5"/>
      <c r="Q189" s="23"/>
      <c r="R189" s="24" t="str">
        <f t="shared" si="17"/>
        <v/>
      </c>
      <c r="S189" s="24" t="str">
        <f t="shared" si="18"/>
        <v/>
      </c>
      <c r="T189" t="str">
        <f t="shared" si="15"/>
        <v/>
      </c>
    </row>
    <row r="190" spans="1:20">
      <c r="A190" s="22" t="s">
        <v>284</v>
      </c>
      <c r="B190" s="5"/>
      <c r="C190" s="5"/>
      <c r="D190" s="5"/>
      <c r="E190" s="5"/>
      <c r="F190" s="5"/>
      <c r="G190" s="5"/>
      <c r="H190" s="22" t="str">
        <f t="shared" si="16"/>
        <v/>
      </c>
      <c r="I190" s="5"/>
      <c r="J190" s="33"/>
      <c r="K190" s="24" t="str">
        <f t="shared" si="14"/>
        <v/>
      </c>
      <c r="L190" s="5"/>
      <c r="M190" s="5"/>
      <c r="N190" s="5"/>
      <c r="O190" s="5"/>
      <c r="P190" s="5"/>
      <c r="Q190" s="23"/>
      <c r="R190" s="24" t="str">
        <f t="shared" si="17"/>
        <v/>
      </c>
      <c r="S190" s="24" t="str">
        <f t="shared" si="18"/>
        <v/>
      </c>
      <c r="T190" t="str">
        <f t="shared" si="15"/>
        <v/>
      </c>
    </row>
    <row r="191" spans="1:20">
      <c r="A191" s="22" t="s">
        <v>285</v>
      </c>
      <c r="B191" s="5"/>
      <c r="C191" s="5"/>
      <c r="D191" s="5"/>
      <c r="E191" s="5"/>
      <c r="F191" s="5"/>
      <c r="G191" s="5"/>
      <c r="H191" s="22" t="str">
        <f t="shared" si="16"/>
        <v/>
      </c>
      <c r="I191" s="5"/>
      <c r="J191" s="33"/>
      <c r="K191" s="24" t="str">
        <f t="shared" si="14"/>
        <v/>
      </c>
      <c r="L191" s="5"/>
      <c r="M191" s="5"/>
      <c r="N191" s="5"/>
      <c r="O191" s="5"/>
      <c r="P191" s="5"/>
      <c r="Q191" s="23"/>
      <c r="R191" s="24" t="str">
        <f t="shared" si="17"/>
        <v/>
      </c>
      <c r="S191" s="24" t="str">
        <f t="shared" si="18"/>
        <v/>
      </c>
      <c r="T191" t="str">
        <f t="shared" si="15"/>
        <v/>
      </c>
    </row>
    <row r="192" spans="1:20">
      <c r="A192" s="22" t="s">
        <v>286</v>
      </c>
      <c r="B192" s="5"/>
      <c r="C192" s="5"/>
      <c r="D192" s="5"/>
      <c r="E192" s="5"/>
      <c r="F192" s="5"/>
      <c r="G192" s="5"/>
      <c r="H192" s="22" t="str">
        <f t="shared" si="16"/>
        <v/>
      </c>
      <c r="I192" s="5"/>
      <c r="J192" s="33"/>
      <c r="K192" s="24" t="str">
        <f t="shared" si="14"/>
        <v/>
      </c>
      <c r="L192" s="5"/>
      <c r="M192" s="5"/>
      <c r="N192" s="5"/>
      <c r="O192" s="5"/>
      <c r="P192" s="5"/>
      <c r="Q192" s="23"/>
      <c r="R192" s="24" t="str">
        <f t="shared" si="17"/>
        <v/>
      </c>
      <c r="S192" s="24" t="str">
        <f t="shared" si="18"/>
        <v/>
      </c>
      <c r="T192" t="str">
        <f t="shared" si="15"/>
        <v/>
      </c>
    </row>
    <row r="193" spans="1:20">
      <c r="A193" s="22" t="s">
        <v>287</v>
      </c>
      <c r="B193" s="5"/>
      <c r="C193" s="5"/>
      <c r="D193" s="5"/>
      <c r="E193" s="5"/>
      <c r="F193" s="5"/>
      <c r="G193" s="5"/>
      <c r="H193" s="22" t="str">
        <f t="shared" si="16"/>
        <v/>
      </c>
      <c r="I193" s="5"/>
      <c r="J193" s="33"/>
      <c r="K193" s="24" t="str">
        <f t="shared" si="14"/>
        <v/>
      </c>
      <c r="L193" s="5"/>
      <c r="M193" s="5"/>
      <c r="N193" s="5"/>
      <c r="O193" s="5"/>
      <c r="P193" s="5"/>
      <c r="Q193" s="23"/>
      <c r="R193" s="24" t="str">
        <f t="shared" si="17"/>
        <v/>
      </c>
      <c r="S193" s="24" t="str">
        <f t="shared" si="18"/>
        <v/>
      </c>
      <c r="T193" t="str">
        <f t="shared" si="15"/>
        <v/>
      </c>
    </row>
    <row r="194" spans="1:20">
      <c r="A194" s="22" t="s">
        <v>288</v>
      </c>
      <c r="B194" s="5"/>
      <c r="C194" s="5"/>
      <c r="D194" s="5"/>
      <c r="E194" s="5"/>
      <c r="F194" s="5"/>
      <c r="G194" s="5"/>
      <c r="H194" s="22" t="str">
        <f t="shared" si="16"/>
        <v/>
      </c>
      <c r="I194" s="5"/>
      <c r="J194" s="33"/>
      <c r="K194" s="24" t="str">
        <f t="shared" si="14"/>
        <v/>
      </c>
      <c r="L194" s="5"/>
      <c r="M194" s="5"/>
      <c r="N194" s="5"/>
      <c r="O194" s="5"/>
      <c r="P194" s="5"/>
      <c r="Q194" s="23"/>
      <c r="R194" s="24" t="str">
        <f t="shared" si="17"/>
        <v/>
      </c>
      <c r="S194" s="24" t="str">
        <f t="shared" si="18"/>
        <v/>
      </c>
      <c r="T194" t="str">
        <f t="shared" si="15"/>
        <v/>
      </c>
    </row>
    <row r="195" spans="1:20">
      <c r="A195" s="22" t="s">
        <v>289</v>
      </c>
      <c r="B195" s="5"/>
      <c r="C195" s="5"/>
      <c r="D195" s="5"/>
      <c r="E195" s="5"/>
      <c r="F195" s="5"/>
      <c r="G195" s="5"/>
      <c r="H195" s="22" t="str">
        <f t="shared" si="16"/>
        <v/>
      </c>
      <c r="I195" s="5"/>
      <c r="J195" s="33"/>
      <c r="K195" s="24" t="str">
        <f t="shared" si="14"/>
        <v/>
      </c>
      <c r="L195" s="5"/>
      <c r="M195" s="5"/>
      <c r="N195" s="5"/>
      <c r="O195" s="5"/>
      <c r="P195" s="5"/>
      <c r="Q195" s="23"/>
      <c r="R195" s="24" t="str">
        <f t="shared" si="17"/>
        <v/>
      </c>
      <c r="S195" s="24" t="str">
        <f t="shared" si="18"/>
        <v/>
      </c>
      <c r="T195" t="str">
        <f t="shared" si="15"/>
        <v/>
      </c>
    </row>
    <row r="196" spans="1:20">
      <c r="A196" s="22" t="s">
        <v>290</v>
      </c>
      <c r="B196" s="5"/>
      <c r="C196" s="5"/>
      <c r="D196" s="5"/>
      <c r="E196" s="5"/>
      <c r="F196" s="5"/>
      <c r="G196" s="5"/>
      <c r="H196" s="22" t="str">
        <f t="shared" si="16"/>
        <v/>
      </c>
      <c r="I196" s="5"/>
      <c r="J196" s="33"/>
      <c r="K196" s="24" t="str">
        <f t="shared" si="14"/>
        <v/>
      </c>
      <c r="L196" s="5"/>
      <c r="M196" s="5"/>
      <c r="N196" s="5"/>
      <c r="O196" s="5"/>
      <c r="P196" s="5"/>
      <c r="Q196" s="23"/>
      <c r="R196" s="24" t="str">
        <f t="shared" si="17"/>
        <v/>
      </c>
      <c r="S196" s="24" t="str">
        <f t="shared" si="18"/>
        <v/>
      </c>
      <c r="T196" t="str">
        <f t="shared" si="15"/>
        <v/>
      </c>
    </row>
    <row r="197" spans="1:20">
      <c r="A197" s="22" t="s">
        <v>291</v>
      </c>
      <c r="B197" s="5"/>
      <c r="C197" s="5"/>
      <c r="D197" s="5"/>
      <c r="E197" s="5"/>
      <c r="F197" s="5"/>
      <c r="G197" s="5"/>
      <c r="H197" s="22" t="str">
        <f t="shared" si="16"/>
        <v/>
      </c>
      <c r="I197" s="5"/>
      <c r="J197" s="33"/>
      <c r="K197" s="24" t="str">
        <f t="shared" si="14"/>
        <v/>
      </c>
      <c r="L197" s="5"/>
      <c r="M197" s="5"/>
      <c r="N197" s="5"/>
      <c r="O197" s="5"/>
      <c r="P197" s="5"/>
      <c r="Q197" s="23"/>
      <c r="R197" s="24" t="str">
        <f t="shared" si="17"/>
        <v/>
      </c>
      <c r="S197" s="24" t="str">
        <f t="shared" si="18"/>
        <v/>
      </c>
      <c r="T197" t="str">
        <f t="shared" si="15"/>
        <v/>
      </c>
    </row>
    <row r="198" spans="1:20">
      <c r="A198" s="22" t="s">
        <v>292</v>
      </c>
      <c r="B198" s="5"/>
      <c r="C198" s="5"/>
      <c r="D198" s="5"/>
      <c r="E198" s="5"/>
      <c r="F198" s="5"/>
      <c r="G198" s="5"/>
      <c r="H198" s="22" t="str">
        <f t="shared" si="16"/>
        <v/>
      </c>
      <c r="I198" s="5"/>
      <c r="J198" s="33"/>
      <c r="K198" s="24" t="str">
        <f t="shared" si="14"/>
        <v/>
      </c>
      <c r="L198" s="5"/>
      <c r="M198" s="5"/>
      <c r="N198" s="5"/>
      <c r="O198" s="5"/>
      <c r="P198" s="5"/>
      <c r="Q198" s="23"/>
      <c r="R198" s="24" t="str">
        <f t="shared" si="17"/>
        <v/>
      </c>
      <c r="S198" s="24" t="str">
        <f t="shared" si="18"/>
        <v/>
      </c>
      <c r="T198" t="str">
        <f t="shared" si="15"/>
        <v/>
      </c>
    </row>
    <row r="199" spans="1:20">
      <c r="A199" s="22" t="s">
        <v>293</v>
      </c>
      <c r="B199" s="5"/>
      <c r="C199" s="5"/>
      <c r="D199" s="5"/>
      <c r="E199" s="5"/>
      <c r="F199" s="5"/>
      <c r="G199" s="5"/>
      <c r="H199" s="22" t="str">
        <f t="shared" si="16"/>
        <v/>
      </c>
      <c r="I199" s="5"/>
      <c r="J199" s="33"/>
      <c r="K199" s="24" t="str">
        <f t="shared" si="14"/>
        <v/>
      </c>
      <c r="L199" s="5"/>
      <c r="M199" s="5"/>
      <c r="N199" s="5"/>
      <c r="O199" s="5"/>
      <c r="P199" s="5"/>
      <c r="Q199" s="23"/>
      <c r="R199" s="24" t="str">
        <f t="shared" si="17"/>
        <v/>
      </c>
      <c r="S199" s="24" t="str">
        <f t="shared" si="18"/>
        <v/>
      </c>
      <c r="T199" t="str">
        <f t="shared" si="15"/>
        <v/>
      </c>
    </row>
    <row r="200" spans="1:20">
      <c r="A200" s="22" t="s">
        <v>294</v>
      </c>
      <c r="B200" s="5"/>
      <c r="C200" s="5"/>
      <c r="D200" s="5"/>
      <c r="E200" s="5"/>
      <c r="F200" s="5"/>
      <c r="G200" s="5"/>
      <c r="H200" s="22" t="str">
        <f t="shared" si="16"/>
        <v/>
      </c>
      <c r="I200" s="5"/>
      <c r="J200" s="33"/>
      <c r="K200" s="24" t="str">
        <f t="shared" si="14"/>
        <v/>
      </c>
      <c r="L200" s="5"/>
      <c r="M200" s="5"/>
      <c r="N200" s="5"/>
      <c r="O200" s="5"/>
      <c r="P200" s="5"/>
      <c r="Q200" s="23"/>
      <c r="R200" s="24" t="str">
        <f t="shared" si="17"/>
        <v/>
      </c>
      <c r="S200" s="24" t="str">
        <f t="shared" si="18"/>
        <v/>
      </c>
      <c r="T200" t="str">
        <f t="shared" si="15"/>
        <v/>
      </c>
    </row>
    <row r="201" spans="1:20">
      <c r="A201" s="22" t="s">
        <v>295</v>
      </c>
      <c r="B201" s="5"/>
      <c r="C201" s="5"/>
      <c r="D201" s="5"/>
      <c r="E201" s="5"/>
      <c r="F201" s="5"/>
      <c r="G201" s="5"/>
      <c r="H201" s="22" t="str">
        <f t="shared" si="16"/>
        <v/>
      </c>
      <c r="I201" s="5"/>
      <c r="J201" s="33"/>
      <c r="K201" s="24" t="str">
        <f t="shared" ref="K201:K264" si="19">IF(I201="","",IF(I201="ENTRADA",ABS(J201),-ABS(J201)))</f>
        <v/>
      </c>
      <c r="L201" s="5"/>
      <c r="M201" s="5"/>
      <c r="N201" s="5"/>
      <c r="O201" s="5"/>
      <c r="P201" s="5"/>
      <c r="Q201" s="23"/>
      <c r="R201" s="24" t="str">
        <f t="shared" si="17"/>
        <v/>
      </c>
      <c r="S201" s="24" t="str">
        <f t="shared" si="18"/>
        <v/>
      </c>
      <c r="T201" t="str">
        <f t="shared" si="15"/>
        <v/>
      </c>
    </row>
    <row r="202" spans="1:20">
      <c r="A202" s="22" t="s">
        <v>296</v>
      </c>
      <c r="B202" s="5"/>
      <c r="C202" s="5"/>
      <c r="D202" s="5"/>
      <c r="E202" s="5"/>
      <c r="F202" s="5"/>
      <c r="G202" s="5"/>
      <c r="H202" s="22" t="str">
        <f t="shared" si="16"/>
        <v/>
      </c>
      <c r="I202" s="5"/>
      <c r="J202" s="33"/>
      <c r="K202" s="24" t="str">
        <f t="shared" si="19"/>
        <v/>
      </c>
      <c r="L202" s="5"/>
      <c r="M202" s="5"/>
      <c r="N202" s="5"/>
      <c r="O202" s="5"/>
      <c r="P202" s="5"/>
      <c r="Q202" s="23"/>
      <c r="R202" s="24" t="str">
        <f t="shared" si="17"/>
        <v/>
      </c>
      <c r="S202" s="24" t="str">
        <f t="shared" si="18"/>
        <v/>
      </c>
      <c r="T202" t="str">
        <f t="shared" si="15"/>
        <v/>
      </c>
    </row>
    <row r="203" spans="1:20">
      <c r="A203" s="22" t="s">
        <v>297</v>
      </c>
      <c r="B203" s="5"/>
      <c r="C203" s="5"/>
      <c r="D203" s="5"/>
      <c r="E203" s="5"/>
      <c r="F203" s="5"/>
      <c r="G203" s="5"/>
      <c r="H203" s="22" t="str">
        <f t="shared" si="16"/>
        <v/>
      </c>
      <c r="I203" s="5"/>
      <c r="J203" s="33"/>
      <c r="K203" s="24" t="str">
        <f t="shared" si="19"/>
        <v/>
      </c>
      <c r="L203" s="5"/>
      <c r="M203" s="5"/>
      <c r="N203" s="5"/>
      <c r="O203" s="5"/>
      <c r="P203" s="5"/>
      <c r="Q203" s="23"/>
      <c r="R203" s="24" t="str">
        <f t="shared" si="17"/>
        <v/>
      </c>
      <c r="S203" s="24" t="str">
        <f t="shared" si="18"/>
        <v/>
      </c>
      <c r="T203" t="str">
        <f t="shared" si="15"/>
        <v/>
      </c>
    </row>
    <row r="204" spans="1:20">
      <c r="A204" s="22" t="s">
        <v>298</v>
      </c>
      <c r="B204" s="5"/>
      <c r="C204" s="5"/>
      <c r="D204" s="5"/>
      <c r="E204" s="5"/>
      <c r="F204" s="5"/>
      <c r="G204" s="5"/>
      <c r="H204" s="22" t="str">
        <f t="shared" si="16"/>
        <v/>
      </c>
      <c r="I204" s="5"/>
      <c r="J204" s="33"/>
      <c r="K204" s="24" t="str">
        <f t="shared" si="19"/>
        <v/>
      </c>
      <c r="L204" s="5"/>
      <c r="M204" s="5"/>
      <c r="N204" s="5"/>
      <c r="O204" s="5"/>
      <c r="P204" s="5"/>
      <c r="Q204" s="23"/>
      <c r="R204" s="24" t="str">
        <f t="shared" si="17"/>
        <v/>
      </c>
      <c r="S204" s="24" t="str">
        <f t="shared" si="18"/>
        <v/>
      </c>
      <c r="T204" t="str">
        <f t="shared" si="15"/>
        <v/>
      </c>
    </row>
    <row r="205" spans="1:20">
      <c r="A205" s="22" t="s">
        <v>299</v>
      </c>
      <c r="H205" s="22" t="str">
        <f t="shared" si="16"/>
        <v/>
      </c>
      <c r="J205" s="32"/>
      <c r="K205" s="24" t="str">
        <f t="shared" si="19"/>
        <v/>
      </c>
      <c r="Q205" s="23"/>
      <c r="R205" s="24" t="str">
        <f t="shared" si="17"/>
        <v/>
      </c>
      <c r="S205" s="24" t="str">
        <f t="shared" si="18"/>
        <v/>
      </c>
      <c r="T205" t="str">
        <f t="shared" si="15"/>
        <v/>
      </c>
    </row>
    <row r="206" spans="1:20">
      <c r="A206" s="22" t="s">
        <v>300</v>
      </c>
      <c r="H206" s="22" t="str">
        <f t="shared" si="16"/>
        <v/>
      </c>
      <c r="J206" s="32"/>
      <c r="K206" s="24" t="str">
        <f t="shared" si="19"/>
        <v/>
      </c>
      <c r="Q206" s="23"/>
      <c r="R206" s="24" t="str">
        <f t="shared" si="17"/>
        <v/>
      </c>
      <c r="S206" s="24" t="str">
        <f t="shared" si="18"/>
        <v/>
      </c>
      <c r="T206" t="str">
        <f t="shared" si="15"/>
        <v/>
      </c>
    </row>
    <row r="207" spans="1:20">
      <c r="A207" s="22" t="s">
        <v>301</v>
      </c>
      <c r="H207" s="22" t="str">
        <f t="shared" si="16"/>
        <v/>
      </c>
      <c r="J207" s="32"/>
      <c r="K207" s="24" t="str">
        <f t="shared" si="19"/>
        <v/>
      </c>
      <c r="Q207" s="23"/>
      <c r="R207" s="24" t="str">
        <f t="shared" si="17"/>
        <v/>
      </c>
      <c r="S207" s="24" t="str">
        <f t="shared" si="18"/>
        <v/>
      </c>
      <c r="T207" t="str">
        <f t="shared" ref="T207:T270" si="20">IF(OR(C207="",I207&lt;&gt;"ENTRADA"),"",TEXT(B207,"AAMMDD")&amp;"-"&amp;TEXT(VALUE(SUBSTITUTE(A207,"MOV-","")),"000"))</f>
        <v/>
      </c>
    </row>
    <row r="208" spans="1:20">
      <c r="A208" s="22" t="s">
        <v>302</v>
      </c>
      <c r="H208" s="22" t="str">
        <f t="shared" ref="H208:H271" si="21">+T208</f>
        <v/>
      </c>
      <c r="J208" s="32"/>
      <c r="K208" s="24" t="str">
        <f t="shared" si="19"/>
        <v/>
      </c>
      <c r="Q208" s="23"/>
      <c r="R208" s="24" t="str">
        <f t="shared" ref="R208:R271" si="22">IF(H208="","",H208&amp;I208)</f>
        <v/>
      </c>
      <c r="S208" s="24" t="str">
        <f t="shared" ref="S208:S271" si="23">IF(C208="","",C208&amp;I208)</f>
        <v/>
      </c>
      <c r="T208" t="str">
        <f t="shared" si="20"/>
        <v/>
      </c>
    </row>
    <row r="209" spans="1:20">
      <c r="A209" s="22" t="s">
        <v>303</v>
      </c>
      <c r="H209" s="22" t="str">
        <f t="shared" si="21"/>
        <v/>
      </c>
      <c r="J209" s="32"/>
      <c r="K209" s="24" t="str">
        <f t="shared" si="19"/>
        <v/>
      </c>
      <c r="Q209" s="23"/>
      <c r="R209" s="24" t="str">
        <f t="shared" si="22"/>
        <v/>
      </c>
      <c r="S209" s="24" t="str">
        <f t="shared" si="23"/>
        <v/>
      </c>
      <c r="T209" t="str">
        <f t="shared" si="20"/>
        <v/>
      </c>
    </row>
    <row r="210" spans="1:20">
      <c r="A210" s="22" t="s">
        <v>304</v>
      </c>
      <c r="H210" s="22" t="str">
        <f t="shared" si="21"/>
        <v/>
      </c>
      <c r="J210" s="32"/>
      <c r="K210" s="24" t="str">
        <f t="shared" si="19"/>
        <v/>
      </c>
      <c r="Q210" s="23"/>
      <c r="R210" s="24" t="str">
        <f t="shared" si="22"/>
        <v/>
      </c>
      <c r="S210" s="24" t="str">
        <f t="shared" si="23"/>
        <v/>
      </c>
      <c r="T210" t="str">
        <f t="shared" si="20"/>
        <v/>
      </c>
    </row>
    <row r="211" spans="1:20">
      <c r="A211" s="22" t="s">
        <v>305</v>
      </c>
      <c r="H211" s="22" t="str">
        <f t="shared" si="21"/>
        <v/>
      </c>
      <c r="J211" s="32"/>
      <c r="K211" s="24" t="str">
        <f t="shared" si="19"/>
        <v/>
      </c>
      <c r="Q211" s="23"/>
      <c r="R211" s="24" t="str">
        <f t="shared" si="22"/>
        <v/>
      </c>
      <c r="S211" s="24" t="str">
        <f t="shared" si="23"/>
        <v/>
      </c>
      <c r="T211" t="str">
        <f t="shared" si="20"/>
        <v/>
      </c>
    </row>
    <row r="212" spans="1:20">
      <c r="A212" s="22" t="s">
        <v>306</v>
      </c>
      <c r="H212" s="22" t="str">
        <f t="shared" si="21"/>
        <v/>
      </c>
      <c r="J212" s="32"/>
      <c r="K212" s="24" t="str">
        <f t="shared" si="19"/>
        <v/>
      </c>
      <c r="Q212" s="23"/>
      <c r="R212" s="24" t="str">
        <f t="shared" si="22"/>
        <v/>
      </c>
      <c r="S212" s="24" t="str">
        <f t="shared" si="23"/>
        <v/>
      </c>
      <c r="T212" t="str">
        <f t="shared" si="20"/>
        <v/>
      </c>
    </row>
    <row r="213" spans="1:20">
      <c r="A213" s="22" t="s">
        <v>307</v>
      </c>
      <c r="H213" s="22" t="str">
        <f t="shared" si="21"/>
        <v/>
      </c>
      <c r="J213" s="32"/>
      <c r="K213" s="24" t="str">
        <f t="shared" si="19"/>
        <v/>
      </c>
      <c r="Q213" s="23"/>
      <c r="R213" s="24" t="str">
        <f t="shared" si="22"/>
        <v/>
      </c>
      <c r="S213" s="24" t="str">
        <f t="shared" si="23"/>
        <v/>
      </c>
      <c r="T213" t="str">
        <f t="shared" si="20"/>
        <v/>
      </c>
    </row>
    <row r="214" spans="1:20">
      <c r="A214" s="22" t="s">
        <v>308</v>
      </c>
      <c r="H214" s="22" t="str">
        <f t="shared" si="21"/>
        <v/>
      </c>
      <c r="J214" s="32"/>
      <c r="K214" s="24" t="str">
        <f t="shared" si="19"/>
        <v/>
      </c>
      <c r="Q214" s="23"/>
      <c r="R214" s="24" t="str">
        <f t="shared" si="22"/>
        <v/>
      </c>
      <c r="S214" s="24" t="str">
        <f t="shared" si="23"/>
        <v/>
      </c>
      <c r="T214" t="str">
        <f t="shared" si="20"/>
        <v/>
      </c>
    </row>
    <row r="215" spans="1:20">
      <c r="A215" s="22" t="s">
        <v>309</v>
      </c>
      <c r="H215" s="22" t="str">
        <f t="shared" si="21"/>
        <v/>
      </c>
      <c r="J215" s="32"/>
      <c r="K215" s="24" t="str">
        <f t="shared" si="19"/>
        <v/>
      </c>
      <c r="Q215" s="23"/>
      <c r="R215" s="24" t="str">
        <f t="shared" si="22"/>
        <v/>
      </c>
      <c r="S215" s="24" t="str">
        <f t="shared" si="23"/>
        <v/>
      </c>
      <c r="T215" t="str">
        <f t="shared" si="20"/>
        <v/>
      </c>
    </row>
    <row r="216" spans="1:20">
      <c r="A216" s="22" t="s">
        <v>310</v>
      </c>
      <c r="H216" s="22" t="str">
        <f t="shared" si="21"/>
        <v/>
      </c>
      <c r="J216" s="32"/>
      <c r="K216" s="24" t="str">
        <f t="shared" si="19"/>
        <v/>
      </c>
      <c r="Q216" s="23"/>
      <c r="R216" s="24" t="str">
        <f t="shared" si="22"/>
        <v/>
      </c>
      <c r="S216" s="24" t="str">
        <f t="shared" si="23"/>
        <v/>
      </c>
      <c r="T216" t="str">
        <f t="shared" si="20"/>
        <v/>
      </c>
    </row>
    <row r="217" spans="1:20">
      <c r="A217" s="22" t="s">
        <v>311</v>
      </c>
      <c r="H217" s="22" t="str">
        <f t="shared" si="21"/>
        <v/>
      </c>
      <c r="J217" s="32"/>
      <c r="K217" s="24" t="str">
        <f t="shared" si="19"/>
        <v/>
      </c>
      <c r="Q217" s="23"/>
      <c r="R217" s="24" t="str">
        <f t="shared" si="22"/>
        <v/>
      </c>
      <c r="S217" s="24" t="str">
        <f t="shared" si="23"/>
        <v/>
      </c>
      <c r="T217" t="str">
        <f t="shared" si="20"/>
        <v/>
      </c>
    </row>
    <row r="218" spans="1:20">
      <c r="A218" s="22" t="s">
        <v>312</v>
      </c>
      <c r="H218" s="22" t="str">
        <f t="shared" si="21"/>
        <v/>
      </c>
      <c r="J218" s="32"/>
      <c r="K218" s="24" t="str">
        <f t="shared" si="19"/>
        <v/>
      </c>
      <c r="Q218" s="23"/>
      <c r="R218" s="24" t="str">
        <f t="shared" si="22"/>
        <v/>
      </c>
      <c r="S218" s="24" t="str">
        <f t="shared" si="23"/>
        <v/>
      </c>
      <c r="T218" t="str">
        <f t="shared" si="20"/>
        <v/>
      </c>
    </row>
    <row r="219" spans="1:20">
      <c r="A219" s="22" t="s">
        <v>313</v>
      </c>
      <c r="H219" s="22" t="str">
        <f t="shared" si="21"/>
        <v/>
      </c>
      <c r="J219" s="32"/>
      <c r="K219" s="24" t="str">
        <f t="shared" si="19"/>
        <v/>
      </c>
      <c r="Q219" s="23"/>
      <c r="R219" s="24" t="str">
        <f t="shared" si="22"/>
        <v/>
      </c>
      <c r="S219" s="24" t="str">
        <f t="shared" si="23"/>
        <v/>
      </c>
      <c r="T219" t="str">
        <f t="shared" si="20"/>
        <v/>
      </c>
    </row>
    <row r="220" spans="1:20">
      <c r="A220" s="22" t="s">
        <v>314</v>
      </c>
      <c r="H220" s="22" t="str">
        <f t="shared" si="21"/>
        <v/>
      </c>
      <c r="J220" s="32"/>
      <c r="K220" s="24" t="str">
        <f t="shared" si="19"/>
        <v/>
      </c>
      <c r="Q220" s="23"/>
      <c r="R220" s="24" t="str">
        <f t="shared" si="22"/>
        <v/>
      </c>
      <c r="S220" s="24" t="str">
        <f t="shared" si="23"/>
        <v/>
      </c>
      <c r="T220" t="str">
        <f t="shared" si="20"/>
        <v/>
      </c>
    </row>
    <row r="221" spans="1:20">
      <c r="A221" s="22" t="s">
        <v>315</v>
      </c>
      <c r="H221" s="22" t="str">
        <f t="shared" si="21"/>
        <v/>
      </c>
      <c r="J221" s="32"/>
      <c r="K221" s="24" t="str">
        <f t="shared" si="19"/>
        <v/>
      </c>
      <c r="Q221" s="23"/>
      <c r="R221" s="24" t="str">
        <f t="shared" si="22"/>
        <v/>
      </c>
      <c r="S221" s="24" t="str">
        <f t="shared" si="23"/>
        <v/>
      </c>
      <c r="T221" t="str">
        <f t="shared" si="20"/>
        <v/>
      </c>
    </row>
    <row r="222" spans="1:20">
      <c r="A222" s="22" t="s">
        <v>316</v>
      </c>
      <c r="H222" s="22" t="str">
        <f t="shared" si="21"/>
        <v/>
      </c>
      <c r="J222" s="32"/>
      <c r="K222" s="24" t="str">
        <f t="shared" si="19"/>
        <v/>
      </c>
      <c r="Q222" s="23"/>
      <c r="R222" s="24" t="str">
        <f t="shared" si="22"/>
        <v/>
      </c>
      <c r="S222" s="24" t="str">
        <f t="shared" si="23"/>
        <v/>
      </c>
      <c r="T222" t="str">
        <f t="shared" si="20"/>
        <v/>
      </c>
    </row>
    <row r="223" spans="1:20">
      <c r="A223" s="22" t="s">
        <v>317</v>
      </c>
      <c r="H223" s="22" t="str">
        <f t="shared" si="21"/>
        <v/>
      </c>
      <c r="J223" s="32"/>
      <c r="K223" s="24" t="str">
        <f t="shared" si="19"/>
        <v/>
      </c>
      <c r="Q223" s="23"/>
      <c r="R223" s="24" t="str">
        <f t="shared" si="22"/>
        <v/>
      </c>
      <c r="S223" s="24" t="str">
        <f t="shared" si="23"/>
        <v/>
      </c>
      <c r="T223" t="str">
        <f t="shared" si="20"/>
        <v/>
      </c>
    </row>
    <row r="224" spans="1:20">
      <c r="A224" s="22" t="s">
        <v>318</v>
      </c>
      <c r="H224" s="22" t="str">
        <f t="shared" si="21"/>
        <v/>
      </c>
      <c r="J224" s="32"/>
      <c r="K224" s="24" t="str">
        <f t="shared" si="19"/>
        <v/>
      </c>
      <c r="Q224" s="23"/>
      <c r="R224" s="24" t="str">
        <f t="shared" si="22"/>
        <v/>
      </c>
      <c r="S224" s="24" t="str">
        <f t="shared" si="23"/>
        <v/>
      </c>
      <c r="T224" t="str">
        <f t="shared" si="20"/>
        <v/>
      </c>
    </row>
    <row r="225" spans="1:20">
      <c r="A225" s="22" t="s">
        <v>319</v>
      </c>
      <c r="H225" s="22" t="str">
        <f t="shared" si="21"/>
        <v/>
      </c>
      <c r="J225" s="32"/>
      <c r="K225" s="24" t="str">
        <f t="shared" si="19"/>
        <v/>
      </c>
      <c r="Q225" s="23"/>
      <c r="R225" s="24" t="str">
        <f t="shared" si="22"/>
        <v/>
      </c>
      <c r="S225" s="24" t="str">
        <f t="shared" si="23"/>
        <v/>
      </c>
      <c r="T225" t="str">
        <f t="shared" si="20"/>
        <v/>
      </c>
    </row>
    <row r="226" spans="1:20">
      <c r="A226" s="22" t="s">
        <v>320</v>
      </c>
      <c r="H226" s="22" t="str">
        <f t="shared" si="21"/>
        <v/>
      </c>
      <c r="J226" s="32"/>
      <c r="K226" s="24" t="str">
        <f t="shared" si="19"/>
        <v/>
      </c>
      <c r="Q226" s="23"/>
      <c r="R226" s="24" t="str">
        <f t="shared" si="22"/>
        <v/>
      </c>
      <c r="S226" s="24" t="str">
        <f t="shared" si="23"/>
        <v/>
      </c>
      <c r="T226" t="str">
        <f t="shared" si="20"/>
        <v/>
      </c>
    </row>
    <row r="227" spans="1:20">
      <c r="A227" s="22" t="s">
        <v>321</v>
      </c>
      <c r="H227" s="22" t="str">
        <f t="shared" si="21"/>
        <v/>
      </c>
      <c r="J227" s="32"/>
      <c r="K227" s="24" t="str">
        <f t="shared" si="19"/>
        <v/>
      </c>
      <c r="Q227" s="23"/>
      <c r="R227" s="24" t="str">
        <f t="shared" si="22"/>
        <v/>
      </c>
      <c r="S227" s="24" t="str">
        <f t="shared" si="23"/>
        <v/>
      </c>
      <c r="T227" t="str">
        <f t="shared" si="20"/>
        <v/>
      </c>
    </row>
    <row r="228" spans="1:20">
      <c r="A228" s="22" t="s">
        <v>322</v>
      </c>
      <c r="H228" s="22" t="str">
        <f t="shared" si="21"/>
        <v/>
      </c>
      <c r="J228" s="32"/>
      <c r="K228" s="24" t="str">
        <f t="shared" si="19"/>
        <v/>
      </c>
      <c r="Q228" s="23"/>
      <c r="R228" s="24" t="str">
        <f t="shared" si="22"/>
        <v/>
      </c>
      <c r="S228" s="24" t="str">
        <f t="shared" si="23"/>
        <v/>
      </c>
      <c r="T228" t="str">
        <f t="shared" si="20"/>
        <v/>
      </c>
    </row>
    <row r="229" spans="1:20">
      <c r="A229" s="22" t="s">
        <v>323</v>
      </c>
      <c r="H229" s="22" t="str">
        <f t="shared" si="21"/>
        <v/>
      </c>
      <c r="J229" s="32"/>
      <c r="K229" s="24" t="str">
        <f t="shared" si="19"/>
        <v/>
      </c>
      <c r="Q229" s="23"/>
      <c r="R229" s="24" t="str">
        <f t="shared" si="22"/>
        <v/>
      </c>
      <c r="S229" s="24" t="str">
        <f t="shared" si="23"/>
        <v/>
      </c>
      <c r="T229" t="str">
        <f t="shared" si="20"/>
        <v/>
      </c>
    </row>
    <row r="230" spans="1:20">
      <c r="A230" s="22" t="s">
        <v>324</v>
      </c>
      <c r="H230" s="22" t="str">
        <f t="shared" si="21"/>
        <v/>
      </c>
      <c r="J230" s="32"/>
      <c r="K230" s="24" t="str">
        <f t="shared" si="19"/>
        <v/>
      </c>
      <c r="Q230" s="23"/>
      <c r="R230" s="24" t="str">
        <f t="shared" si="22"/>
        <v/>
      </c>
      <c r="S230" s="24" t="str">
        <f t="shared" si="23"/>
        <v/>
      </c>
      <c r="T230" t="str">
        <f t="shared" si="20"/>
        <v/>
      </c>
    </row>
    <row r="231" spans="1:20">
      <c r="A231" s="22" t="s">
        <v>325</v>
      </c>
      <c r="H231" s="22" t="str">
        <f t="shared" si="21"/>
        <v/>
      </c>
      <c r="J231" s="32"/>
      <c r="K231" s="24" t="str">
        <f t="shared" si="19"/>
        <v/>
      </c>
      <c r="Q231" s="23"/>
      <c r="R231" s="24" t="str">
        <f t="shared" si="22"/>
        <v/>
      </c>
      <c r="S231" s="24" t="str">
        <f t="shared" si="23"/>
        <v/>
      </c>
      <c r="T231" t="str">
        <f t="shared" si="20"/>
        <v/>
      </c>
    </row>
    <row r="232" spans="1:20">
      <c r="A232" s="22" t="s">
        <v>326</v>
      </c>
      <c r="H232" s="22" t="str">
        <f t="shared" si="21"/>
        <v/>
      </c>
      <c r="J232" s="32"/>
      <c r="K232" s="24" t="str">
        <f t="shared" si="19"/>
        <v/>
      </c>
      <c r="Q232" s="23"/>
      <c r="R232" s="24" t="str">
        <f t="shared" si="22"/>
        <v/>
      </c>
      <c r="S232" s="24" t="str">
        <f t="shared" si="23"/>
        <v/>
      </c>
      <c r="T232" t="str">
        <f t="shared" si="20"/>
        <v/>
      </c>
    </row>
    <row r="233" spans="1:20">
      <c r="A233" s="22" t="s">
        <v>327</v>
      </c>
      <c r="H233" s="22" t="str">
        <f t="shared" si="21"/>
        <v/>
      </c>
      <c r="J233" s="32"/>
      <c r="K233" s="24" t="str">
        <f t="shared" si="19"/>
        <v/>
      </c>
      <c r="Q233" s="23"/>
      <c r="R233" s="24" t="str">
        <f t="shared" si="22"/>
        <v/>
      </c>
      <c r="S233" s="24" t="str">
        <f t="shared" si="23"/>
        <v/>
      </c>
      <c r="T233" t="str">
        <f t="shared" si="20"/>
        <v/>
      </c>
    </row>
    <row r="234" spans="1:20">
      <c r="A234" s="22" t="s">
        <v>328</v>
      </c>
      <c r="H234" s="22" t="str">
        <f t="shared" si="21"/>
        <v/>
      </c>
      <c r="J234" s="32"/>
      <c r="K234" s="24" t="str">
        <f t="shared" si="19"/>
        <v/>
      </c>
      <c r="Q234" s="23"/>
      <c r="R234" s="24" t="str">
        <f t="shared" si="22"/>
        <v/>
      </c>
      <c r="S234" s="24" t="str">
        <f t="shared" si="23"/>
        <v/>
      </c>
      <c r="T234" t="str">
        <f t="shared" si="20"/>
        <v/>
      </c>
    </row>
    <row r="235" spans="1:20">
      <c r="A235" s="22" t="s">
        <v>329</v>
      </c>
      <c r="H235" s="22" t="str">
        <f t="shared" si="21"/>
        <v/>
      </c>
      <c r="J235" s="32"/>
      <c r="K235" s="24" t="str">
        <f t="shared" si="19"/>
        <v/>
      </c>
      <c r="Q235" s="23"/>
      <c r="R235" s="24" t="str">
        <f t="shared" si="22"/>
        <v/>
      </c>
      <c r="S235" s="24" t="str">
        <f t="shared" si="23"/>
        <v/>
      </c>
      <c r="T235" t="str">
        <f t="shared" si="20"/>
        <v/>
      </c>
    </row>
    <row r="236" spans="1:20">
      <c r="A236" s="22" t="s">
        <v>330</v>
      </c>
      <c r="H236" s="22" t="str">
        <f t="shared" si="21"/>
        <v/>
      </c>
      <c r="J236" s="32"/>
      <c r="K236" s="24" t="str">
        <f t="shared" si="19"/>
        <v/>
      </c>
      <c r="Q236" s="23"/>
      <c r="R236" s="24" t="str">
        <f t="shared" si="22"/>
        <v/>
      </c>
      <c r="S236" s="24" t="str">
        <f t="shared" si="23"/>
        <v/>
      </c>
      <c r="T236" t="str">
        <f t="shared" si="20"/>
        <v/>
      </c>
    </row>
    <row r="237" spans="1:20">
      <c r="A237" s="22" t="s">
        <v>331</v>
      </c>
      <c r="H237" s="22" t="str">
        <f t="shared" si="21"/>
        <v/>
      </c>
      <c r="J237" s="32"/>
      <c r="K237" s="24" t="str">
        <f t="shared" si="19"/>
        <v/>
      </c>
      <c r="Q237" s="23"/>
      <c r="R237" s="24" t="str">
        <f t="shared" si="22"/>
        <v/>
      </c>
      <c r="S237" s="24" t="str">
        <f t="shared" si="23"/>
        <v/>
      </c>
      <c r="T237" t="str">
        <f t="shared" si="20"/>
        <v/>
      </c>
    </row>
    <row r="238" spans="1:20">
      <c r="A238" s="22" t="s">
        <v>332</v>
      </c>
      <c r="H238" s="22" t="str">
        <f t="shared" si="21"/>
        <v/>
      </c>
      <c r="J238" s="32"/>
      <c r="K238" s="24" t="str">
        <f t="shared" si="19"/>
        <v/>
      </c>
      <c r="Q238" s="23"/>
      <c r="R238" s="24" t="str">
        <f t="shared" si="22"/>
        <v/>
      </c>
      <c r="S238" s="24" t="str">
        <f t="shared" si="23"/>
        <v/>
      </c>
      <c r="T238" t="str">
        <f t="shared" si="20"/>
        <v/>
      </c>
    </row>
    <row r="239" spans="1:20">
      <c r="A239" s="22" t="s">
        <v>333</v>
      </c>
      <c r="H239" s="22" t="str">
        <f t="shared" si="21"/>
        <v/>
      </c>
      <c r="J239" s="32"/>
      <c r="K239" s="24" t="str">
        <f t="shared" si="19"/>
        <v/>
      </c>
      <c r="Q239" s="23"/>
      <c r="R239" s="24" t="str">
        <f t="shared" si="22"/>
        <v/>
      </c>
      <c r="S239" s="24" t="str">
        <f t="shared" si="23"/>
        <v/>
      </c>
      <c r="T239" t="str">
        <f t="shared" si="20"/>
        <v/>
      </c>
    </row>
    <row r="240" spans="1:20">
      <c r="A240" s="22" t="s">
        <v>334</v>
      </c>
      <c r="H240" s="22" t="str">
        <f t="shared" si="21"/>
        <v/>
      </c>
      <c r="J240" s="32"/>
      <c r="K240" s="24" t="str">
        <f t="shared" si="19"/>
        <v/>
      </c>
      <c r="Q240" s="23"/>
      <c r="R240" s="24" t="str">
        <f t="shared" si="22"/>
        <v/>
      </c>
      <c r="S240" s="24" t="str">
        <f t="shared" si="23"/>
        <v/>
      </c>
      <c r="T240" t="str">
        <f t="shared" si="20"/>
        <v/>
      </c>
    </row>
    <row r="241" spans="1:20">
      <c r="A241" s="22" t="s">
        <v>335</v>
      </c>
      <c r="H241" s="22" t="str">
        <f t="shared" si="21"/>
        <v/>
      </c>
      <c r="J241" s="32"/>
      <c r="K241" s="24" t="str">
        <f t="shared" si="19"/>
        <v/>
      </c>
      <c r="Q241" s="23"/>
      <c r="R241" s="24" t="str">
        <f t="shared" si="22"/>
        <v/>
      </c>
      <c r="S241" s="24" t="str">
        <f t="shared" si="23"/>
        <v/>
      </c>
      <c r="T241" t="str">
        <f t="shared" si="20"/>
        <v/>
      </c>
    </row>
    <row r="242" spans="1:20">
      <c r="A242" s="22" t="s">
        <v>336</v>
      </c>
      <c r="H242" s="22" t="str">
        <f t="shared" si="21"/>
        <v/>
      </c>
      <c r="J242" s="32"/>
      <c r="K242" s="24" t="str">
        <f t="shared" si="19"/>
        <v/>
      </c>
      <c r="Q242" s="23"/>
      <c r="R242" s="24" t="str">
        <f t="shared" si="22"/>
        <v/>
      </c>
      <c r="S242" s="24" t="str">
        <f t="shared" si="23"/>
        <v/>
      </c>
      <c r="T242" t="str">
        <f t="shared" si="20"/>
        <v/>
      </c>
    </row>
    <row r="243" spans="1:20">
      <c r="A243" s="22" t="s">
        <v>337</v>
      </c>
      <c r="H243" s="22" t="str">
        <f t="shared" si="21"/>
        <v/>
      </c>
      <c r="J243" s="32"/>
      <c r="K243" s="24" t="str">
        <f t="shared" si="19"/>
        <v/>
      </c>
      <c r="Q243" s="23"/>
      <c r="R243" s="24" t="str">
        <f t="shared" si="22"/>
        <v/>
      </c>
      <c r="S243" s="24" t="str">
        <f t="shared" si="23"/>
        <v/>
      </c>
      <c r="T243" t="str">
        <f t="shared" si="20"/>
        <v/>
      </c>
    </row>
    <row r="244" spans="1:20">
      <c r="A244" s="22" t="s">
        <v>338</v>
      </c>
      <c r="H244" s="22" t="str">
        <f t="shared" si="21"/>
        <v/>
      </c>
      <c r="J244" s="32"/>
      <c r="K244" s="24" t="str">
        <f t="shared" si="19"/>
        <v/>
      </c>
      <c r="Q244" s="23"/>
      <c r="R244" s="24" t="str">
        <f t="shared" si="22"/>
        <v/>
      </c>
      <c r="S244" s="24" t="str">
        <f t="shared" si="23"/>
        <v/>
      </c>
      <c r="T244" t="str">
        <f t="shared" si="20"/>
        <v/>
      </c>
    </row>
    <row r="245" spans="1:20">
      <c r="A245" s="22" t="s">
        <v>339</v>
      </c>
      <c r="H245" s="22" t="str">
        <f t="shared" si="21"/>
        <v/>
      </c>
      <c r="J245" s="32"/>
      <c r="K245" s="24" t="str">
        <f t="shared" si="19"/>
        <v/>
      </c>
      <c r="Q245" s="23"/>
      <c r="R245" s="24" t="str">
        <f t="shared" si="22"/>
        <v/>
      </c>
      <c r="S245" s="24" t="str">
        <f t="shared" si="23"/>
        <v/>
      </c>
      <c r="T245" t="str">
        <f t="shared" si="20"/>
        <v/>
      </c>
    </row>
    <row r="246" spans="1:20">
      <c r="A246" s="22" t="s">
        <v>340</v>
      </c>
      <c r="H246" s="22" t="str">
        <f t="shared" si="21"/>
        <v/>
      </c>
      <c r="J246" s="32"/>
      <c r="K246" s="24" t="str">
        <f t="shared" si="19"/>
        <v/>
      </c>
      <c r="Q246" s="23"/>
      <c r="R246" s="24" t="str">
        <f t="shared" si="22"/>
        <v/>
      </c>
      <c r="S246" s="24" t="str">
        <f t="shared" si="23"/>
        <v/>
      </c>
      <c r="T246" t="str">
        <f t="shared" si="20"/>
        <v/>
      </c>
    </row>
    <row r="247" spans="1:20">
      <c r="A247" s="22" t="s">
        <v>341</v>
      </c>
      <c r="H247" s="22" t="str">
        <f t="shared" si="21"/>
        <v/>
      </c>
      <c r="J247" s="32"/>
      <c r="K247" s="24" t="str">
        <f t="shared" si="19"/>
        <v/>
      </c>
      <c r="Q247" s="23"/>
      <c r="R247" s="24" t="str">
        <f t="shared" si="22"/>
        <v/>
      </c>
      <c r="S247" s="24" t="str">
        <f t="shared" si="23"/>
        <v/>
      </c>
      <c r="T247" t="str">
        <f t="shared" si="20"/>
        <v/>
      </c>
    </row>
    <row r="248" spans="1:20">
      <c r="A248" s="22" t="s">
        <v>342</v>
      </c>
      <c r="H248" s="22" t="str">
        <f t="shared" si="21"/>
        <v/>
      </c>
      <c r="J248" s="32"/>
      <c r="K248" s="24" t="str">
        <f t="shared" si="19"/>
        <v/>
      </c>
      <c r="Q248" s="23"/>
      <c r="R248" s="24" t="str">
        <f t="shared" si="22"/>
        <v/>
      </c>
      <c r="S248" s="24" t="str">
        <f t="shared" si="23"/>
        <v/>
      </c>
      <c r="T248" t="str">
        <f t="shared" si="20"/>
        <v/>
      </c>
    </row>
    <row r="249" spans="1:20">
      <c r="A249" s="22" t="s">
        <v>343</v>
      </c>
      <c r="H249" s="22" t="str">
        <f t="shared" si="21"/>
        <v/>
      </c>
      <c r="J249" s="32"/>
      <c r="K249" s="24" t="str">
        <f t="shared" si="19"/>
        <v/>
      </c>
      <c r="Q249" s="23"/>
      <c r="R249" s="24" t="str">
        <f t="shared" si="22"/>
        <v/>
      </c>
      <c r="S249" s="24" t="str">
        <f t="shared" si="23"/>
        <v/>
      </c>
      <c r="T249" t="str">
        <f t="shared" si="20"/>
        <v/>
      </c>
    </row>
    <row r="250" spans="1:20">
      <c r="A250" s="22" t="s">
        <v>344</v>
      </c>
      <c r="H250" s="22" t="str">
        <f t="shared" si="21"/>
        <v/>
      </c>
      <c r="J250" s="32"/>
      <c r="K250" s="24" t="str">
        <f t="shared" si="19"/>
        <v/>
      </c>
      <c r="Q250" s="23"/>
      <c r="R250" s="24" t="str">
        <f t="shared" si="22"/>
        <v/>
      </c>
      <c r="S250" s="24" t="str">
        <f t="shared" si="23"/>
        <v/>
      </c>
      <c r="T250" t="str">
        <f t="shared" si="20"/>
        <v/>
      </c>
    </row>
    <row r="251" spans="1:20">
      <c r="A251" s="22" t="s">
        <v>345</v>
      </c>
      <c r="H251" s="22" t="str">
        <f t="shared" si="21"/>
        <v/>
      </c>
      <c r="J251" s="32"/>
      <c r="K251" s="24" t="str">
        <f t="shared" si="19"/>
        <v/>
      </c>
      <c r="Q251" s="23"/>
      <c r="R251" s="24" t="str">
        <f t="shared" si="22"/>
        <v/>
      </c>
      <c r="S251" s="24" t="str">
        <f t="shared" si="23"/>
        <v/>
      </c>
      <c r="T251" t="str">
        <f t="shared" si="20"/>
        <v/>
      </c>
    </row>
    <row r="252" spans="1:20">
      <c r="A252" s="22" t="s">
        <v>346</v>
      </c>
      <c r="H252" s="22" t="str">
        <f t="shared" si="21"/>
        <v/>
      </c>
      <c r="J252" s="32"/>
      <c r="K252" s="24" t="str">
        <f t="shared" si="19"/>
        <v/>
      </c>
      <c r="Q252" s="23"/>
      <c r="R252" s="24" t="str">
        <f t="shared" si="22"/>
        <v/>
      </c>
      <c r="S252" s="24" t="str">
        <f t="shared" si="23"/>
        <v/>
      </c>
      <c r="T252" t="str">
        <f t="shared" si="20"/>
        <v/>
      </c>
    </row>
    <row r="253" spans="1:20">
      <c r="A253" s="22" t="s">
        <v>347</v>
      </c>
      <c r="H253" s="22" t="str">
        <f t="shared" si="21"/>
        <v/>
      </c>
      <c r="J253" s="32"/>
      <c r="K253" s="24" t="str">
        <f t="shared" si="19"/>
        <v/>
      </c>
      <c r="Q253" s="23"/>
      <c r="R253" s="24" t="str">
        <f t="shared" si="22"/>
        <v/>
      </c>
      <c r="S253" s="24" t="str">
        <f t="shared" si="23"/>
        <v/>
      </c>
      <c r="T253" t="str">
        <f t="shared" si="20"/>
        <v/>
      </c>
    </row>
    <row r="254" spans="1:20">
      <c r="A254" s="22" t="s">
        <v>348</v>
      </c>
      <c r="H254" s="22" t="str">
        <f t="shared" si="21"/>
        <v/>
      </c>
      <c r="J254" s="32"/>
      <c r="K254" s="24" t="str">
        <f t="shared" si="19"/>
        <v/>
      </c>
      <c r="Q254" s="23"/>
      <c r="R254" s="24" t="str">
        <f t="shared" si="22"/>
        <v/>
      </c>
      <c r="S254" s="24" t="str">
        <f t="shared" si="23"/>
        <v/>
      </c>
      <c r="T254" t="str">
        <f t="shared" si="20"/>
        <v/>
      </c>
    </row>
    <row r="255" spans="1:20">
      <c r="A255" s="22" t="s">
        <v>349</v>
      </c>
      <c r="H255" s="22" t="str">
        <f t="shared" si="21"/>
        <v/>
      </c>
      <c r="J255" s="32"/>
      <c r="K255" s="24" t="str">
        <f t="shared" si="19"/>
        <v/>
      </c>
      <c r="Q255" s="23"/>
      <c r="R255" s="24" t="str">
        <f t="shared" si="22"/>
        <v/>
      </c>
      <c r="S255" s="24" t="str">
        <f t="shared" si="23"/>
        <v/>
      </c>
      <c r="T255" t="str">
        <f t="shared" si="20"/>
        <v/>
      </c>
    </row>
    <row r="256" spans="1:20">
      <c r="A256" s="22" t="s">
        <v>350</v>
      </c>
      <c r="H256" s="22" t="str">
        <f t="shared" si="21"/>
        <v/>
      </c>
      <c r="J256" s="32"/>
      <c r="K256" s="24" t="str">
        <f t="shared" si="19"/>
        <v/>
      </c>
      <c r="Q256" s="23"/>
      <c r="R256" s="24" t="str">
        <f t="shared" si="22"/>
        <v/>
      </c>
      <c r="S256" s="24" t="str">
        <f t="shared" si="23"/>
        <v/>
      </c>
      <c r="T256" t="str">
        <f t="shared" si="20"/>
        <v/>
      </c>
    </row>
    <row r="257" spans="1:20">
      <c r="A257" s="22" t="s">
        <v>351</v>
      </c>
      <c r="H257" s="22" t="str">
        <f t="shared" si="21"/>
        <v/>
      </c>
      <c r="J257" s="32"/>
      <c r="K257" s="24" t="str">
        <f t="shared" si="19"/>
        <v/>
      </c>
      <c r="Q257" s="23"/>
      <c r="R257" s="24" t="str">
        <f t="shared" si="22"/>
        <v/>
      </c>
      <c r="S257" s="24" t="str">
        <f t="shared" si="23"/>
        <v/>
      </c>
      <c r="T257" t="str">
        <f t="shared" si="20"/>
        <v/>
      </c>
    </row>
    <row r="258" spans="1:20">
      <c r="A258" s="22" t="s">
        <v>352</v>
      </c>
      <c r="H258" s="22" t="str">
        <f t="shared" si="21"/>
        <v/>
      </c>
      <c r="J258" s="32"/>
      <c r="K258" s="24" t="str">
        <f t="shared" si="19"/>
        <v/>
      </c>
      <c r="Q258" s="23"/>
      <c r="R258" s="24" t="str">
        <f t="shared" si="22"/>
        <v/>
      </c>
      <c r="S258" s="24" t="str">
        <f t="shared" si="23"/>
        <v/>
      </c>
      <c r="T258" t="str">
        <f t="shared" si="20"/>
        <v/>
      </c>
    </row>
    <row r="259" spans="1:20">
      <c r="A259" s="22" t="s">
        <v>353</v>
      </c>
      <c r="H259" s="22" t="str">
        <f t="shared" si="21"/>
        <v/>
      </c>
      <c r="J259" s="32"/>
      <c r="K259" s="24" t="str">
        <f t="shared" si="19"/>
        <v/>
      </c>
      <c r="Q259" s="23"/>
      <c r="R259" s="24" t="str">
        <f t="shared" si="22"/>
        <v/>
      </c>
      <c r="S259" s="24" t="str">
        <f t="shared" si="23"/>
        <v/>
      </c>
      <c r="T259" t="str">
        <f t="shared" si="20"/>
        <v/>
      </c>
    </row>
    <row r="260" spans="1:20">
      <c r="A260" s="22" t="s">
        <v>354</v>
      </c>
      <c r="H260" s="22" t="str">
        <f t="shared" si="21"/>
        <v/>
      </c>
      <c r="J260" s="32"/>
      <c r="K260" s="24" t="str">
        <f t="shared" si="19"/>
        <v/>
      </c>
      <c r="Q260" s="23"/>
      <c r="R260" s="24" t="str">
        <f t="shared" si="22"/>
        <v/>
      </c>
      <c r="S260" s="24" t="str">
        <f t="shared" si="23"/>
        <v/>
      </c>
      <c r="T260" t="str">
        <f t="shared" si="20"/>
        <v/>
      </c>
    </row>
    <row r="261" spans="1:20">
      <c r="A261" s="22" t="s">
        <v>355</v>
      </c>
      <c r="H261" s="22" t="str">
        <f t="shared" si="21"/>
        <v/>
      </c>
      <c r="J261" s="32"/>
      <c r="K261" s="24" t="str">
        <f t="shared" si="19"/>
        <v/>
      </c>
      <c r="Q261" s="23"/>
      <c r="R261" s="24" t="str">
        <f t="shared" si="22"/>
        <v/>
      </c>
      <c r="S261" s="24" t="str">
        <f t="shared" si="23"/>
        <v/>
      </c>
      <c r="T261" t="str">
        <f t="shared" si="20"/>
        <v/>
      </c>
    </row>
    <row r="262" spans="1:20">
      <c r="A262" s="22" t="s">
        <v>356</v>
      </c>
      <c r="H262" s="22" t="str">
        <f t="shared" si="21"/>
        <v/>
      </c>
      <c r="J262" s="32"/>
      <c r="K262" s="24" t="str">
        <f t="shared" si="19"/>
        <v/>
      </c>
      <c r="Q262" s="23"/>
      <c r="R262" s="24" t="str">
        <f t="shared" si="22"/>
        <v/>
      </c>
      <c r="S262" s="24" t="str">
        <f t="shared" si="23"/>
        <v/>
      </c>
      <c r="T262" t="str">
        <f t="shared" si="20"/>
        <v/>
      </c>
    </row>
    <row r="263" spans="1:20">
      <c r="A263" s="22" t="s">
        <v>357</v>
      </c>
      <c r="H263" s="22" t="str">
        <f t="shared" si="21"/>
        <v/>
      </c>
      <c r="J263" s="32"/>
      <c r="K263" s="24" t="str">
        <f t="shared" si="19"/>
        <v/>
      </c>
      <c r="Q263" s="23"/>
      <c r="R263" s="24" t="str">
        <f t="shared" si="22"/>
        <v/>
      </c>
      <c r="S263" s="24" t="str">
        <f t="shared" si="23"/>
        <v/>
      </c>
      <c r="T263" t="str">
        <f t="shared" si="20"/>
        <v/>
      </c>
    </row>
    <row r="264" spans="1:20">
      <c r="A264" s="22" t="s">
        <v>358</v>
      </c>
      <c r="H264" s="22" t="str">
        <f t="shared" si="21"/>
        <v/>
      </c>
      <c r="J264" s="32"/>
      <c r="K264" s="24" t="str">
        <f t="shared" si="19"/>
        <v/>
      </c>
      <c r="Q264" s="23"/>
      <c r="R264" s="24" t="str">
        <f t="shared" si="22"/>
        <v/>
      </c>
      <c r="S264" s="24" t="str">
        <f t="shared" si="23"/>
        <v/>
      </c>
      <c r="T264" t="str">
        <f t="shared" si="20"/>
        <v/>
      </c>
    </row>
    <row r="265" spans="1:20">
      <c r="A265" s="22" t="s">
        <v>359</v>
      </c>
      <c r="H265" s="22" t="str">
        <f t="shared" si="21"/>
        <v/>
      </c>
      <c r="J265" s="32"/>
      <c r="K265" s="24" t="str">
        <f t="shared" ref="K265:K328" si="24">IF(I265="","",IF(I265="ENTRADA",ABS(J265),-ABS(J265)))</f>
        <v/>
      </c>
      <c r="Q265" s="23"/>
      <c r="R265" s="24" t="str">
        <f t="shared" si="22"/>
        <v/>
      </c>
      <c r="S265" s="24" t="str">
        <f t="shared" si="23"/>
        <v/>
      </c>
      <c r="T265" t="str">
        <f t="shared" si="20"/>
        <v/>
      </c>
    </row>
    <row r="266" spans="1:20">
      <c r="A266" s="22" t="s">
        <v>360</v>
      </c>
      <c r="H266" s="22" t="str">
        <f t="shared" si="21"/>
        <v/>
      </c>
      <c r="J266" s="32"/>
      <c r="K266" s="24" t="str">
        <f t="shared" si="24"/>
        <v/>
      </c>
      <c r="Q266" s="23"/>
      <c r="R266" s="24" t="str">
        <f t="shared" si="22"/>
        <v/>
      </c>
      <c r="S266" s="24" t="str">
        <f t="shared" si="23"/>
        <v/>
      </c>
      <c r="T266" t="str">
        <f t="shared" si="20"/>
        <v/>
      </c>
    </row>
    <row r="267" spans="1:20">
      <c r="A267" s="22" t="s">
        <v>361</v>
      </c>
      <c r="H267" s="22" t="str">
        <f t="shared" si="21"/>
        <v/>
      </c>
      <c r="J267" s="32"/>
      <c r="K267" s="24" t="str">
        <f t="shared" si="24"/>
        <v/>
      </c>
      <c r="Q267" s="23"/>
      <c r="R267" s="24" t="str">
        <f t="shared" si="22"/>
        <v/>
      </c>
      <c r="S267" s="24" t="str">
        <f t="shared" si="23"/>
        <v/>
      </c>
      <c r="T267" t="str">
        <f t="shared" si="20"/>
        <v/>
      </c>
    </row>
    <row r="268" spans="1:20">
      <c r="A268" s="22" t="s">
        <v>362</v>
      </c>
      <c r="H268" s="22" t="str">
        <f t="shared" si="21"/>
        <v/>
      </c>
      <c r="J268" s="32"/>
      <c r="K268" s="24" t="str">
        <f t="shared" si="24"/>
        <v/>
      </c>
      <c r="Q268" s="23"/>
      <c r="R268" s="24" t="str">
        <f t="shared" si="22"/>
        <v/>
      </c>
      <c r="S268" s="24" t="str">
        <f t="shared" si="23"/>
        <v/>
      </c>
      <c r="T268" t="str">
        <f t="shared" si="20"/>
        <v/>
      </c>
    </row>
    <row r="269" spans="1:20">
      <c r="A269" s="22" t="s">
        <v>363</v>
      </c>
      <c r="H269" s="22" t="str">
        <f t="shared" si="21"/>
        <v/>
      </c>
      <c r="J269" s="32"/>
      <c r="K269" s="24" t="str">
        <f t="shared" si="24"/>
        <v/>
      </c>
      <c r="Q269" s="23"/>
      <c r="R269" s="24" t="str">
        <f t="shared" si="22"/>
        <v/>
      </c>
      <c r="S269" s="24" t="str">
        <f t="shared" si="23"/>
        <v/>
      </c>
      <c r="T269" t="str">
        <f t="shared" si="20"/>
        <v/>
      </c>
    </row>
    <row r="270" spans="1:20">
      <c r="A270" s="22" t="s">
        <v>364</v>
      </c>
      <c r="H270" s="22" t="str">
        <f t="shared" si="21"/>
        <v/>
      </c>
      <c r="J270" s="32"/>
      <c r="K270" s="24" t="str">
        <f t="shared" si="24"/>
        <v/>
      </c>
      <c r="Q270" s="23"/>
      <c r="R270" s="24" t="str">
        <f t="shared" si="22"/>
        <v/>
      </c>
      <c r="S270" s="24" t="str">
        <f t="shared" si="23"/>
        <v/>
      </c>
      <c r="T270" t="str">
        <f t="shared" si="20"/>
        <v/>
      </c>
    </row>
    <row r="271" spans="1:20">
      <c r="A271" s="22" t="s">
        <v>365</v>
      </c>
      <c r="H271" s="22" t="str">
        <f t="shared" si="21"/>
        <v/>
      </c>
      <c r="J271" s="32"/>
      <c r="K271" s="24" t="str">
        <f t="shared" si="24"/>
        <v/>
      </c>
      <c r="Q271" s="23"/>
      <c r="R271" s="24" t="str">
        <f t="shared" si="22"/>
        <v/>
      </c>
      <c r="S271" s="24" t="str">
        <f t="shared" si="23"/>
        <v/>
      </c>
      <c r="T271" t="str">
        <f t="shared" ref="T271:T334" si="25">IF(OR(C271="",I271&lt;&gt;"ENTRADA"),"",TEXT(B271,"AAMMDD")&amp;"-"&amp;TEXT(VALUE(SUBSTITUTE(A271,"MOV-","")),"000"))</f>
        <v/>
      </c>
    </row>
    <row r="272" spans="1:20">
      <c r="A272" s="22" t="s">
        <v>366</v>
      </c>
      <c r="H272" s="22" t="str">
        <f t="shared" ref="H272:H335" si="26">+T272</f>
        <v/>
      </c>
      <c r="J272" s="32"/>
      <c r="K272" s="24" t="str">
        <f t="shared" si="24"/>
        <v/>
      </c>
      <c r="Q272" s="23"/>
      <c r="R272" s="24" t="str">
        <f t="shared" ref="R272:R335" si="27">IF(H272="","",H272&amp;I272)</f>
        <v/>
      </c>
      <c r="S272" s="24" t="str">
        <f t="shared" ref="S272:S335" si="28">IF(C272="","",C272&amp;I272)</f>
        <v/>
      </c>
      <c r="T272" t="str">
        <f t="shared" si="25"/>
        <v/>
      </c>
    </row>
    <row r="273" spans="1:20">
      <c r="A273" s="22" t="s">
        <v>367</v>
      </c>
      <c r="H273" s="22" t="str">
        <f t="shared" si="26"/>
        <v/>
      </c>
      <c r="J273" s="32"/>
      <c r="K273" s="24" t="str">
        <f t="shared" si="24"/>
        <v/>
      </c>
      <c r="Q273" s="23"/>
      <c r="R273" s="24" t="str">
        <f t="shared" si="27"/>
        <v/>
      </c>
      <c r="S273" s="24" t="str">
        <f t="shared" si="28"/>
        <v/>
      </c>
      <c r="T273" t="str">
        <f t="shared" si="25"/>
        <v/>
      </c>
    </row>
    <row r="274" spans="1:20">
      <c r="A274" s="22" t="s">
        <v>368</v>
      </c>
      <c r="H274" s="22" t="str">
        <f t="shared" si="26"/>
        <v/>
      </c>
      <c r="J274" s="32"/>
      <c r="K274" s="24" t="str">
        <f t="shared" si="24"/>
        <v/>
      </c>
      <c r="Q274" s="23"/>
      <c r="R274" s="24" t="str">
        <f t="shared" si="27"/>
        <v/>
      </c>
      <c r="S274" s="24" t="str">
        <f t="shared" si="28"/>
        <v/>
      </c>
      <c r="T274" t="str">
        <f t="shared" si="25"/>
        <v/>
      </c>
    </row>
    <row r="275" spans="1:20">
      <c r="A275" s="22" t="s">
        <v>369</v>
      </c>
      <c r="H275" s="22" t="str">
        <f t="shared" si="26"/>
        <v/>
      </c>
      <c r="J275" s="32"/>
      <c r="K275" s="24" t="str">
        <f t="shared" si="24"/>
        <v/>
      </c>
      <c r="Q275" s="23"/>
      <c r="R275" s="24" t="str">
        <f t="shared" si="27"/>
        <v/>
      </c>
      <c r="S275" s="24" t="str">
        <f t="shared" si="28"/>
        <v/>
      </c>
      <c r="T275" t="str">
        <f t="shared" si="25"/>
        <v/>
      </c>
    </row>
    <row r="276" spans="1:20">
      <c r="A276" s="22" t="s">
        <v>370</v>
      </c>
      <c r="H276" s="22" t="str">
        <f t="shared" si="26"/>
        <v/>
      </c>
      <c r="J276" s="32"/>
      <c r="K276" s="24" t="str">
        <f t="shared" si="24"/>
        <v/>
      </c>
      <c r="Q276" s="23"/>
      <c r="R276" s="24" t="str">
        <f t="shared" si="27"/>
        <v/>
      </c>
      <c r="S276" s="24" t="str">
        <f t="shared" si="28"/>
        <v/>
      </c>
      <c r="T276" t="str">
        <f t="shared" si="25"/>
        <v/>
      </c>
    </row>
    <row r="277" spans="1:20">
      <c r="A277" s="22" t="s">
        <v>371</v>
      </c>
      <c r="H277" s="22" t="str">
        <f t="shared" si="26"/>
        <v/>
      </c>
      <c r="J277" s="32"/>
      <c r="K277" s="24" t="str">
        <f t="shared" si="24"/>
        <v/>
      </c>
      <c r="Q277" s="23"/>
      <c r="R277" s="24" t="str">
        <f t="shared" si="27"/>
        <v/>
      </c>
      <c r="S277" s="24" t="str">
        <f t="shared" si="28"/>
        <v/>
      </c>
      <c r="T277" t="str">
        <f t="shared" si="25"/>
        <v/>
      </c>
    </row>
    <row r="278" spans="1:20">
      <c r="A278" s="22" t="s">
        <v>372</v>
      </c>
      <c r="H278" s="22" t="str">
        <f t="shared" si="26"/>
        <v/>
      </c>
      <c r="J278" s="32"/>
      <c r="K278" s="24" t="str">
        <f t="shared" si="24"/>
        <v/>
      </c>
      <c r="Q278" s="23"/>
      <c r="R278" s="24" t="str">
        <f t="shared" si="27"/>
        <v/>
      </c>
      <c r="S278" s="24" t="str">
        <f t="shared" si="28"/>
        <v/>
      </c>
      <c r="T278" t="str">
        <f t="shared" si="25"/>
        <v/>
      </c>
    </row>
    <row r="279" spans="1:20">
      <c r="A279" s="22" t="s">
        <v>373</v>
      </c>
      <c r="H279" s="22" t="str">
        <f t="shared" si="26"/>
        <v/>
      </c>
      <c r="J279" s="32"/>
      <c r="K279" s="24" t="str">
        <f t="shared" si="24"/>
        <v/>
      </c>
      <c r="Q279" s="23"/>
      <c r="R279" s="24" t="str">
        <f t="shared" si="27"/>
        <v/>
      </c>
      <c r="S279" s="24" t="str">
        <f t="shared" si="28"/>
        <v/>
      </c>
      <c r="T279" t="str">
        <f t="shared" si="25"/>
        <v/>
      </c>
    </row>
    <row r="280" spans="1:20">
      <c r="A280" s="22" t="s">
        <v>374</v>
      </c>
      <c r="H280" s="22" t="str">
        <f t="shared" si="26"/>
        <v/>
      </c>
      <c r="J280" s="32"/>
      <c r="K280" s="24" t="str">
        <f t="shared" si="24"/>
        <v/>
      </c>
      <c r="Q280" s="23"/>
      <c r="R280" s="24" t="str">
        <f t="shared" si="27"/>
        <v/>
      </c>
      <c r="S280" s="24" t="str">
        <f t="shared" si="28"/>
        <v/>
      </c>
      <c r="T280" t="str">
        <f t="shared" si="25"/>
        <v/>
      </c>
    </row>
    <row r="281" spans="1:20">
      <c r="A281" s="22" t="s">
        <v>375</v>
      </c>
      <c r="H281" s="22" t="str">
        <f t="shared" si="26"/>
        <v/>
      </c>
      <c r="J281" s="32"/>
      <c r="K281" s="24" t="str">
        <f t="shared" si="24"/>
        <v/>
      </c>
      <c r="Q281" s="23"/>
      <c r="R281" s="24" t="str">
        <f t="shared" si="27"/>
        <v/>
      </c>
      <c r="S281" s="24" t="str">
        <f t="shared" si="28"/>
        <v/>
      </c>
      <c r="T281" t="str">
        <f t="shared" si="25"/>
        <v/>
      </c>
    </row>
    <row r="282" spans="1:20">
      <c r="A282" s="22" t="s">
        <v>376</v>
      </c>
      <c r="H282" s="22" t="str">
        <f t="shared" si="26"/>
        <v/>
      </c>
      <c r="J282" s="32"/>
      <c r="K282" s="24" t="str">
        <f t="shared" si="24"/>
        <v/>
      </c>
      <c r="Q282" s="23"/>
      <c r="R282" s="24" t="str">
        <f t="shared" si="27"/>
        <v/>
      </c>
      <c r="S282" s="24" t="str">
        <f t="shared" si="28"/>
        <v/>
      </c>
      <c r="T282" t="str">
        <f t="shared" si="25"/>
        <v/>
      </c>
    </row>
    <row r="283" spans="1:20">
      <c r="A283" s="22" t="s">
        <v>377</v>
      </c>
      <c r="H283" s="22" t="str">
        <f t="shared" si="26"/>
        <v/>
      </c>
      <c r="J283" s="32"/>
      <c r="K283" s="24" t="str">
        <f t="shared" si="24"/>
        <v/>
      </c>
      <c r="Q283" s="23"/>
      <c r="R283" s="24" t="str">
        <f t="shared" si="27"/>
        <v/>
      </c>
      <c r="S283" s="24" t="str">
        <f t="shared" si="28"/>
        <v/>
      </c>
      <c r="T283" t="str">
        <f t="shared" si="25"/>
        <v/>
      </c>
    </row>
    <row r="284" spans="1:20">
      <c r="A284" s="22" t="s">
        <v>378</v>
      </c>
      <c r="H284" s="22" t="str">
        <f t="shared" si="26"/>
        <v/>
      </c>
      <c r="J284" s="32"/>
      <c r="K284" s="24" t="str">
        <f t="shared" si="24"/>
        <v/>
      </c>
      <c r="Q284" s="23"/>
      <c r="R284" s="24" t="str">
        <f t="shared" si="27"/>
        <v/>
      </c>
      <c r="S284" s="24" t="str">
        <f t="shared" si="28"/>
        <v/>
      </c>
      <c r="T284" t="str">
        <f t="shared" si="25"/>
        <v/>
      </c>
    </row>
    <row r="285" spans="1:20">
      <c r="A285" s="22" t="s">
        <v>379</v>
      </c>
      <c r="H285" s="22" t="str">
        <f t="shared" si="26"/>
        <v/>
      </c>
      <c r="J285" s="32"/>
      <c r="K285" s="24" t="str">
        <f t="shared" si="24"/>
        <v/>
      </c>
      <c r="Q285" s="23"/>
      <c r="R285" s="24" t="str">
        <f t="shared" si="27"/>
        <v/>
      </c>
      <c r="S285" s="24" t="str">
        <f t="shared" si="28"/>
        <v/>
      </c>
      <c r="T285" t="str">
        <f t="shared" si="25"/>
        <v/>
      </c>
    </row>
    <row r="286" spans="1:20">
      <c r="A286" s="22" t="s">
        <v>380</v>
      </c>
      <c r="H286" s="22" t="str">
        <f t="shared" si="26"/>
        <v/>
      </c>
      <c r="J286" s="32"/>
      <c r="K286" s="24" t="str">
        <f t="shared" si="24"/>
        <v/>
      </c>
      <c r="Q286" s="23"/>
      <c r="R286" s="24" t="str">
        <f t="shared" si="27"/>
        <v/>
      </c>
      <c r="S286" s="24" t="str">
        <f t="shared" si="28"/>
        <v/>
      </c>
      <c r="T286" t="str">
        <f t="shared" si="25"/>
        <v/>
      </c>
    </row>
    <row r="287" spans="1:20">
      <c r="A287" s="22" t="s">
        <v>381</v>
      </c>
      <c r="H287" s="22" t="str">
        <f t="shared" si="26"/>
        <v/>
      </c>
      <c r="J287" s="32"/>
      <c r="K287" s="24" t="str">
        <f t="shared" si="24"/>
        <v/>
      </c>
      <c r="Q287" s="23"/>
      <c r="R287" s="24" t="str">
        <f t="shared" si="27"/>
        <v/>
      </c>
      <c r="S287" s="24" t="str">
        <f t="shared" si="28"/>
        <v/>
      </c>
      <c r="T287" t="str">
        <f t="shared" si="25"/>
        <v/>
      </c>
    </row>
    <row r="288" spans="1:20">
      <c r="A288" s="22" t="s">
        <v>382</v>
      </c>
      <c r="H288" s="22" t="str">
        <f t="shared" si="26"/>
        <v/>
      </c>
      <c r="J288" s="32"/>
      <c r="K288" s="24" t="str">
        <f t="shared" si="24"/>
        <v/>
      </c>
      <c r="Q288" s="23"/>
      <c r="R288" s="24" t="str">
        <f t="shared" si="27"/>
        <v/>
      </c>
      <c r="S288" s="24" t="str">
        <f t="shared" si="28"/>
        <v/>
      </c>
      <c r="T288" t="str">
        <f t="shared" si="25"/>
        <v/>
      </c>
    </row>
    <row r="289" spans="1:20">
      <c r="A289" s="22" t="s">
        <v>383</v>
      </c>
      <c r="H289" s="22" t="str">
        <f t="shared" si="26"/>
        <v/>
      </c>
      <c r="J289" s="32"/>
      <c r="K289" s="24" t="str">
        <f t="shared" si="24"/>
        <v/>
      </c>
      <c r="Q289" s="23"/>
      <c r="R289" s="24" t="str">
        <f t="shared" si="27"/>
        <v/>
      </c>
      <c r="S289" s="24" t="str">
        <f t="shared" si="28"/>
        <v/>
      </c>
      <c r="T289" t="str">
        <f t="shared" si="25"/>
        <v/>
      </c>
    </row>
    <row r="290" spans="1:20">
      <c r="A290" s="22" t="s">
        <v>384</v>
      </c>
      <c r="H290" s="22" t="str">
        <f t="shared" si="26"/>
        <v/>
      </c>
      <c r="J290" s="32"/>
      <c r="K290" s="24" t="str">
        <f t="shared" si="24"/>
        <v/>
      </c>
      <c r="Q290" s="23"/>
      <c r="R290" s="24" t="str">
        <f t="shared" si="27"/>
        <v/>
      </c>
      <c r="S290" s="24" t="str">
        <f t="shared" si="28"/>
        <v/>
      </c>
      <c r="T290" t="str">
        <f t="shared" si="25"/>
        <v/>
      </c>
    </row>
    <row r="291" spans="1:20">
      <c r="A291" s="22" t="s">
        <v>385</v>
      </c>
      <c r="H291" s="22" t="str">
        <f t="shared" si="26"/>
        <v/>
      </c>
      <c r="J291" s="32"/>
      <c r="K291" s="24" t="str">
        <f t="shared" si="24"/>
        <v/>
      </c>
      <c r="Q291" s="23"/>
      <c r="R291" s="24" t="str">
        <f t="shared" si="27"/>
        <v/>
      </c>
      <c r="S291" s="24" t="str">
        <f t="shared" si="28"/>
        <v/>
      </c>
      <c r="T291" t="str">
        <f t="shared" si="25"/>
        <v/>
      </c>
    </row>
    <row r="292" spans="1:20">
      <c r="A292" s="22" t="s">
        <v>386</v>
      </c>
      <c r="H292" s="22" t="str">
        <f t="shared" si="26"/>
        <v/>
      </c>
      <c r="J292" s="32"/>
      <c r="K292" s="24" t="str">
        <f t="shared" si="24"/>
        <v/>
      </c>
      <c r="Q292" s="23"/>
      <c r="R292" s="24" t="str">
        <f t="shared" si="27"/>
        <v/>
      </c>
      <c r="S292" s="24" t="str">
        <f t="shared" si="28"/>
        <v/>
      </c>
      <c r="T292" t="str">
        <f t="shared" si="25"/>
        <v/>
      </c>
    </row>
    <row r="293" spans="1:20">
      <c r="A293" s="22" t="s">
        <v>387</v>
      </c>
      <c r="H293" s="22" t="str">
        <f t="shared" si="26"/>
        <v/>
      </c>
      <c r="J293" s="32"/>
      <c r="K293" s="24" t="str">
        <f t="shared" si="24"/>
        <v/>
      </c>
      <c r="Q293" s="23"/>
      <c r="R293" s="24" t="str">
        <f t="shared" si="27"/>
        <v/>
      </c>
      <c r="S293" s="24" t="str">
        <f t="shared" si="28"/>
        <v/>
      </c>
      <c r="T293" t="str">
        <f t="shared" si="25"/>
        <v/>
      </c>
    </row>
    <row r="294" spans="1:20">
      <c r="A294" s="22" t="s">
        <v>388</v>
      </c>
      <c r="H294" s="22" t="str">
        <f t="shared" si="26"/>
        <v/>
      </c>
      <c r="J294" s="32"/>
      <c r="K294" s="24" t="str">
        <f t="shared" si="24"/>
        <v/>
      </c>
      <c r="Q294" s="23"/>
      <c r="R294" s="24" t="str">
        <f t="shared" si="27"/>
        <v/>
      </c>
      <c r="S294" s="24" t="str">
        <f t="shared" si="28"/>
        <v/>
      </c>
      <c r="T294" t="str">
        <f t="shared" si="25"/>
        <v/>
      </c>
    </row>
    <row r="295" spans="1:20">
      <c r="A295" s="22" t="s">
        <v>389</v>
      </c>
      <c r="H295" s="22" t="str">
        <f t="shared" si="26"/>
        <v/>
      </c>
      <c r="J295" s="32"/>
      <c r="K295" s="24" t="str">
        <f t="shared" si="24"/>
        <v/>
      </c>
      <c r="Q295" s="23"/>
      <c r="R295" s="24" t="str">
        <f t="shared" si="27"/>
        <v/>
      </c>
      <c r="S295" s="24" t="str">
        <f t="shared" si="28"/>
        <v/>
      </c>
      <c r="T295" t="str">
        <f t="shared" si="25"/>
        <v/>
      </c>
    </row>
    <row r="296" spans="1:20">
      <c r="A296" s="22" t="s">
        <v>390</v>
      </c>
      <c r="H296" s="22" t="str">
        <f t="shared" si="26"/>
        <v/>
      </c>
      <c r="J296" s="32"/>
      <c r="K296" s="24" t="str">
        <f t="shared" si="24"/>
        <v/>
      </c>
      <c r="Q296" s="23"/>
      <c r="R296" s="24" t="str">
        <f t="shared" si="27"/>
        <v/>
      </c>
      <c r="S296" s="24" t="str">
        <f t="shared" si="28"/>
        <v/>
      </c>
      <c r="T296" t="str">
        <f t="shared" si="25"/>
        <v/>
      </c>
    </row>
    <row r="297" spans="1:20">
      <c r="A297" s="22" t="s">
        <v>391</v>
      </c>
      <c r="H297" s="22" t="str">
        <f t="shared" si="26"/>
        <v/>
      </c>
      <c r="J297" s="32"/>
      <c r="K297" s="24" t="str">
        <f t="shared" si="24"/>
        <v/>
      </c>
      <c r="Q297" s="23"/>
      <c r="R297" s="24" t="str">
        <f t="shared" si="27"/>
        <v/>
      </c>
      <c r="S297" s="24" t="str">
        <f t="shared" si="28"/>
        <v/>
      </c>
      <c r="T297" t="str">
        <f t="shared" si="25"/>
        <v/>
      </c>
    </row>
    <row r="298" spans="1:20">
      <c r="A298" s="22" t="s">
        <v>392</v>
      </c>
      <c r="H298" s="22" t="str">
        <f t="shared" si="26"/>
        <v/>
      </c>
      <c r="J298" s="32"/>
      <c r="K298" s="24" t="str">
        <f t="shared" si="24"/>
        <v/>
      </c>
      <c r="Q298" s="23"/>
      <c r="R298" s="24" t="str">
        <f t="shared" si="27"/>
        <v/>
      </c>
      <c r="S298" s="24" t="str">
        <f t="shared" si="28"/>
        <v/>
      </c>
      <c r="T298" t="str">
        <f t="shared" si="25"/>
        <v/>
      </c>
    </row>
    <row r="299" spans="1:20">
      <c r="A299" s="22" t="s">
        <v>393</v>
      </c>
      <c r="H299" s="22" t="str">
        <f t="shared" si="26"/>
        <v/>
      </c>
      <c r="J299" s="32"/>
      <c r="K299" s="24" t="str">
        <f t="shared" si="24"/>
        <v/>
      </c>
      <c r="Q299" s="23"/>
      <c r="R299" s="24" t="str">
        <f t="shared" si="27"/>
        <v/>
      </c>
      <c r="S299" s="24" t="str">
        <f t="shared" si="28"/>
        <v/>
      </c>
      <c r="T299" t="str">
        <f t="shared" si="25"/>
        <v/>
      </c>
    </row>
    <row r="300" spans="1:20">
      <c r="A300" s="22" t="s">
        <v>394</v>
      </c>
      <c r="H300" s="22" t="str">
        <f t="shared" si="26"/>
        <v/>
      </c>
      <c r="J300" s="32"/>
      <c r="K300" s="24" t="str">
        <f t="shared" si="24"/>
        <v/>
      </c>
      <c r="Q300" s="23"/>
      <c r="R300" s="24" t="str">
        <f t="shared" si="27"/>
        <v/>
      </c>
      <c r="S300" s="24" t="str">
        <f t="shared" si="28"/>
        <v/>
      </c>
      <c r="T300" t="str">
        <f t="shared" si="25"/>
        <v/>
      </c>
    </row>
    <row r="301" spans="1:20">
      <c r="A301" s="22" t="s">
        <v>395</v>
      </c>
      <c r="H301" s="22" t="str">
        <f t="shared" si="26"/>
        <v/>
      </c>
      <c r="J301" s="32"/>
      <c r="K301" s="24" t="str">
        <f t="shared" si="24"/>
        <v/>
      </c>
      <c r="Q301" s="23"/>
      <c r="R301" s="24" t="str">
        <f t="shared" si="27"/>
        <v/>
      </c>
      <c r="S301" s="24" t="str">
        <f t="shared" si="28"/>
        <v/>
      </c>
      <c r="T301" t="str">
        <f t="shared" si="25"/>
        <v/>
      </c>
    </row>
    <row r="302" spans="1:20">
      <c r="A302" s="22" t="s">
        <v>396</v>
      </c>
      <c r="H302" s="22" t="str">
        <f t="shared" si="26"/>
        <v/>
      </c>
      <c r="J302" s="32"/>
      <c r="K302" s="24" t="str">
        <f t="shared" si="24"/>
        <v/>
      </c>
      <c r="Q302" s="23"/>
      <c r="R302" s="24" t="str">
        <f t="shared" si="27"/>
        <v/>
      </c>
      <c r="S302" s="24" t="str">
        <f t="shared" si="28"/>
        <v/>
      </c>
      <c r="T302" t="str">
        <f t="shared" si="25"/>
        <v/>
      </c>
    </row>
    <row r="303" spans="1:20">
      <c r="A303" s="22" t="s">
        <v>397</v>
      </c>
      <c r="H303" s="22" t="str">
        <f t="shared" si="26"/>
        <v/>
      </c>
      <c r="J303" s="32"/>
      <c r="K303" s="24" t="str">
        <f t="shared" si="24"/>
        <v/>
      </c>
      <c r="Q303" s="23"/>
      <c r="R303" s="24" t="str">
        <f t="shared" si="27"/>
        <v/>
      </c>
      <c r="S303" s="24" t="str">
        <f t="shared" si="28"/>
        <v/>
      </c>
      <c r="T303" t="str">
        <f t="shared" si="25"/>
        <v/>
      </c>
    </row>
    <row r="304" spans="1:20">
      <c r="A304" s="22" t="s">
        <v>398</v>
      </c>
      <c r="H304" s="22" t="str">
        <f t="shared" si="26"/>
        <v/>
      </c>
      <c r="J304" s="32"/>
      <c r="K304" s="24" t="str">
        <f t="shared" si="24"/>
        <v/>
      </c>
      <c r="Q304" s="23"/>
      <c r="R304" s="24" t="str">
        <f t="shared" si="27"/>
        <v/>
      </c>
      <c r="S304" s="24" t="str">
        <f t="shared" si="28"/>
        <v/>
      </c>
      <c r="T304" t="str">
        <f t="shared" si="25"/>
        <v/>
      </c>
    </row>
    <row r="305" spans="1:20">
      <c r="A305" s="22" t="s">
        <v>399</v>
      </c>
      <c r="H305" s="22" t="str">
        <f t="shared" si="26"/>
        <v/>
      </c>
      <c r="J305" s="32"/>
      <c r="K305" s="24" t="str">
        <f t="shared" si="24"/>
        <v/>
      </c>
      <c r="Q305" s="23"/>
      <c r="R305" s="24" t="str">
        <f t="shared" si="27"/>
        <v/>
      </c>
      <c r="S305" s="24" t="str">
        <f t="shared" si="28"/>
        <v/>
      </c>
      <c r="T305" t="str">
        <f t="shared" si="25"/>
        <v/>
      </c>
    </row>
    <row r="306" spans="1:20">
      <c r="A306" s="22" t="s">
        <v>400</v>
      </c>
      <c r="H306" s="22" t="str">
        <f t="shared" si="26"/>
        <v/>
      </c>
      <c r="J306" s="32"/>
      <c r="K306" s="24" t="str">
        <f t="shared" si="24"/>
        <v/>
      </c>
      <c r="Q306" s="23"/>
      <c r="R306" s="24" t="str">
        <f t="shared" si="27"/>
        <v/>
      </c>
      <c r="S306" s="24" t="str">
        <f t="shared" si="28"/>
        <v/>
      </c>
      <c r="T306" t="str">
        <f t="shared" si="25"/>
        <v/>
      </c>
    </row>
    <row r="307" spans="1:20">
      <c r="A307" s="22" t="s">
        <v>401</v>
      </c>
      <c r="H307" s="22" t="str">
        <f t="shared" si="26"/>
        <v/>
      </c>
      <c r="J307" s="32"/>
      <c r="K307" s="24" t="str">
        <f t="shared" si="24"/>
        <v/>
      </c>
      <c r="Q307" s="23"/>
      <c r="R307" s="24" t="str">
        <f t="shared" si="27"/>
        <v/>
      </c>
      <c r="S307" s="24" t="str">
        <f t="shared" si="28"/>
        <v/>
      </c>
      <c r="T307" t="str">
        <f t="shared" si="25"/>
        <v/>
      </c>
    </row>
    <row r="308" spans="1:20">
      <c r="A308" s="22" t="s">
        <v>402</v>
      </c>
      <c r="H308" s="22" t="str">
        <f t="shared" si="26"/>
        <v/>
      </c>
      <c r="J308" s="32"/>
      <c r="K308" s="24" t="str">
        <f t="shared" si="24"/>
        <v/>
      </c>
      <c r="Q308" s="23"/>
      <c r="R308" s="24" t="str">
        <f t="shared" si="27"/>
        <v/>
      </c>
      <c r="S308" s="24" t="str">
        <f t="shared" si="28"/>
        <v/>
      </c>
      <c r="T308" t="str">
        <f t="shared" si="25"/>
        <v/>
      </c>
    </row>
    <row r="309" spans="1:20">
      <c r="A309" s="22" t="s">
        <v>403</v>
      </c>
      <c r="H309" s="22" t="str">
        <f t="shared" si="26"/>
        <v/>
      </c>
      <c r="J309" s="32"/>
      <c r="K309" s="24" t="str">
        <f t="shared" si="24"/>
        <v/>
      </c>
      <c r="Q309" s="23"/>
      <c r="R309" s="24" t="str">
        <f t="shared" si="27"/>
        <v/>
      </c>
      <c r="S309" s="24" t="str">
        <f t="shared" si="28"/>
        <v/>
      </c>
      <c r="T309" t="str">
        <f t="shared" si="25"/>
        <v/>
      </c>
    </row>
    <row r="310" spans="1:20">
      <c r="A310" s="22" t="s">
        <v>404</v>
      </c>
      <c r="H310" s="22" t="str">
        <f t="shared" si="26"/>
        <v/>
      </c>
      <c r="J310" s="32"/>
      <c r="K310" s="24" t="str">
        <f t="shared" si="24"/>
        <v/>
      </c>
      <c r="Q310" s="23"/>
      <c r="R310" s="24" t="str">
        <f t="shared" si="27"/>
        <v/>
      </c>
      <c r="S310" s="24" t="str">
        <f t="shared" si="28"/>
        <v/>
      </c>
      <c r="T310" t="str">
        <f t="shared" si="25"/>
        <v/>
      </c>
    </row>
    <row r="311" spans="1:20">
      <c r="A311" s="22" t="s">
        <v>405</v>
      </c>
      <c r="H311" s="22" t="str">
        <f t="shared" si="26"/>
        <v/>
      </c>
      <c r="J311" s="32"/>
      <c r="K311" s="24" t="str">
        <f t="shared" si="24"/>
        <v/>
      </c>
      <c r="Q311" s="23"/>
      <c r="R311" s="24" t="str">
        <f t="shared" si="27"/>
        <v/>
      </c>
      <c r="S311" s="24" t="str">
        <f t="shared" si="28"/>
        <v/>
      </c>
      <c r="T311" t="str">
        <f t="shared" si="25"/>
        <v/>
      </c>
    </row>
    <row r="312" spans="1:20">
      <c r="A312" s="22" t="s">
        <v>406</v>
      </c>
      <c r="H312" s="22" t="str">
        <f t="shared" si="26"/>
        <v/>
      </c>
      <c r="J312" s="32"/>
      <c r="K312" s="24" t="str">
        <f t="shared" si="24"/>
        <v/>
      </c>
      <c r="Q312" s="23"/>
      <c r="R312" s="24" t="str">
        <f t="shared" si="27"/>
        <v/>
      </c>
      <c r="S312" s="24" t="str">
        <f t="shared" si="28"/>
        <v/>
      </c>
      <c r="T312" t="str">
        <f t="shared" si="25"/>
        <v/>
      </c>
    </row>
    <row r="313" spans="1:20">
      <c r="A313" s="22" t="s">
        <v>407</v>
      </c>
      <c r="H313" s="22" t="str">
        <f t="shared" si="26"/>
        <v/>
      </c>
      <c r="J313" s="32"/>
      <c r="K313" s="24" t="str">
        <f t="shared" si="24"/>
        <v/>
      </c>
      <c r="Q313" s="23"/>
      <c r="R313" s="24" t="str">
        <f t="shared" si="27"/>
        <v/>
      </c>
      <c r="S313" s="24" t="str">
        <f t="shared" si="28"/>
        <v/>
      </c>
      <c r="T313" t="str">
        <f t="shared" si="25"/>
        <v/>
      </c>
    </row>
    <row r="314" spans="1:20">
      <c r="A314" s="22" t="s">
        <v>408</v>
      </c>
      <c r="H314" s="22" t="str">
        <f t="shared" si="26"/>
        <v/>
      </c>
      <c r="J314" s="32"/>
      <c r="K314" s="24" t="str">
        <f t="shared" si="24"/>
        <v/>
      </c>
      <c r="Q314" s="23"/>
      <c r="R314" s="24" t="str">
        <f t="shared" si="27"/>
        <v/>
      </c>
      <c r="S314" s="24" t="str">
        <f t="shared" si="28"/>
        <v/>
      </c>
      <c r="T314" t="str">
        <f t="shared" si="25"/>
        <v/>
      </c>
    </row>
    <row r="315" spans="1:20">
      <c r="A315" s="22" t="s">
        <v>409</v>
      </c>
      <c r="H315" s="22" t="str">
        <f t="shared" si="26"/>
        <v/>
      </c>
      <c r="J315" s="32"/>
      <c r="K315" s="24" t="str">
        <f t="shared" si="24"/>
        <v/>
      </c>
      <c r="Q315" s="23"/>
      <c r="R315" s="24" t="str">
        <f t="shared" si="27"/>
        <v/>
      </c>
      <c r="S315" s="24" t="str">
        <f t="shared" si="28"/>
        <v/>
      </c>
      <c r="T315" t="str">
        <f t="shared" si="25"/>
        <v/>
      </c>
    </row>
    <row r="316" spans="1:20">
      <c r="A316" s="22" t="s">
        <v>410</v>
      </c>
      <c r="H316" s="22" t="str">
        <f t="shared" si="26"/>
        <v/>
      </c>
      <c r="J316" s="32"/>
      <c r="K316" s="24" t="str">
        <f t="shared" si="24"/>
        <v/>
      </c>
      <c r="Q316" s="23"/>
      <c r="R316" s="24" t="str">
        <f t="shared" si="27"/>
        <v/>
      </c>
      <c r="S316" s="24" t="str">
        <f t="shared" si="28"/>
        <v/>
      </c>
      <c r="T316" t="str">
        <f t="shared" si="25"/>
        <v/>
      </c>
    </row>
    <row r="317" spans="1:20">
      <c r="A317" s="22" t="s">
        <v>411</v>
      </c>
      <c r="H317" s="22" t="str">
        <f t="shared" si="26"/>
        <v/>
      </c>
      <c r="J317" s="32"/>
      <c r="K317" s="24" t="str">
        <f t="shared" si="24"/>
        <v/>
      </c>
      <c r="Q317" s="23"/>
      <c r="R317" s="24" t="str">
        <f t="shared" si="27"/>
        <v/>
      </c>
      <c r="S317" s="24" t="str">
        <f t="shared" si="28"/>
        <v/>
      </c>
      <c r="T317" t="str">
        <f t="shared" si="25"/>
        <v/>
      </c>
    </row>
    <row r="318" spans="1:20">
      <c r="A318" s="22" t="s">
        <v>412</v>
      </c>
      <c r="H318" s="22" t="str">
        <f t="shared" si="26"/>
        <v/>
      </c>
      <c r="J318" s="32"/>
      <c r="K318" s="24" t="str">
        <f t="shared" si="24"/>
        <v/>
      </c>
      <c r="Q318" s="23"/>
      <c r="R318" s="24" t="str">
        <f t="shared" si="27"/>
        <v/>
      </c>
      <c r="S318" s="24" t="str">
        <f t="shared" si="28"/>
        <v/>
      </c>
      <c r="T318" t="str">
        <f t="shared" si="25"/>
        <v/>
      </c>
    </row>
    <row r="319" spans="1:20">
      <c r="A319" s="22" t="s">
        <v>413</v>
      </c>
      <c r="H319" s="22" t="str">
        <f t="shared" si="26"/>
        <v/>
      </c>
      <c r="J319" s="32"/>
      <c r="K319" s="24" t="str">
        <f t="shared" si="24"/>
        <v/>
      </c>
      <c r="Q319" s="23"/>
      <c r="R319" s="24" t="str">
        <f t="shared" si="27"/>
        <v/>
      </c>
      <c r="S319" s="24" t="str">
        <f t="shared" si="28"/>
        <v/>
      </c>
      <c r="T319" t="str">
        <f t="shared" si="25"/>
        <v/>
      </c>
    </row>
    <row r="320" spans="1:20">
      <c r="A320" s="22" t="s">
        <v>414</v>
      </c>
      <c r="H320" s="22" t="str">
        <f t="shared" si="26"/>
        <v/>
      </c>
      <c r="J320" s="32"/>
      <c r="K320" s="24" t="str">
        <f t="shared" si="24"/>
        <v/>
      </c>
      <c r="Q320" s="23"/>
      <c r="R320" s="24" t="str">
        <f t="shared" si="27"/>
        <v/>
      </c>
      <c r="S320" s="24" t="str">
        <f t="shared" si="28"/>
        <v/>
      </c>
      <c r="T320" t="str">
        <f t="shared" si="25"/>
        <v/>
      </c>
    </row>
    <row r="321" spans="1:20">
      <c r="A321" s="22" t="s">
        <v>415</v>
      </c>
      <c r="H321" s="22" t="str">
        <f t="shared" si="26"/>
        <v/>
      </c>
      <c r="J321" s="32"/>
      <c r="K321" s="24" t="str">
        <f t="shared" si="24"/>
        <v/>
      </c>
      <c r="Q321" s="23"/>
      <c r="R321" s="24" t="str">
        <f t="shared" si="27"/>
        <v/>
      </c>
      <c r="S321" s="24" t="str">
        <f t="shared" si="28"/>
        <v/>
      </c>
      <c r="T321" t="str">
        <f t="shared" si="25"/>
        <v/>
      </c>
    </row>
    <row r="322" spans="1:20">
      <c r="A322" s="22" t="s">
        <v>416</v>
      </c>
      <c r="H322" s="22" t="str">
        <f t="shared" si="26"/>
        <v/>
      </c>
      <c r="J322" s="32"/>
      <c r="K322" s="24" t="str">
        <f t="shared" si="24"/>
        <v/>
      </c>
      <c r="Q322" s="23"/>
      <c r="R322" s="24" t="str">
        <f t="shared" si="27"/>
        <v/>
      </c>
      <c r="S322" s="24" t="str">
        <f t="shared" si="28"/>
        <v/>
      </c>
      <c r="T322" t="str">
        <f t="shared" si="25"/>
        <v/>
      </c>
    </row>
    <row r="323" spans="1:20">
      <c r="A323" s="22" t="s">
        <v>417</v>
      </c>
      <c r="H323" s="22" t="str">
        <f t="shared" si="26"/>
        <v/>
      </c>
      <c r="J323" s="32"/>
      <c r="K323" s="24" t="str">
        <f t="shared" si="24"/>
        <v/>
      </c>
      <c r="Q323" s="23"/>
      <c r="R323" s="24" t="str">
        <f t="shared" si="27"/>
        <v/>
      </c>
      <c r="S323" s="24" t="str">
        <f t="shared" si="28"/>
        <v/>
      </c>
      <c r="T323" t="str">
        <f t="shared" si="25"/>
        <v/>
      </c>
    </row>
    <row r="324" spans="1:20">
      <c r="A324" s="22" t="s">
        <v>418</v>
      </c>
      <c r="H324" s="22" t="str">
        <f t="shared" si="26"/>
        <v/>
      </c>
      <c r="J324" s="32"/>
      <c r="K324" s="24" t="str">
        <f t="shared" si="24"/>
        <v/>
      </c>
      <c r="Q324" s="23"/>
      <c r="R324" s="24" t="str">
        <f t="shared" si="27"/>
        <v/>
      </c>
      <c r="S324" s="24" t="str">
        <f t="shared" si="28"/>
        <v/>
      </c>
      <c r="T324" t="str">
        <f t="shared" si="25"/>
        <v/>
      </c>
    </row>
    <row r="325" spans="1:20">
      <c r="A325" s="22" t="s">
        <v>419</v>
      </c>
      <c r="H325" s="22" t="str">
        <f t="shared" si="26"/>
        <v/>
      </c>
      <c r="J325" s="32"/>
      <c r="K325" s="24" t="str">
        <f t="shared" si="24"/>
        <v/>
      </c>
      <c r="Q325" s="23"/>
      <c r="R325" s="24" t="str">
        <f t="shared" si="27"/>
        <v/>
      </c>
      <c r="S325" s="24" t="str">
        <f t="shared" si="28"/>
        <v/>
      </c>
      <c r="T325" t="str">
        <f t="shared" si="25"/>
        <v/>
      </c>
    </row>
    <row r="326" spans="1:20">
      <c r="A326" s="22" t="s">
        <v>420</v>
      </c>
      <c r="H326" s="22" t="str">
        <f t="shared" si="26"/>
        <v/>
      </c>
      <c r="J326" s="32"/>
      <c r="K326" s="24" t="str">
        <f t="shared" si="24"/>
        <v/>
      </c>
      <c r="Q326" s="23"/>
      <c r="R326" s="24" t="str">
        <f t="shared" si="27"/>
        <v/>
      </c>
      <c r="S326" s="24" t="str">
        <f t="shared" si="28"/>
        <v/>
      </c>
      <c r="T326" t="str">
        <f t="shared" si="25"/>
        <v/>
      </c>
    </row>
    <row r="327" spans="1:20">
      <c r="A327" s="22" t="s">
        <v>421</v>
      </c>
      <c r="H327" s="22" t="str">
        <f t="shared" si="26"/>
        <v/>
      </c>
      <c r="J327" s="32"/>
      <c r="K327" s="24" t="str">
        <f t="shared" si="24"/>
        <v/>
      </c>
      <c r="Q327" s="23"/>
      <c r="R327" s="24" t="str">
        <f t="shared" si="27"/>
        <v/>
      </c>
      <c r="S327" s="24" t="str">
        <f t="shared" si="28"/>
        <v/>
      </c>
      <c r="T327" t="str">
        <f t="shared" si="25"/>
        <v/>
      </c>
    </row>
    <row r="328" spans="1:20">
      <c r="A328" s="22" t="s">
        <v>422</v>
      </c>
      <c r="H328" s="22" t="str">
        <f t="shared" si="26"/>
        <v/>
      </c>
      <c r="J328" s="32"/>
      <c r="K328" s="24" t="str">
        <f t="shared" si="24"/>
        <v/>
      </c>
      <c r="Q328" s="23"/>
      <c r="R328" s="24" t="str">
        <f t="shared" si="27"/>
        <v/>
      </c>
      <c r="S328" s="24" t="str">
        <f t="shared" si="28"/>
        <v/>
      </c>
      <c r="T328" t="str">
        <f t="shared" si="25"/>
        <v/>
      </c>
    </row>
    <row r="329" spans="1:20">
      <c r="A329" s="22" t="s">
        <v>423</v>
      </c>
      <c r="H329" s="22" t="str">
        <f t="shared" si="26"/>
        <v/>
      </c>
      <c r="J329" s="32"/>
      <c r="K329" s="24" t="str">
        <f t="shared" ref="K329:K392" si="29">IF(I329="","",IF(I329="ENTRADA",ABS(J329),-ABS(J329)))</f>
        <v/>
      </c>
      <c r="Q329" s="23"/>
      <c r="R329" s="24" t="str">
        <f t="shared" si="27"/>
        <v/>
      </c>
      <c r="S329" s="24" t="str">
        <f t="shared" si="28"/>
        <v/>
      </c>
      <c r="T329" t="str">
        <f t="shared" si="25"/>
        <v/>
      </c>
    </row>
    <row r="330" spans="1:20">
      <c r="A330" s="22" t="s">
        <v>424</v>
      </c>
      <c r="H330" s="22" t="str">
        <f t="shared" si="26"/>
        <v/>
      </c>
      <c r="J330" s="32"/>
      <c r="K330" s="24" t="str">
        <f t="shared" si="29"/>
        <v/>
      </c>
      <c r="Q330" s="23"/>
      <c r="R330" s="24" t="str">
        <f t="shared" si="27"/>
        <v/>
      </c>
      <c r="S330" s="24" t="str">
        <f t="shared" si="28"/>
        <v/>
      </c>
      <c r="T330" t="str">
        <f t="shared" si="25"/>
        <v/>
      </c>
    </row>
    <row r="331" spans="1:20">
      <c r="A331" s="22" t="s">
        <v>425</v>
      </c>
      <c r="H331" s="22" t="str">
        <f t="shared" si="26"/>
        <v/>
      </c>
      <c r="J331" s="32"/>
      <c r="K331" s="24" t="str">
        <f t="shared" si="29"/>
        <v/>
      </c>
      <c r="Q331" s="23"/>
      <c r="R331" s="24" t="str">
        <f t="shared" si="27"/>
        <v/>
      </c>
      <c r="S331" s="24" t="str">
        <f t="shared" si="28"/>
        <v/>
      </c>
      <c r="T331" t="str">
        <f t="shared" si="25"/>
        <v/>
      </c>
    </row>
    <row r="332" spans="1:20">
      <c r="A332" s="22" t="s">
        <v>426</v>
      </c>
      <c r="H332" s="22" t="str">
        <f t="shared" si="26"/>
        <v/>
      </c>
      <c r="J332" s="32"/>
      <c r="K332" s="24" t="str">
        <f t="shared" si="29"/>
        <v/>
      </c>
      <c r="Q332" s="23"/>
      <c r="R332" s="24" t="str">
        <f t="shared" si="27"/>
        <v/>
      </c>
      <c r="S332" s="24" t="str">
        <f t="shared" si="28"/>
        <v/>
      </c>
      <c r="T332" t="str">
        <f t="shared" si="25"/>
        <v/>
      </c>
    </row>
    <row r="333" spans="1:20">
      <c r="A333" s="22" t="s">
        <v>427</v>
      </c>
      <c r="H333" s="22" t="str">
        <f t="shared" si="26"/>
        <v/>
      </c>
      <c r="J333" s="32"/>
      <c r="K333" s="24" t="str">
        <f t="shared" si="29"/>
        <v/>
      </c>
      <c r="Q333" s="23"/>
      <c r="R333" s="24" t="str">
        <f t="shared" si="27"/>
        <v/>
      </c>
      <c r="S333" s="24" t="str">
        <f t="shared" si="28"/>
        <v/>
      </c>
      <c r="T333" t="str">
        <f t="shared" si="25"/>
        <v/>
      </c>
    </row>
    <row r="334" spans="1:20">
      <c r="A334" s="22" t="s">
        <v>428</v>
      </c>
      <c r="H334" s="22" t="str">
        <f t="shared" si="26"/>
        <v/>
      </c>
      <c r="J334" s="32"/>
      <c r="K334" s="24" t="str">
        <f t="shared" si="29"/>
        <v/>
      </c>
      <c r="Q334" s="23"/>
      <c r="R334" s="24" t="str">
        <f t="shared" si="27"/>
        <v/>
      </c>
      <c r="S334" s="24" t="str">
        <f t="shared" si="28"/>
        <v/>
      </c>
      <c r="T334" t="str">
        <f t="shared" si="25"/>
        <v/>
      </c>
    </row>
    <row r="335" spans="1:20">
      <c r="A335" s="22" t="s">
        <v>429</v>
      </c>
      <c r="H335" s="22" t="str">
        <f t="shared" si="26"/>
        <v/>
      </c>
      <c r="J335" s="32"/>
      <c r="K335" s="24" t="str">
        <f t="shared" si="29"/>
        <v/>
      </c>
      <c r="Q335" s="23"/>
      <c r="R335" s="24" t="str">
        <f t="shared" si="27"/>
        <v/>
      </c>
      <c r="S335" s="24" t="str">
        <f t="shared" si="28"/>
        <v/>
      </c>
      <c r="T335" t="str">
        <f t="shared" ref="T335:T398" si="30">IF(OR(C335="",I335&lt;&gt;"ENTRADA"),"",TEXT(B335,"AAMMDD")&amp;"-"&amp;TEXT(VALUE(SUBSTITUTE(A335,"MOV-","")),"000"))</f>
        <v/>
      </c>
    </row>
    <row r="336" spans="1:20">
      <c r="A336" s="22" t="s">
        <v>430</v>
      </c>
      <c r="H336" s="22" t="str">
        <f t="shared" ref="H336:H399" si="31">+T336</f>
        <v/>
      </c>
      <c r="J336" s="32"/>
      <c r="K336" s="24" t="str">
        <f t="shared" si="29"/>
        <v/>
      </c>
      <c r="Q336" s="23"/>
      <c r="R336" s="24" t="str">
        <f t="shared" ref="R336:R399" si="32">IF(H336="","",H336&amp;I336)</f>
        <v/>
      </c>
      <c r="S336" s="24" t="str">
        <f t="shared" ref="S336:S399" si="33">IF(C336="","",C336&amp;I336)</f>
        <v/>
      </c>
      <c r="T336" t="str">
        <f t="shared" si="30"/>
        <v/>
      </c>
    </row>
    <row r="337" spans="1:20">
      <c r="A337" s="22" t="s">
        <v>431</v>
      </c>
      <c r="H337" s="22" t="str">
        <f t="shared" si="31"/>
        <v/>
      </c>
      <c r="J337" s="32"/>
      <c r="K337" s="24" t="str">
        <f t="shared" si="29"/>
        <v/>
      </c>
      <c r="Q337" s="23"/>
      <c r="R337" s="24" t="str">
        <f t="shared" si="32"/>
        <v/>
      </c>
      <c r="S337" s="24" t="str">
        <f t="shared" si="33"/>
        <v/>
      </c>
      <c r="T337" t="str">
        <f t="shared" si="30"/>
        <v/>
      </c>
    </row>
    <row r="338" spans="1:20">
      <c r="A338" s="22" t="s">
        <v>432</v>
      </c>
      <c r="H338" s="22" t="str">
        <f t="shared" si="31"/>
        <v/>
      </c>
      <c r="J338" s="32"/>
      <c r="K338" s="24" t="str">
        <f t="shared" si="29"/>
        <v/>
      </c>
      <c r="Q338" s="23"/>
      <c r="R338" s="24" t="str">
        <f t="shared" si="32"/>
        <v/>
      </c>
      <c r="S338" s="24" t="str">
        <f t="shared" si="33"/>
        <v/>
      </c>
      <c r="T338" t="str">
        <f t="shared" si="30"/>
        <v/>
      </c>
    </row>
    <row r="339" spans="1:20">
      <c r="A339" s="22" t="s">
        <v>433</v>
      </c>
      <c r="H339" s="22" t="str">
        <f t="shared" si="31"/>
        <v/>
      </c>
      <c r="J339" s="32"/>
      <c r="K339" s="24" t="str">
        <f t="shared" si="29"/>
        <v/>
      </c>
      <c r="Q339" s="23"/>
      <c r="R339" s="24" t="str">
        <f t="shared" si="32"/>
        <v/>
      </c>
      <c r="S339" s="24" t="str">
        <f t="shared" si="33"/>
        <v/>
      </c>
      <c r="T339" t="str">
        <f t="shared" si="30"/>
        <v/>
      </c>
    </row>
    <row r="340" spans="1:20">
      <c r="A340" s="22" t="s">
        <v>434</v>
      </c>
      <c r="H340" s="22" t="str">
        <f t="shared" si="31"/>
        <v/>
      </c>
      <c r="J340" s="32"/>
      <c r="K340" s="24" t="str">
        <f t="shared" si="29"/>
        <v/>
      </c>
      <c r="Q340" s="23"/>
      <c r="R340" s="24" t="str">
        <f t="shared" si="32"/>
        <v/>
      </c>
      <c r="S340" s="24" t="str">
        <f t="shared" si="33"/>
        <v/>
      </c>
      <c r="T340" t="str">
        <f t="shared" si="30"/>
        <v/>
      </c>
    </row>
    <row r="341" spans="1:20">
      <c r="A341" s="22" t="s">
        <v>435</v>
      </c>
      <c r="H341" s="22" t="str">
        <f t="shared" si="31"/>
        <v/>
      </c>
      <c r="J341" s="32"/>
      <c r="K341" s="24" t="str">
        <f t="shared" si="29"/>
        <v/>
      </c>
      <c r="Q341" s="23"/>
      <c r="R341" s="24" t="str">
        <f t="shared" si="32"/>
        <v/>
      </c>
      <c r="S341" s="24" t="str">
        <f t="shared" si="33"/>
        <v/>
      </c>
      <c r="T341" t="str">
        <f t="shared" si="30"/>
        <v/>
      </c>
    </row>
    <row r="342" spans="1:20">
      <c r="A342" s="22" t="s">
        <v>436</v>
      </c>
      <c r="H342" s="22" t="str">
        <f t="shared" si="31"/>
        <v/>
      </c>
      <c r="J342" s="32"/>
      <c r="K342" s="24" t="str">
        <f t="shared" si="29"/>
        <v/>
      </c>
      <c r="Q342" s="23"/>
      <c r="R342" s="24" t="str">
        <f t="shared" si="32"/>
        <v/>
      </c>
      <c r="S342" s="24" t="str">
        <f t="shared" si="33"/>
        <v/>
      </c>
      <c r="T342" t="str">
        <f t="shared" si="30"/>
        <v/>
      </c>
    </row>
    <row r="343" spans="1:20">
      <c r="A343" s="22" t="s">
        <v>437</v>
      </c>
      <c r="H343" s="22" t="str">
        <f t="shared" si="31"/>
        <v/>
      </c>
      <c r="J343" s="32"/>
      <c r="K343" s="24" t="str">
        <f t="shared" si="29"/>
        <v/>
      </c>
      <c r="Q343" s="23"/>
      <c r="R343" s="24" t="str">
        <f t="shared" si="32"/>
        <v/>
      </c>
      <c r="S343" s="24" t="str">
        <f t="shared" si="33"/>
        <v/>
      </c>
      <c r="T343" t="str">
        <f t="shared" si="30"/>
        <v/>
      </c>
    </row>
    <row r="344" spans="1:20">
      <c r="A344" s="22" t="s">
        <v>438</v>
      </c>
      <c r="H344" s="22" t="str">
        <f t="shared" si="31"/>
        <v/>
      </c>
      <c r="J344" s="32"/>
      <c r="K344" s="24" t="str">
        <f t="shared" si="29"/>
        <v/>
      </c>
      <c r="Q344" s="23"/>
      <c r="R344" s="24" t="str">
        <f t="shared" si="32"/>
        <v/>
      </c>
      <c r="S344" s="24" t="str">
        <f t="shared" si="33"/>
        <v/>
      </c>
      <c r="T344" t="str">
        <f t="shared" si="30"/>
        <v/>
      </c>
    </row>
    <row r="345" spans="1:20">
      <c r="A345" s="22" t="s">
        <v>439</v>
      </c>
      <c r="H345" s="22" t="str">
        <f t="shared" si="31"/>
        <v/>
      </c>
      <c r="J345" s="32"/>
      <c r="K345" s="24" t="str">
        <f t="shared" si="29"/>
        <v/>
      </c>
      <c r="Q345" s="23"/>
      <c r="R345" s="24" t="str">
        <f t="shared" si="32"/>
        <v/>
      </c>
      <c r="S345" s="24" t="str">
        <f t="shared" si="33"/>
        <v/>
      </c>
      <c r="T345" t="str">
        <f t="shared" si="30"/>
        <v/>
      </c>
    </row>
    <row r="346" spans="1:20">
      <c r="A346" s="22" t="s">
        <v>440</v>
      </c>
      <c r="H346" s="22" t="str">
        <f t="shared" si="31"/>
        <v/>
      </c>
      <c r="J346" s="32"/>
      <c r="K346" s="24" t="str">
        <f t="shared" si="29"/>
        <v/>
      </c>
      <c r="Q346" s="23"/>
      <c r="R346" s="24" t="str">
        <f t="shared" si="32"/>
        <v/>
      </c>
      <c r="S346" s="24" t="str">
        <f t="shared" si="33"/>
        <v/>
      </c>
      <c r="T346" t="str">
        <f t="shared" si="30"/>
        <v/>
      </c>
    </row>
    <row r="347" spans="1:20">
      <c r="A347" s="22" t="s">
        <v>441</v>
      </c>
      <c r="H347" s="22" t="str">
        <f t="shared" si="31"/>
        <v/>
      </c>
      <c r="J347" s="32"/>
      <c r="K347" s="24" t="str">
        <f t="shared" si="29"/>
        <v/>
      </c>
      <c r="Q347" s="23"/>
      <c r="R347" s="24" t="str">
        <f t="shared" si="32"/>
        <v/>
      </c>
      <c r="S347" s="24" t="str">
        <f t="shared" si="33"/>
        <v/>
      </c>
      <c r="T347" t="str">
        <f t="shared" si="30"/>
        <v/>
      </c>
    </row>
    <row r="348" spans="1:20">
      <c r="A348" s="22" t="s">
        <v>442</v>
      </c>
      <c r="H348" s="22" t="str">
        <f t="shared" si="31"/>
        <v/>
      </c>
      <c r="J348" s="32"/>
      <c r="K348" s="24" t="str">
        <f t="shared" si="29"/>
        <v/>
      </c>
      <c r="Q348" s="23"/>
      <c r="R348" s="24" t="str">
        <f t="shared" si="32"/>
        <v/>
      </c>
      <c r="S348" s="24" t="str">
        <f t="shared" si="33"/>
        <v/>
      </c>
      <c r="T348" t="str">
        <f t="shared" si="30"/>
        <v/>
      </c>
    </row>
    <row r="349" spans="1:20">
      <c r="A349" s="22" t="s">
        <v>443</v>
      </c>
      <c r="H349" s="22" t="str">
        <f t="shared" si="31"/>
        <v/>
      </c>
      <c r="J349" s="32"/>
      <c r="K349" s="24" t="str">
        <f t="shared" si="29"/>
        <v/>
      </c>
      <c r="Q349" s="23"/>
      <c r="R349" s="24" t="str">
        <f t="shared" si="32"/>
        <v/>
      </c>
      <c r="S349" s="24" t="str">
        <f t="shared" si="33"/>
        <v/>
      </c>
      <c r="T349" t="str">
        <f t="shared" si="30"/>
        <v/>
      </c>
    </row>
    <row r="350" spans="1:20">
      <c r="A350" s="22" t="s">
        <v>444</v>
      </c>
      <c r="H350" s="22" t="str">
        <f t="shared" si="31"/>
        <v/>
      </c>
      <c r="J350" s="32"/>
      <c r="K350" s="24" t="str">
        <f t="shared" si="29"/>
        <v/>
      </c>
      <c r="Q350" s="23"/>
      <c r="R350" s="24" t="str">
        <f t="shared" si="32"/>
        <v/>
      </c>
      <c r="S350" s="24" t="str">
        <f t="shared" si="33"/>
        <v/>
      </c>
      <c r="T350" t="str">
        <f t="shared" si="30"/>
        <v/>
      </c>
    </row>
    <row r="351" spans="1:20">
      <c r="A351" s="22" t="s">
        <v>445</v>
      </c>
      <c r="H351" s="22" t="str">
        <f t="shared" si="31"/>
        <v/>
      </c>
      <c r="J351" s="32"/>
      <c r="K351" s="24" t="str">
        <f t="shared" si="29"/>
        <v/>
      </c>
      <c r="Q351" s="23"/>
      <c r="R351" s="24" t="str">
        <f t="shared" si="32"/>
        <v/>
      </c>
      <c r="S351" s="24" t="str">
        <f t="shared" si="33"/>
        <v/>
      </c>
      <c r="T351" t="str">
        <f t="shared" si="30"/>
        <v/>
      </c>
    </row>
    <row r="352" spans="1:20">
      <c r="A352" s="22" t="s">
        <v>446</v>
      </c>
      <c r="H352" s="22" t="str">
        <f t="shared" si="31"/>
        <v/>
      </c>
      <c r="J352" s="32"/>
      <c r="K352" s="24" t="str">
        <f t="shared" si="29"/>
        <v/>
      </c>
      <c r="Q352" s="23"/>
      <c r="R352" s="24" t="str">
        <f t="shared" si="32"/>
        <v/>
      </c>
      <c r="S352" s="24" t="str">
        <f t="shared" si="33"/>
        <v/>
      </c>
      <c r="T352" t="str">
        <f t="shared" si="30"/>
        <v/>
      </c>
    </row>
    <row r="353" spans="1:20">
      <c r="A353" s="22" t="s">
        <v>447</v>
      </c>
      <c r="H353" s="22" t="str">
        <f t="shared" si="31"/>
        <v/>
      </c>
      <c r="J353" s="32"/>
      <c r="K353" s="24" t="str">
        <f t="shared" si="29"/>
        <v/>
      </c>
      <c r="Q353" s="23"/>
      <c r="R353" s="24" t="str">
        <f t="shared" si="32"/>
        <v/>
      </c>
      <c r="S353" s="24" t="str">
        <f t="shared" si="33"/>
        <v/>
      </c>
      <c r="T353" t="str">
        <f t="shared" si="30"/>
        <v/>
      </c>
    </row>
    <row r="354" spans="1:20">
      <c r="A354" s="22" t="s">
        <v>448</v>
      </c>
      <c r="H354" s="22" t="str">
        <f t="shared" si="31"/>
        <v/>
      </c>
      <c r="J354" s="32"/>
      <c r="K354" s="24" t="str">
        <f t="shared" si="29"/>
        <v/>
      </c>
      <c r="Q354" s="23"/>
      <c r="R354" s="24" t="str">
        <f t="shared" si="32"/>
        <v/>
      </c>
      <c r="S354" s="24" t="str">
        <f t="shared" si="33"/>
        <v/>
      </c>
      <c r="T354" t="str">
        <f t="shared" si="30"/>
        <v/>
      </c>
    </row>
    <row r="355" spans="1:20">
      <c r="A355" s="22" t="s">
        <v>449</v>
      </c>
      <c r="H355" s="22" t="str">
        <f t="shared" si="31"/>
        <v/>
      </c>
      <c r="J355" s="32"/>
      <c r="K355" s="24" t="str">
        <f t="shared" si="29"/>
        <v/>
      </c>
      <c r="Q355" s="23"/>
      <c r="R355" s="24" t="str">
        <f t="shared" si="32"/>
        <v/>
      </c>
      <c r="S355" s="24" t="str">
        <f t="shared" si="33"/>
        <v/>
      </c>
      <c r="T355" t="str">
        <f t="shared" si="30"/>
        <v/>
      </c>
    </row>
    <row r="356" spans="1:20">
      <c r="A356" s="22" t="s">
        <v>450</v>
      </c>
      <c r="H356" s="22" t="str">
        <f t="shared" si="31"/>
        <v/>
      </c>
      <c r="J356" s="32"/>
      <c r="K356" s="24" t="str">
        <f t="shared" si="29"/>
        <v/>
      </c>
      <c r="Q356" s="23"/>
      <c r="R356" s="24" t="str">
        <f t="shared" si="32"/>
        <v/>
      </c>
      <c r="S356" s="24" t="str">
        <f t="shared" si="33"/>
        <v/>
      </c>
      <c r="T356" t="str">
        <f t="shared" si="30"/>
        <v/>
      </c>
    </row>
    <row r="357" spans="1:20">
      <c r="A357" s="22" t="s">
        <v>451</v>
      </c>
      <c r="H357" s="22" t="str">
        <f t="shared" si="31"/>
        <v/>
      </c>
      <c r="J357" s="32"/>
      <c r="K357" s="24" t="str">
        <f t="shared" si="29"/>
        <v/>
      </c>
      <c r="Q357" s="23"/>
      <c r="R357" s="24" t="str">
        <f t="shared" si="32"/>
        <v/>
      </c>
      <c r="S357" s="24" t="str">
        <f t="shared" si="33"/>
        <v/>
      </c>
      <c r="T357" t="str">
        <f t="shared" si="30"/>
        <v/>
      </c>
    </row>
    <row r="358" spans="1:20">
      <c r="A358" s="22" t="s">
        <v>452</v>
      </c>
      <c r="H358" s="22" t="str">
        <f t="shared" si="31"/>
        <v/>
      </c>
      <c r="J358" s="32"/>
      <c r="K358" s="24" t="str">
        <f t="shared" si="29"/>
        <v/>
      </c>
      <c r="Q358" s="23"/>
      <c r="R358" s="24" t="str">
        <f t="shared" si="32"/>
        <v/>
      </c>
      <c r="S358" s="24" t="str">
        <f t="shared" si="33"/>
        <v/>
      </c>
      <c r="T358" t="str">
        <f t="shared" si="30"/>
        <v/>
      </c>
    </row>
    <row r="359" spans="1:20">
      <c r="A359" s="22" t="s">
        <v>453</v>
      </c>
      <c r="H359" s="22" t="str">
        <f t="shared" si="31"/>
        <v/>
      </c>
      <c r="J359" s="32"/>
      <c r="K359" s="24" t="str">
        <f t="shared" si="29"/>
        <v/>
      </c>
      <c r="Q359" s="23"/>
      <c r="R359" s="24" t="str">
        <f t="shared" si="32"/>
        <v/>
      </c>
      <c r="S359" s="24" t="str">
        <f t="shared" si="33"/>
        <v/>
      </c>
      <c r="T359" t="str">
        <f t="shared" si="30"/>
        <v/>
      </c>
    </row>
    <row r="360" spans="1:20">
      <c r="A360" s="22" t="s">
        <v>454</v>
      </c>
      <c r="H360" s="22" t="str">
        <f t="shared" si="31"/>
        <v/>
      </c>
      <c r="J360" s="32"/>
      <c r="K360" s="24" t="str">
        <f t="shared" si="29"/>
        <v/>
      </c>
      <c r="Q360" s="23"/>
      <c r="R360" s="24" t="str">
        <f t="shared" si="32"/>
        <v/>
      </c>
      <c r="S360" s="24" t="str">
        <f t="shared" si="33"/>
        <v/>
      </c>
      <c r="T360" t="str">
        <f t="shared" si="30"/>
        <v/>
      </c>
    </row>
    <row r="361" spans="1:20">
      <c r="A361" s="22" t="s">
        <v>455</v>
      </c>
      <c r="H361" s="22" t="str">
        <f t="shared" si="31"/>
        <v/>
      </c>
      <c r="J361" s="32"/>
      <c r="K361" s="24" t="str">
        <f t="shared" si="29"/>
        <v/>
      </c>
      <c r="Q361" s="23"/>
      <c r="R361" s="24" t="str">
        <f t="shared" si="32"/>
        <v/>
      </c>
      <c r="S361" s="24" t="str">
        <f t="shared" si="33"/>
        <v/>
      </c>
      <c r="T361" t="str">
        <f t="shared" si="30"/>
        <v/>
      </c>
    </row>
    <row r="362" spans="1:20">
      <c r="A362" s="22" t="s">
        <v>456</v>
      </c>
      <c r="H362" s="22" t="str">
        <f t="shared" si="31"/>
        <v/>
      </c>
      <c r="J362" s="32"/>
      <c r="K362" s="24" t="str">
        <f t="shared" si="29"/>
        <v/>
      </c>
      <c r="Q362" s="23"/>
      <c r="R362" s="24" t="str">
        <f t="shared" si="32"/>
        <v/>
      </c>
      <c r="S362" s="24" t="str">
        <f t="shared" si="33"/>
        <v/>
      </c>
      <c r="T362" t="str">
        <f t="shared" si="30"/>
        <v/>
      </c>
    </row>
    <row r="363" spans="1:20">
      <c r="A363" s="22" t="s">
        <v>457</v>
      </c>
      <c r="H363" s="22" t="str">
        <f t="shared" si="31"/>
        <v/>
      </c>
      <c r="J363" s="32"/>
      <c r="K363" s="24" t="str">
        <f t="shared" si="29"/>
        <v/>
      </c>
      <c r="Q363" s="23"/>
      <c r="R363" s="24" t="str">
        <f t="shared" si="32"/>
        <v/>
      </c>
      <c r="S363" s="24" t="str">
        <f t="shared" si="33"/>
        <v/>
      </c>
      <c r="T363" t="str">
        <f t="shared" si="30"/>
        <v/>
      </c>
    </row>
    <row r="364" spans="1:20">
      <c r="A364" s="22" t="s">
        <v>458</v>
      </c>
      <c r="H364" s="22" t="str">
        <f t="shared" si="31"/>
        <v/>
      </c>
      <c r="J364" s="32"/>
      <c r="K364" s="24" t="str">
        <f t="shared" si="29"/>
        <v/>
      </c>
      <c r="Q364" s="23"/>
      <c r="R364" s="24" t="str">
        <f t="shared" si="32"/>
        <v/>
      </c>
      <c r="S364" s="24" t="str">
        <f t="shared" si="33"/>
        <v/>
      </c>
      <c r="T364" t="str">
        <f t="shared" si="30"/>
        <v/>
      </c>
    </row>
    <row r="365" spans="1:20">
      <c r="A365" s="22" t="s">
        <v>459</v>
      </c>
      <c r="H365" s="22" t="str">
        <f t="shared" si="31"/>
        <v/>
      </c>
      <c r="J365" s="32"/>
      <c r="K365" s="24" t="str">
        <f t="shared" si="29"/>
        <v/>
      </c>
      <c r="Q365" s="23"/>
      <c r="R365" s="24" t="str">
        <f t="shared" si="32"/>
        <v/>
      </c>
      <c r="S365" s="24" t="str">
        <f t="shared" si="33"/>
        <v/>
      </c>
      <c r="T365" t="str">
        <f t="shared" si="30"/>
        <v/>
      </c>
    </row>
    <row r="366" spans="1:20">
      <c r="A366" s="22" t="s">
        <v>460</v>
      </c>
      <c r="H366" s="22" t="str">
        <f t="shared" si="31"/>
        <v/>
      </c>
      <c r="J366" s="32"/>
      <c r="K366" s="24" t="str">
        <f t="shared" si="29"/>
        <v/>
      </c>
      <c r="Q366" s="23"/>
      <c r="R366" s="24" t="str">
        <f t="shared" si="32"/>
        <v/>
      </c>
      <c r="S366" s="24" t="str">
        <f t="shared" si="33"/>
        <v/>
      </c>
      <c r="T366" t="str">
        <f t="shared" si="30"/>
        <v/>
      </c>
    </row>
    <row r="367" spans="1:20">
      <c r="A367" s="22" t="s">
        <v>461</v>
      </c>
      <c r="H367" s="22" t="str">
        <f t="shared" si="31"/>
        <v/>
      </c>
      <c r="J367" s="32"/>
      <c r="K367" s="24" t="str">
        <f t="shared" si="29"/>
        <v/>
      </c>
      <c r="Q367" s="23"/>
      <c r="R367" s="24" t="str">
        <f t="shared" si="32"/>
        <v/>
      </c>
      <c r="S367" s="24" t="str">
        <f t="shared" si="33"/>
        <v/>
      </c>
      <c r="T367" t="str">
        <f t="shared" si="30"/>
        <v/>
      </c>
    </row>
    <row r="368" spans="1:20">
      <c r="A368" s="22" t="s">
        <v>462</v>
      </c>
      <c r="H368" s="22" t="str">
        <f t="shared" si="31"/>
        <v/>
      </c>
      <c r="J368" s="32"/>
      <c r="K368" s="24" t="str">
        <f t="shared" si="29"/>
        <v/>
      </c>
      <c r="Q368" s="23"/>
      <c r="R368" s="24" t="str">
        <f t="shared" si="32"/>
        <v/>
      </c>
      <c r="S368" s="24" t="str">
        <f t="shared" si="33"/>
        <v/>
      </c>
      <c r="T368" t="str">
        <f t="shared" si="30"/>
        <v/>
      </c>
    </row>
    <row r="369" spans="1:20">
      <c r="A369" s="22" t="s">
        <v>463</v>
      </c>
      <c r="H369" s="22" t="str">
        <f t="shared" si="31"/>
        <v/>
      </c>
      <c r="J369" s="32"/>
      <c r="K369" s="24" t="str">
        <f t="shared" si="29"/>
        <v/>
      </c>
      <c r="Q369" s="23"/>
      <c r="R369" s="24" t="str">
        <f t="shared" si="32"/>
        <v/>
      </c>
      <c r="S369" s="24" t="str">
        <f t="shared" si="33"/>
        <v/>
      </c>
      <c r="T369" t="str">
        <f t="shared" si="30"/>
        <v/>
      </c>
    </row>
    <row r="370" spans="1:20">
      <c r="A370" s="22" t="s">
        <v>464</v>
      </c>
      <c r="H370" s="22" t="str">
        <f t="shared" si="31"/>
        <v/>
      </c>
      <c r="J370" s="32"/>
      <c r="K370" s="24" t="str">
        <f t="shared" si="29"/>
        <v/>
      </c>
      <c r="Q370" s="23"/>
      <c r="R370" s="24" t="str">
        <f t="shared" si="32"/>
        <v/>
      </c>
      <c r="S370" s="24" t="str">
        <f t="shared" si="33"/>
        <v/>
      </c>
      <c r="T370" t="str">
        <f t="shared" si="30"/>
        <v/>
      </c>
    </row>
    <row r="371" spans="1:20">
      <c r="A371" s="22" t="s">
        <v>465</v>
      </c>
      <c r="H371" s="22" t="str">
        <f t="shared" si="31"/>
        <v/>
      </c>
      <c r="J371" s="32"/>
      <c r="K371" s="24" t="str">
        <f t="shared" si="29"/>
        <v/>
      </c>
      <c r="Q371" s="23"/>
      <c r="R371" s="24" t="str">
        <f t="shared" si="32"/>
        <v/>
      </c>
      <c r="S371" s="24" t="str">
        <f t="shared" si="33"/>
        <v/>
      </c>
      <c r="T371" t="str">
        <f t="shared" si="30"/>
        <v/>
      </c>
    </row>
    <row r="372" spans="1:20">
      <c r="A372" s="22" t="s">
        <v>466</v>
      </c>
      <c r="H372" s="22" t="str">
        <f t="shared" si="31"/>
        <v/>
      </c>
      <c r="J372" s="32"/>
      <c r="K372" s="24" t="str">
        <f t="shared" si="29"/>
        <v/>
      </c>
      <c r="Q372" s="23"/>
      <c r="R372" s="24" t="str">
        <f t="shared" si="32"/>
        <v/>
      </c>
      <c r="S372" s="24" t="str">
        <f t="shared" si="33"/>
        <v/>
      </c>
      <c r="T372" t="str">
        <f t="shared" si="30"/>
        <v/>
      </c>
    </row>
    <row r="373" spans="1:20">
      <c r="A373" s="22" t="s">
        <v>467</v>
      </c>
      <c r="H373" s="22" t="str">
        <f t="shared" si="31"/>
        <v/>
      </c>
      <c r="J373" s="32"/>
      <c r="K373" s="24" t="str">
        <f t="shared" si="29"/>
        <v/>
      </c>
      <c r="Q373" s="23"/>
      <c r="R373" s="24" t="str">
        <f t="shared" si="32"/>
        <v/>
      </c>
      <c r="S373" s="24" t="str">
        <f t="shared" si="33"/>
        <v/>
      </c>
      <c r="T373" t="str">
        <f t="shared" si="30"/>
        <v/>
      </c>
    </row>
    <row r="374" spans="1:20">
      <c r="A374" s="22" t="s">
        <v>468</v>
      </c>
      <c r="H374" s="22" t="str">
        <f t="shared" si="31"/>
        <v/>
      </c>
      <c r="J374" s="32"/>
      <c r="K374" s="24" t="str">
        <f t="shared" si="29"/>
        <v/>
      </c>
      <c r="Q374" s="23"/>
      <c r="R374" s="24" t="str">
        <f t="shared" si="32"/>
        <v/>
      </c>
      <c r="S374" s="24" t="str">
        <f t="shared" si="33"/>
        <v/>
      </c>
      <c r="T374" t="str">
        <f t="shared" si="30"/>
        <v/>
      </c>
    </row>
    <row r="375" spans="1:20">
      <c r="A375" s="22" t="s">
        <v>469</v>
      </c>
      <c r="H375" s="22" t="str">
        <f t="shared" si="31"/>
        <v/>
      </c>
      <c r="J375" s="32"/>
      <c r="K375" s="24" t="str">
        <f t="shared" si="29"/>
        <v/>
      </c>
      <c r="Q375" s="23"/>
      <c r="R375" s="24" t="str">
        <f t="shared" si="32"/>
        <v/>
      </c>
      <c r="S375" s="24" t="str">
        <f t="shared" si="33"/>
        <v/>
      </c>
      <c r="T375" t="str">
        <f t="shared" si="30"/>
        <v/>
      </c>
    </row>
    <row r="376" spans="1:20">
      <c r="A376" s="22" t="s">
        <v>470</v>
      </c>
      <c r="H376" s="22" t="str">
        <f t="shared" si="31"/>
        <v/>
      </c>
      <c r="J376" s="32"/>
      <c r="K376" s="24" t="str">
        <f t="shared" si="29"/>
        <v/>
      </c>
      <c r="Q376" s="23"/>
      <c r="R376" s="24" t="str">
        <f t="shared" si="32"/>
        <v/>
      </c>
      <c r="S376" s="24" t="str">
        <f t="shared" si="33"/>
        <v/>
      </c>
      <c r="T376" t="str">
        <f t="shared" si="30"/>
        <v/>
      </c>
    </row>
    <row r="377" spans="1:20">
      <c r="A377" s="22" t="s">
        <v>471</v>
      </c>
      <c r="H377" s="22" t="str">
        <f t="shared" si="31"/>
        <v/>
      </c>
      <c r="J377" s="32"/>
      <c r="K377" s="24" t="str">
        <f t="shared" si="29"/>
        <v/>
      </c>
      <c r="Q377" s="23"/>
      <c r="R377" s="24" t="str">
        <f t="shared" si="32"/>
        <v/>
      </c>
      <c r="S377" s="24" t="str">
        <f t="shared" si="33"/>
        <v/>
      </c>
      <c r="T377" t="str">
        <f t="shared" si="30"/>
        <v/>
      </c>
    </row>
    <row r="378" spans="1:20">
      <c r="A378" s="22" t="s">
        <v>472</v>
      </c>
      <c r="H378" s="22" t="str">
        <f t="shared" si="31"/>
        <v/>
      </c>
      <c r="J378" s="32"/>
      <c r="K378" s="24" t="str">
        <f t="shared" si="29"/>
        <v/>
      </c>
      <c r="Q378" s="23"/>
      <c r="R378" s="24" t="str">
        <f t="shared" si="32"/>
        <v/>
      </c>
      <c r="S378" s="24" t="str">
        <f t="shared" si="33"/>
        <v/>
      </c>
      <c r="T378" t="str">
        <f t="shared" si="30"/>
        <v/>
      </c>
    </row>
    <row r="379" spans="1:20">
      <c r="A379" s="22" t="s">
        <v>473</v>
      </c>
      <c r="H379" s="22" t="str">
        <f t="shared" si="31"/>
        <v/>
      </c>
      <c r="J379" s="32"/>
      <c r="K379" s="24" t="str">
        <f t="shared" si="29"/>
        <v/>
      </c>
      <c r="Q379" s="23"/>
      <c r="R379" s="24" t="str">
        <f t="shared" si="32"/>
        <v/>
      </c>
      <c r="S379" s="24" t="str">
        <f t="shared" si="33"/>
        <v/>
      </c>
      <c r="T379" t="str">
        <f t="shared" si="30"/>
        <v/>
      </c>
    </row>
    <row r="380" spans="1:20">
      <c r="A380" s="22" t="s">
        <v>474</v>
      </c>
      <c r="H380" s="22" t="str">
        <f t="shared" si="31"/>
        <v/>
      </c>
      <c r="J380" s="32"/>
      <c r="K380" s="24" t="str">
        <f t="shared" si="29"/>
        <v/>
      </c>
      <c r="Q380" s="23"/>
      <c r="R380" s="24" t="str">
        <f t="shared" si="32"/>
        <v/>
      </c>
      <c r="S380" s="24" t="str">
        <f t="shared" si="33"/>
        <v/>
      </c>
      <c r="T380" t="str">
        <f t="shared" si="30"/>
        <v/>
      </c>
    </row>
    <row r="381" spans="1:20">
      <c r="A381" s="22" t="s">
        <v>475</v>
      </c>
      <c r="H381" s="22" t="str">
        <f t="shared" si="31"/>
        <v/>
      </c>
      <c r="J381" s="32"/>
      <c r="K381" s="24" t="str">
        <f t="shared" si="29"/>
        <v/>
      </c>
      <c r="Q381" s="23"/>
      <c r="R381" s="24" t="str">
        <f t="shared" si="32"/>
        <v/>
      </c>
      <c r="S381" s="24" t="str">
        <f t="shared" si="33"/>
        <v/>
      </c>
      <c r="T381" t="str">
        <f t="shared" si="30"/>
        <v/>
      </c>
    </row>
    <row r="382" spans="1:20">
      <c r="A382" s="22" t="s">
        <v>476</v>
      </c>
      <c r="H382" s="22" t="str">
        <f t="shared" si="31"/>
        <v/>
      </c>
      <c r="J382" s="32"/>
      <c r="K382" s="24" t="str">
        <f t="shared" si="29"/>
        <v/>
      </c>
      <c r="Q382" s="23"/>
      <c r="R382" s="24" t="str">
        <f t="shared" si="32"/>
        <v/>
      </c>
      <c r="S382" s="24" t="str">
        <f t="shared" si="33"/>
        <v/>
      </c>
      <c r="T382" t="str">
        <f t="shared" si="30"/>
        <v/>
      </c>
    </row>
    <row r="383" spans="1:20">
      <c r="A383" s="22" t="s">
        <v>477</v>
      </c>
      <c r="H383" s="22" t="str">
        <f t="shared" si="31"/>
        <v/>
      </c>
      <c r="J383" s="32"/>
      <c r="K383" s="24" t="str">
        <f t="shared" si="29"/>
        <v/>
      </c>
      <c r="Q383" s="23"/>
      <c r="R383" s="24" t="str">
        <f t="shared" si="32"/>
        <v/>
      </c>
      <c r="S383" s="24" t="str">
        <f t="shared" si="33"/>
        <v/>
      </c>
      <c r="T383" t="str">
        <f t="shared" si="30"/>
        <v/>
      </c>
    </row>
    <row r="384" spans="1:20">
      <c r="A384" s="22" t="s">
        <v>478</v>
      </c>
      <c r="H384" s="22" t="str">
        <f t="shared" si="31"/>
        <v/>
      </c>
      <c r="J384" s="32"/>
      <c r="K384" s="24" t="str">
        <f t="shared" si="29"/>
        <v/>
      </c>
      <c r="Q384" s="23"/>
      <c r="R384" s="24" t="str">
        <f t="shared" si="32"/>
        <v/>
      </c>
      <c r="S384" s="24" t="str">
        <f t="shared" si="33"/>
        <v/>
      </c>
      <c r="T384" t="str">
        <f t="shared" si="30"/>
        <v/>
      </c>
    </row>
    <row r="385" spans="1:20">
      <c r="A385" s="22" t="s">
        <v>479</v>
      </c>
      <c r="H385" s="22" t="str">
        <f t="shared" si="31"/>
        <v/>
      </c>
      <c r="J385" s="32"/>
      <c r="K385" s="24" t="str">
        <f t="shared" si="29"/>
        <v/>
      </c>
      <c r="Q385" s="23"/>
      <c r="R385" s="24" t="str">
        <f t="shared" si="32"/>
        <v/>
      </c>
      <c r="S385" s="24" t="str">
        <f t="shared" si="33"/>
        <v/>
      </c>
      <c r="T385" t="str">
        <f t="shared" si="30"/>
        <v/>
      </c>
    </row>
    <row r="386" spans="1:20">
      <c r="A386" s="22" t="s">
        <v>480</v>
      </c>
      <c r="H386" s="22" t="str">
        <f t="shared" si="31"/>
        <v/>
      </c>
      <c r="J386" s="32"/>
      <c r="K386" s="24" t="str">
        <f t="shared" si="29"/>
        <v/>
      </c>
      <c r="Q386" s="23"/>
      <c r="R386" s="24" t="str">
        <f t="shared" si="32"/>
        <v/>
      </c>
      <c r="S386" s="24" t="str">
        <f t="shared" si="33"/>
        <v/>
      </c>
      <c r="T386" t="str">
        <f t="shared" si="30"/>
        <v/>
      </c>
    </row>
    <row r="387" spans="1:20">
      <c r="A387" s="22" t="s">
        <v>481</v>
      </c>
      <c r="H387" s="22" t="str">
        <f t="shared" si="31"/>
        <v/>
      </c>
      <c r="J387" s="32"/>
      <c r="K387" s="24" t="str">
        <f t="shared" si="29"/>
        <v/>
      </c>
      <c r="Q387" s="23"/>
      <c r="R387" s="24" t="str">
        <f t="shared" si="32"/>
        <v/>
      </c>
      <c r="S387" s="24" t="str">
        <f t="shared" si="33"/>
        <v/>
      </c>
      <c r="T387" t="str">
        <f t="shared" si="30"/>
        <v/>
      </c>
    </row>
    <row r="388" spans="1:20">
      <c r="A388" s="22" t="s">
        <v>482</v>
      </c>
      <c r="H388" s="22" t="str">
        <f t="shared" si="31"/>
        <v/>
      </c>
      <c r="J388" s="32"/>
      <c r="K388" s="24" t="str">
        <f t="shared" si="29"/>
        <v/>
      </c>
      <c r="Q388" s="23"/>
      <c r="R388" s="24" t="str">
        <f t="shared" si="32"/>
        <v/>
      </c>
      <c r="S388" s="24" t="str">
        <f t="shared" si="33"/>
        <v/>
      </c>
      <c r="T388" t="str">
        <f t="shared" si="30"/>
        <v/>
      </c>
    </row>
    <row r="389" spans="1:20">
      <c r="A389" s="22" t="s">
        <v>483</v>
      </c>
      <c r="H389" s="22" t="str">
        <f t="shared" si="31"/>
        <v/>
      </c>
      <c r="J389" s="32"/>
      <c r="K389" s="24" t="str">
        <f t="shared" si="29"/>
        <v/>
      </c>
      <c r="Q389" s="23"/>
      <c r="R389" s="24" t="str">
        <f t="shared" si="32"/>
        <v/>
      </c>
      <c r="S389" s="24" t="str">
        <f t="shared" si="33"/>
        <v/>
      </c>
      <c r="T389" t="str">
        <f t="shared" si="30"/>
        <v/>
      </c>
    </row>
    <row r="390" spans="1:20">
      <c r="A390" s="22" t="s">
        <v>484</v>
      </c>
      <c r="H390" s="22" t="str">
        <f t="shared" si="31"/>
        <v/>
      </c>
      <c r="J390" s="32"/>
      <c r="K390" s="24" t="str">
        <f t="shared" si="29"/>
        <v/>
      </c>
      <c r="Q390" s="23"/>
      <c r="R390" s="24" t="str">
        <f t="shared" si="32"/>
        <v/>
      </c>
      <c r="S390" s="24" t="str">
        <f t="shared" si="33"/>
        <v/>
      </c>
      <c r="T390" t="str">
        <f t="shared" si="30"/>
        <v/>
      </c>
    </row>
    <row r="391" spans="1:20">
      <c r="A391" s="22" t="s">
        <v>485</v>
      </c>
      <c r="H391" s="22" t="str">
        <f t="shared" si="31"/>
        <v/>
      </c>
      <c r="J391" s="32"/>
      <c r="K391" s="24" t="str">
        <f t="shared" si="29"/>
        <v/>
      </c>
      <c r="Q391" s="23"/>
      <c r="R391" s="24" t="str">
        <f t="shared" si="32"/>
        <v/>
      </c>
      <c r="S391" s="24" t="str">
        <f t="shared" si="33"/>
        <v/>
      </c>
      <c r="T391" t="str">
        <f t="shared" si="30"/>
        <v/>
      </c>
    </row>
    <row r="392" spans="1:20">
      <c r="A392" s="22" t="s">
        <v>486</v>
      </c>
      <c r="H392" s="22" t="str">
        <f t="shared" si="31"/>
        <v/>
      </c>
      <c r="J392" s="32"/>
      <c r="K392" s="24" t="str">
        <f t="shared" si="29"/>
        <v/>
      </c>
      <c r="Q392" s="23"/>
      <c r="R392" s="24" t="str">
        <f t="shared" si="32"/>
        <v/>
      </c>
      <c r="S392" s="24" t="str">
        <f t="shared" si="33"/>
        <v/>
      </c>
      <c r="T392" t="str">
        <f t="shared" si="30"/>
        <v/>
      </c>
    </row>
    <row r="393" spans="1:20">
      <c r="A393" s="22" t="s">
        <v>487</v>
      </c>
      <c r="H393" s="22" t="str">
        <f t="shared" si="31"/>
        <v/>
      </c>
      <c r="J393" s="32"/>
      <c r="K393" s="24" t="str">
        <f t="shared" ref="K393:K456" si="34">IF(I393="","",IF(I393="ENTRADA",ABS(J393),-ABS(J393)))</f>
        <v/>
      </c>
      <c r="Q393" s="23"/>
      <c r="R393" s="24" t="str">
        <f t="shared" si="32"/>
        <v/>
      </c>
      <c r="S393" s="24" t="str">
        <f t="shared" si="33"/>
        <v/>
      </c>
      <c r="T393" t="str">
        <f t="shared" si="30"/>
        <v/>
      </c>
    </row>
    <row r="394" spans="1:20">
      <c r="A394" s="22" t="s">
        <v>488</v>
      </c>
      <c r="H394" s="22" t="str">
        <f t="shared" si="31"/>
        <v/>
      </c>
      <c r="J394" s="32"/>
      <c r="K394" s="24" t="str">
        <f t="shared" si="34"/>
        <v/>
      </c>
      <c r="Q394" s="23"/>
      <c r="R394" s="24" t="str">
        <f t="shared" si="32"/>
        <v/>
      </c>
      <c r="S394" s="24" t="str">
        <f t="shared" si="33"/>
        <v/>
      </c>
      <c r="T394" t="str">
        <f t="shared" si="30"/>
        <v/>
      </c>
    </row>
    <row r="395" spans="1:20">
      <c r="A395" s="22" t="s">
        <v>489</v>
      </c>
      <c r="H395" s="22" t="str">
        <f t="shared" si="31"/>
        <v/>
      </c>
      <c r="J395" s="32"/>
      <c r="K395" s="24" t="str">
        <f t="shared" si="34"/>
        <v/>
      </c>
      <c r="Q395" s="23"/>
      <c r="R395" s="24" t="str">
        <f t="shared" si="32"/>
        <v/>
      </c>
      <c r="S395" s="24" t="str">
        <f t="shared" si="33"/>
        <v/>
      </c>
      <c r="T395" t="str">
        <f t="shared" si="30"/>
        <v/>
      </c>
    </row>
    <row r="396" spans="1:20">
      <c r="A396" s="22" t="s">
        <v>490</v>
      </c>
      <c r="H396" s="22" t="str">
        <f t="shared" si="31"/>
        <v/>
      </c>
      <c r="J396" s="32"/>
      <c r="K396" s="24" t="str">
        <f t="shared" si="34"/>
        <v/>
      </c>
      <c r="Q396" s="23"/>
      <c r="R396" s="24" t="str">
        <f t="shared" si="32"/>
        <v/>
      </c>
      <c r="S396" s="24" t="str">
        <f t="shared" si="33"/>
        <v/>
      </c>
      <c r="T396" t="str">
        <f t="shared" si="30"/>
        <v/>
      </c>
    </row>
    <row r="397" spans="1:20">
      <c r="A397" s="22" t="s">
        <v>491</v>
      </c>
      <c r="H397" s="22" t="str">
        <f t="shared" si="31"/>
        <v/>
      </c>
      <c r="J397" s="32"/>
      <c r="K397" s="24" t="str">
        <f t="shared" si="34"/>
        <v/>
      </c>
      <c r="Q397" s="23"/>
      <c r="R397" s="24" t="str">
        <f t="shared" si="32"/>
        <v/>
      </c>
      <c r="S397" s="24" t="str">
        <f t="shared" si="33"/>
        <v/>
      </c>
      <c r="T397" t="str">
        <f t="shared" si="30"/>
        <v/>
      </c>
    </row>
    <row r="398" spans="1:20">
      <c r="A398" s="22" t="s">
        <v>492</v>
      </c>
      <c r="H398" s="22" t="str">
        <f t="shared" si="31"/>
        <v/>
      </c>
      <c r="J398" s="32"/>
      <c r="K398" s="24" t="str">
        <f t="shared" si="34"/>
        <v/>
      </c>
      <c r="Q398" s="23"/>
      <c r="R398" s="24" t="str">
        <f t="shared" si="32"/>
        <v/>
      </c>
      <c r="S398" s="24" t="str">
        <f t="shared" si="33"/>
        <v/>
      </c>
      <c r="T398" t="str">
        <f t="shared" si="30"/>
        <v/>
      </c>
    </row>
    <row r="399" spans="1:20">
      <c r="A399" s="22" t="s">
        <v>493</v>
      </c>
      <c r="H399" s="22" t="str">
        <f t="shared" si="31"/>
        <v/>
      </c>
      <c r="J399" s="32"/>
      <c r="K399" s="24" t="str">
        <f t="shared" si="34"/>
        <v/>
      </c>
      <c r="Q399" s="23"/>
      <c r="R399" s="24" t="str">
        <f t="shared" si="32"/>
        <v/>
      </c>
      <c r="S399" s="24" t="str">
        <f t="shared" si="33"/>
        <v/>
      </c>
      <c r="T399" t="str">
        <f t="shared" ref="T399:T462" si="35">IF(OR(C399="",I399&lt;&gt;"ENTRADA"),"",TEXT(B399,"AAMMDD")&amp;"-"&amp;TEXT(VALUE(SUBSTITUTE(A399,"MOV-","")),"000"))</f>
        <v/>
      </c>
    </row>
    <row r="400" spans="1:20">
      <c r="A400" s="22" t="s">
        <v>494</v>
      </c>
      <c r="H400" s="22" t="str">
        <f t="shared" ref="H400:H463" si="36">+T400</f>
        <v/>
      </c>
      <c r="J400" s="32"/>
      <c r="K400" s="24" t="str">
        <f t="shared" si="34"/>
        <v/>
      </c>
      <c r="Q400" s="23"/>
      <c r="R400" s="24" t="str">
        <f t="shared" ref="R400:R463" si="37">IF(H400="","",H400&amp;I400)</f>
        <v/>
      </c>
      <c r="S400" s="24" t="str">
        <f t="shared" ref="S400:S463" si="38">IF(C400="","",C400&amp;I400)</f>
        <v/>
      </c>
      <c r="T400" t="str">
        <f t="shared" si="35"/>
        <v/>
      </c>
    </row>
    <row r="401" spans="1:20">
      <c r="A401" s="22" t="s">
        <v>495</v>
      </c>
      <c r="H401" s="22" t="str">
        <f t="shared" si="36"/>
        <v/>
      </c>
      <c r="J401" s="32"/>
      <c r="K401" s="24" t="str">
        <f t="shared" si="34"/>
        <v/>
      </c>
      <c r="Q401" s="23"/>
      <c r="R401" s="24" t="str">
        <f t="shared" si="37"/>
        <v/>
      </c>
      <c r="S401" s="24" t="str">
        <f t="shared" si="38"/>
        <v/>
      </c>
      <c r="T401" t="str">
        <f t="shared" si="35"/>
        <v/>
      </c>
    </row>
    <row r="402" spans="1:20">
      <c r="A402" s="22" t="s">
        <v>496</v>
      </c>
      <c r="H402" s="22" t="str">
        <f t="shared" si="36"/>
        <v/>
      </c>
      <c r="J402" s="32"/>
      <c r="K402" s="24" t="str">
        <f t="shared" si="34"/>
        <v/>
      </c>
      <c r="Q402" s="23"/>
      <c r="R402" s="24" t="str">
        <f t="shared" si="37"/>
        <v/>
      </c>
      <c r="S402" s="24" t="str">
        <f t="shared" si="38"/>
        <v/>
      </c>
      <c r="T402" t="str">
        <f t="shared" si="35"/>
        <v/>
      </c>
    </row>
    <row r="403" spans="1:20">
      <c r="A403" s="22" t="s">
        <v>497</v>
      </c>
      <c r="H403" s="22" t="str">
        <f t="shared" si="36"/>
        <v/>
      </c>
      <c r="J403" s="32"/>
      <c r="K403" s="24" t="str">
        <f t="shared" si="34"/>
        <v/>
      </c>
      <c r="Q403" s="23"/>
      <c r="R403" s="24" t="str">
        <f t="shared" si="37"/>
        <v/>
      </c>
      <c r="S403" s="24" t="str">
        <f t="shared" si="38"/>
        <v/>
      </c>
      <c r="T403" t="str">
        <f t="shared" si="35"/>
        <v/>
      </c>
    </row>
    <row r="404" spans="1:20">
      <c r="A404" s="22" t="s">
        <v>498</v>
      </c>
      <c r="H404" s="22" t="str">
        <f t="shared" si="36"/>
        <v/>
      </c>
      <c r="J404" s="32"/>
      <c r="K404" s="24" t="str">
        <f t="shared" si="34"/>
        <v/>
      </c>
      <c r="Q404" s="23"/>
      <c r="R404" s="24" t="str">
        <f t="shared" si="37"/>
        <v/>
      </c>
      <c r="S404" s="24" t="str">
        <f t="shared" si="38"/>
        <v/>
      </c>
      <c r="T404" t="str">
        <f t="shared" si="35"/>
        <v/>
      </c>
    </row>
    <row r="405" spans="1:20">
      <c r="A405" s="22" t="s">
        <v>499</v>
      </c>
      <c r="H405" s="22" t="str">
        <f t="shared" si="36"/>
        <v/>
      </c>
      <c r="J405" s="32"/>
      <c r="K405" s="24" t="str">
        <f t="shared" si="34"/>
        <v/>
      </c>
      <c r="Q405" s="23"/>
      <c r="R405" s="24" t="str">
        <f t="shared" si="37"/>
        <v/>
      </c>
      <c r="S405" s="24" t="str">
        <f t="shared" si="38"/>
        <v/>
      </c>
      <c r="T405" t="str">
        <f t="shared" si="35"/>
        <v/>
      </c>
    </row>
    <row r="406" spans="1:20">
      <c r="A406" s="22" t="s">
        <v>500</v>
      </c>
      <c r="H406" s="22" t="str">
        <f t="shared" si="36"/>
        <v/>
      </c>
      <c r="J406" s="32"/>
      <c r="K406" s="24" t="str">
        <f t="shared" si="34"/>
        <v/>
      </c>
      <c r="Q406" s="23"/>
      <c r="R406" s="24" t="str">
        <f t="shared" si="37"/>
        <v/>
      </c>
      <c r="S406" s="24" t="str">
        <f t="shared" si="38"/>
        <v/>
      </c>
      <c r="T406" t="str">
        <f t="shared" si="35"/>
        <v/>
      </c>
    </row>
    <row r="407" spans="1:20">
      <c r="A407" s="22" t="s">
        <v>501</v>
      </c>
      <c r="H407" s="22" t="str">
        <f t="shared" si="36"/>
        <v/>
      </c>
      <c r="J407" s="32"/>
      <c r="K407" s="24" t="str">
        <f t="shared" si="34"/>
        <v/>
      </c>
      <c r="Q407" s="23"/>
      <c r="R407" s="24" t="str">
        <f t="shared" si="37"/>
        <v/>
      </c>
      <c r="S407" s="24" t="str">
        <f t="shared" si="38"/>
        <v/>
      </c>
      <c r="T407" t="str">
        <f t="shared" si="35"/>
        <v/>
      </c>
    </row>
    <row r="408" spans="1:20">
      <c r="A408" s="22" t="s">
        <v>502</v>
      </c>
      <c r="H408" s="22" t="str">
        <f t="shared" si="36"/>
        <v/>
      </c>
      <c r="J408" s="32"/>
      <c r="K408" s="24" t="str">
        <f t="shared" si="34"/>
        <v/>
      </c>
      <c r="Q408" s="23"/>
      <c r="R408" s="24" t="str">
        <f t="shared" si="37"/>
        <v/>
      </c>
      <c r="S408" s="24" t="str">
        <f t="shared" si="38"/>
        <v/>
      </c>
      <c r="T408" t="str">
        <f t="shared" si="35"/>
        <v/>
      </c>
    </row>
    <row r="409" spans="1:20">
      <c r="A409" s="22" t="s">
        <v>503</v>
      </c>
      <c r="H409" s="22" t="str">
        <f t="shared" si="36"/>
        <v/>
      </c>
      <c r="J409" s="32"/>
      <c r="K409" s="24" t="str">
        <f t="shared" si="34"/>
        <v/>
      </c>
      <c r="Q409" s="23"/>
      <c r="R409" s="24" t="str">
        <f t="shared" si="37"/>
        <v/>
      </c>
      <c r="S409" s="24" t="str">
        <f t="shared" si="38"/>
        <v/>
      </c>
      <c r="T409" t="str">
        <f t="shared" si="35"/>
        <v/>
      </c>
    </row>
    <row r="410" spans="1:20">
      <c r="A410" s="22" t="s">
        <v>504</v>
      </c>
      <c r="H410" s="22" t="str">
        <f t="shared" si="36"/>
        <v/>
      </c>
      <c r="J410" s="32"/>
      <c r="K410" s="24" t="str">
        <f t="shared" si="34"/>
        <v/>
      </c>
      <c r="Q410" s="23"/>
      <c r="R410" s="24" t="str">
        <f t="shared" si="37"/>
        <v/>
      </c>
      <c r="S410" s="24" t="str">
        <f t="shared" si="38"/>
        <v/>
      </c>
      <c r="T410" t="str">
        <f t="shared" si="35"/>
        <v/>
      </c>
    </row>
    <row r="411" spans="1:20">
      <c r="A411" s="22" t="s">
        <v>505</v>
      </c>
      <c r="H411" s="22" t="str">
        <f t="shared" si="36"/>
        <v/>
      </c>
      <c r="J411" s="32"/>
      <c r="K411" s="24" t="str">
        <f t="shared" si="34"/>
        <v/>
      </c>
      <c r="Q411" s="23"/>
      <c r="R411" s="24" t="str">
        <f t="shared" si="37"/>
        <v/>
      </c>
      <c r="S411" s="24" t="str">
        <f t="shared" si="38"/>
        <v/>
      </c>
      <c r="T411" t="str">
        <f t="shared" si="35"/>
        <v/>
      </c>
    </row>
    <row r="412" spans="1:20">
      <c r="A412" s="22" t="s">
        <v>506</v>
      </c>
      <c r="H412" s="22" t="str">
        <f t="shared" si="36"/>
        <v/>
      </c>
      <c r="J412" s="32"/>
      <c r="K412" s="24" t="str">
        <f t="shared" si="34"/>
        <v/>
      </c>
      <c r="Q412" s="23"/>
      <c r="R412" s="24" t="str">
        <f t="shared" si="37"/>
        <v/>
      </c>
      <c r="S412" s="24" t="str">
        <f t="shared" si="38"/>
        <v/>
      </c>
      <c r="T412" t="str">
        <f t="shared" si="35"/>
        <v/>
      </c>
    </row>
    <row r="413" spans="1:20">
      <c r="A413" s="22" t="s">
        <v>507</v>
      </c>
      <c r="H413" s="22" t="str">
        <f t="shared" si="36"/>
        <v/>
      </c>
      <c r="J413" s="32"/>
      <c r="K413" s="24" t="str">
        <f t="shared" si="34"/>
        <v/>
      </c>
      <c r="Q413" s="23"/>
      <c r="R413" s="24" t="str">
        <f t="shared" si="37"/>
        <v/>
      </c>
      <c r="S413" s="24" t="str">
        <f t="shared" si="38"/>
        <v/>
      </c>
      <c r="T413" t="str">
        <f t="shared" si="35"/>
        <v/>
      </c>
    </row>
    <row r="414" spans="1:20">
      <c r="A414" s="22" t="s">
        <v>508</v>
      </c>
      <c r="H414" s="22" t="str">
        <f t="shared" si="36"/>
        <v/>
      </c>
      <c r="J414" s="32"/>
      <c r="K414" s="24" t="str">
        <f t="shared" si="34"/>
        <v/>
      </c>
      <c r="Q414" s="23"/>
      <c r="R414" s="24" t="str">
        <f t="shared" si="37"/>
        <v/>
      </c>
      <c r="S414" s="24" t="str">
        <f t="shared" si="38"/>
        <v/>
      </c>
      <c r="T414" t="str">
        <f t="shared" si="35"/>
        <v/>
      </c>
    </row>
    <row r="415" spans="1:20">
      <c r="A415" s="22" t="s">
        <v>509</v>
      </c>
      <c r="H415" s="22" t="str">
        <f t="shared" si="36"/>
        <v/>
      </c>
      <c r="J415" s="32"/>
      <c r="K415" s="24" t="str">
        <f t="shared" si="34"/>
        <v/>
      </c>
      <c r="Q415" s="23"/>
      <c r="R415" s="24" t="str">
        <f t="shared" si="37"/>
        <v/>
      </c>
      <c r="S415" s="24" t="str">
        <f t="shared" si="38"/>
        <v/>
      </c>
      <c r="T415" t="str">
        <f t="shared" si="35"/>
        <v/>
      </c>
    </row>
    <row r="416" spans="1:20">
      <c r="A416" s="22" t="s">
        <v>510</v>
      </c>
      <c r="H416" s="22" t="str">
        <f t="shared" si="36"/>
        <v/>
      </c>
      <c r="J416" s="32"/>
      <c r="K416" s="24" t="str">
        <f t="shared" si="34"/>
        <v/>
      </c>
      <c r="Q416" s="23"/>
      <c r="R416" s="24" t="str">
        <f t="shared" si="37"/>
        <v/>
      </c>
      <c r="S416" s="24" t="str">
        <f t="shared" si="38"/>
        <v/>
      </c>
      <c r="T416" t="str">
        <f t="shared" si="35"/>
        <v/>
      </c>
    </row>
    <row r="417" spans="1:20">
      <c r="A417" s="22" t="s">
        <v>511</v>
      </c>
      <c r="H417" s="22" t="str">
        <f t="shared" si="36"/>
        <v/>
      </c>
      <c r="J417" s="32"/>
      <c r="K417" s="24" t="str">
        <f t="shared" si="34"/>
        <v/>
      </c>
      <c r="Q417" s="23"/>
      <c r="R417" s="24" t="str">
        <f t="shared" si="37"/>
        <v/>
      </c>
      <c r="S417" s="24" t="str">
        <f t="shared" si="38"/>
        <v/>
      </c>
      <c r="T417" t="str">
        <f t="shared" si="35"/>
        <v/>
      </c>
    </row>
    <row r="418" spans="1:20">
      <c r="A418" s="22" t="s">
        <v>512</v>
      </c>
      <c r="H418" s="22" t="str">
        <f t="shared" si="36"/>
        <v/>
      </c>
      <c r="J418" s="32"/>
      <c r="K418" s="24" t="str">
        <f t="shared" si="34"/>
        <v/>
      </c>
      <c r="Q418" s="23"/>
      <c r="R418" s="24" t="str">
        <f t="shared" si="37"/>
        <v/>
      </c>
      <c r="S418" s="24" t="str">
        <f t="shared" si="38"/>
        <v/>
      </c>
      <c r="T418" t="str">
        <f t="shared" si="35"/>
        <v/>
      </c>
    </row>
    <row r="419" spans="1:20">
      <c r="A419" s="22" t="s">
        <v>513</v>
      </c>
      <c r="H419" s="22" t="str">
        <f t="shared" si="36"/>
        <v/>
      </c>
      <c r="J419" s="32"/>
      <c r="K419" s="24" t="str">
        <f t="shared" si="34"/>
        <v/>
      </c>
      <c r="Q419" s="23"/>
      <c r="R419" s="24" t="str">
        <f t="shared" si="37"/>
        <v/>
      </c>
      <c r="S419" s="24" t="str">
        <f t="shared" si="38"/>
        <v/>
      </c>
      <c r="T419" t="str">
        <f t="shared" si="35"/>
        <v/>
      </c>
    </row>
    <row r="420" spans="1:20">
      <c r="A420" s="22" t="s">
        <v>514</v>
      </c>
      <c r="H420" s="22" t="str">
        <f t="shared" si="36"/>
        <v/>
      </c>
      <c r="J420" s="32"/>
      <c r="K420" s="24" t="str">
        <f t="shared" si="34"/>
        <v/>
      </c>
      <c r="Q420" s="23"/>
      <c r="R420" s="24" t="str">
        <f t="shared" si="37"/>
        <v/>
      </c>
      <c r="S420" s="24" t="str">
        <f t="shared" si="38"/>
        <v/>
      </c>
      <c r="T420" t="str">
        <f t="shared" si="35"/>
        <v/>
      </c>
    </row>
    <row r="421" spans="1:20">
      <c r="A421" s="22" t="s">
        <v>515</v>
      </c>
      <c r="H421" s="22" t="str">
        <f t="shared" si="36"/>
        <v/>
      </c>
      <c r="J421" s="32"/>
      <c r="K421" s="24" t="str">
        <f t="shared" si="34"/>
        <v/>
      </c>
      <c r="Q421" s="23"/>
      <c r="R421" s="24" t="str">
        <f t="shared" si="37"/>
        <v/>
      </c>
      <c r="S421" s="24" t="str">
        <f t="shared" si="38"/>
        <v/>
      </c>
      <c r="T421" t="str">
        <f t="shared" si="35"/>
        <v/>
      </c>
    </row>
    <row r="422" spans="1:20">
      <c r="A422" s="22" t="s">
        <v>516</v>
      </c>
      <c r="H422" s="22" t="str">
        <f t="shared" si="36"/>
        <v/>
      </c>
      <c r="J422" s="32"/>
      <c r="K422" s="24" t="str">
        <f t="shared" si="34"/>
        <v/>
      </c>
      <c r="Q422" s="23"/>
      <c r="R422" s="24" t="str">
        <f t="shared" si="37"/>
        <v/>
      </c>
      <c r="S422" s="24" t="str">
        <f t="shared" si="38"/>
        <v/>
      </c>
      <c r="T422" t="str">
        <f t="shared" si="35"/>
        <v/>
      </c>
    </row>
    <row r="423" spans="1:20">
      <c r="A423" s="22" t="s">
        <v>517</v>
      </c>
      <c r="H423" s="22" t="str">
        <f t="shared" si="36"/>
        <v/>
      </c>
      <c r="J423" s="32"/>
      <c r="K423" s="24" t="str">
        <f t="shared" si="34"/>
        <v/>
      </c>
      <c r="Q423" s="23"/>
      <c r="R423" s="24" t="str">
        <f t="shared" si="37"/>
        <v/>
      </c>
      <c r="S423" s="24" t="str">
        <f t="shared" si="38"/>
        <v/>
      </c>
      <c r="T423" t="str">
        <f t="shared" si="35"/>
        <v/>
      </c>
    </row>
    <row r="424" spans="1:20">
      <c r="A424" s="22" t="s">
        <v>518</v>
      </c>
      <c r="H424" s="22" t="str">
        <f t="shared" si="36"/>
        <v/>
      </c>
      <c r="J424" s="32"/>
      <c r="K424" s="24" t="str">
        <f t="shared" si="34"/>
        <v/>
      </c>
      <c r="Q424" s="23"/>
      <c r="R424" s="24" t="str">
        <f t="shared" si="37"/>
        <v/>
      </c>
      <c r="S424" s="24" t="str">
        <f t="shared" si="38"/>
        <v/>
      </c>
      <c r="T424" t="str">
        <f t="shared" si="35"/>
        <v/>
      </c>
    </row>
    <row r="425" spans="1:20">
      <c r="A425" s="22" t="s">
        <v>519</v>
      </c>
      <c r="H425" s="22" t="str">
        <f t="shared" si="36"/>
        <v/>
      </c>
      <c r="J425" s="32"/>
      <c r="K425" s="24" t="str">
        <f t="shared" si="34"/>
        <v/>
      </c>
      <c r="Q425" s="23"/>
      <c r="R425" s="24" t="str">
        <f t="shared" si="37"/>
        <v/>
      </c>
      <c r="S425" s="24" t="str">
        <f t="shared" si="38"/>
        <v/>
      </c>
      <c r="T425" t="str">
        <f t="shared" si="35"/>
        <v/>
      </c>
    </row>
    <row r="426" spans="1:20">
      <c r="A426" s="22" t="s">
        <v>520</v>
      </c>
      <c r="H426" s="22" t="str">
        <f t="shared" si="36"/>
        <v/>
      </c>
      <c r="J426" s="32"/>
      <c r="K426" s="24" t="str">
        <f t="shared" si="34"/>
        <v/>
      </c>
      <c r="Q426" s="23"/>
      <c r="R426" s="24" t="str">
        <f t="shared" si="37"/>
        <v/>
      </c>
      <c r="S426" s="24" t="str">
        <f t="shared" si="38"/>
        <v/>
      </c>
      <c r="T426" t="str">
        <f t="shared" si="35"/>
        <v/>
      </c>
    </row>
    <row r="427" spans="1:20">
      <c r="A427" s="22" t="s">
        <v>521</v>
      </c>
      <c r="H427" s="22" t="str">
        <f t="shared" si="36"/>
        <v/>
      </c>
      <c r="J427" s="32"/>
      <c r="K427" s="24" t="str">
        <f t="shared" si="34"/>
        <v/>
      </c>
      <c r="Q427" s="23"/>
      <c r="R427" s="24" t="str">
        <f t="shared" si="37"/>
        <v/>
      </c>
      <c r="S427" s="24" t="str">
        <f t="shared" si="38"/>
        <v/>
      </c>
      <c r="T427" t="str">
        <f t="shared" si="35"/>
        <v/>
      </c>
    </row>
    <row r="428" spans="1:20">
      <c r="A428" s="22" t="s">
        <v>522</v>
      </c>
      <c r="H428" s="22" t="str">
        <f t="shared" si="36"/>
        <v/>
      </c>
      <c r="J428" s="32"/>
      <c r="K428" s="24" t="str">
        <f t="shared" si="34"/>
        <v/>
      </c>
      <c r="Q428" s="23"/>
      <c r="R428" s="24" t="str">
        <f t="shared" si="37"/>
        <v/>
      </c>
      <c r="S428" s="24" t="str">
        <f t="shared" si="38"/>
        <v/>
      </c>
      <c r="T428" t="str">
        <f t="shared" si="35"/>
        <v/>
      </c>
    </row>
    <row r="429" spans="1:20">
      <c r="A429" s="22" t="s">
        <v>523</v>
      </c>
      <c r="H429" s="22" t="str">
        <f t="shared" si="36"/>
        <v/>
      </c>
      <c r="J429" s="32"/>
      <c r="K429" s="24" t="str">
        <f t="shared" si="34"/>
        <v/>
      </c>
      <c r="Q429" s="23"/>
      <c r="R429" s="24" t="str">
        <f t="shared" si="37"/>
        <v/>
      </c>
      <c r="S429" s="24" t="str">
        <f t="shared" si="38"/>
        <v/>
      </c>
      <c r="T429" t="str">
        <f t="shared" si="35"/>
        <v/>
      </c>
    </row>
    <row r="430" spans="1:20">
      <c r="A430" s="22" t="s">
        <v>524</v>
      </c>
      <c r="H430" s="22" t="str">
        <f t="shared" si="36"/>
        <v/>
      </c>
      <c r="J430" s="32"/>
      <c r="K430" s="24" t="str">
        <f t="shared" si="34"/>
        <v/>
      </c>
      <c r="Q430" s="23"/>
      <c r="R430" s="24" t="str">
        <f t="shared" si="37"/>
        <v/>
      </c>
      <c r="S430" s="24" t="str">
        <f t="shared" si="38"/>
        <v/>
      </c>
      <c r="T430" t="str">
        <f t="shared" si="35"/>
        <v/>
      </c>
    </row>
    <row r="431" spans="1:20">
      <c r="A431" s="22" t="s">
        <v>525</v>
      </c>
      <c r="H431" s="22" t="str">
        <f t="shared" si="36"/>
        <v/>
      </c>
      <c r="J431" s="32"/>
      <c r="K431" s="24" t="str">
        <f t="shared" si="34"/>
        <v/>
      </c>
      <c r="Q431" s="23"/>
      <c r="R431" s="24" t="str">
        <f t="shared" si="37"/>
        <v/>
      </c>
      <c r="S431" s="24" t="str">
        <f t="shared" si="38"/>
        <v/>
      </c>
      <c r="T431" t="str">
        <f t="shared" si="35"/>
        <v/>
      </c>
    </row>
    <row r="432" spans="1:20">
      <c r="A432" s="22" t="s">
        <v>526</v>
      </c>
      <c r="H432" s="22" t="str">
        <f t="shared" si="36"/>
        <v/>
      </c>
      <c r="J432" s="32"/>
      <c r="K432" s="24" t="str">
        <f t="shared" si="34"/>
        <v/>
      </c>
      <c r="Q432" s="23"/>
      <c r="R432" s="24" t="str">
        <f t="shared" si="37"/>
        <v/>
      </c>
      <c r="S432" s="24" t="str">
        <f t="shared" si="38"/>
        <v/>
      </c>
      <c r="T432" t="str">
        <f t="shared" si="35"/>
        <v/>
      </c>
    </row>
    <row r="433" spans="1:20">
      <c r="A433" s="22" t="s">
        <v>527</v>
      </c>
      <c r="H433" s="22" t="str">
        <f t="shared" si="36"/>
        <v/>
      </c>
      <c r="J433" s="32"/>
      <c r="K433" s="24" t="str">
        <f t="shared" si="34"/>
        <v/>
      </c>
      <c r="Q433" s="23"/>
      <c r="R433" s="24" t="str">
        <f t="shared" si="37"/>
        <v/>
      </c>
      <c r="S433" s="24" t="str">
        <f t="shared" si="38"/>
        <v/>
      </c>
      <c r="T433" t="str">
        <f t="shared" si="35"/>
        <v/>
      </c>
    </row>
    <row r="434" spans="1:20">
      <c r="A434" s="22" t="s">
        <v>528</v>
      </c>
      <c r="H434" s="22" t="str">
        <f t="shared" si="36"/>
        <v/>
      </c>
      <c r="J434" s="32"/>
      <c r="K434" s="24" t="str">
        <f t="shared" si="34"/>
        <v/>
      </c>
      <c r="Q434" s="23"/>
      <c r="R434" s="24" t="str">
        <f t="shared" si="37"/>
        <v/>
      </c>
      <c r="S434" s="24" t="str">
        <f t="shared" si="38"/>
        <v/>
      </c>
      <c r="T434" t="str">
        <f t="shared" si="35"/>
        <v/>
      </c>
    </row>
    <row r="435" spans="1:20">
      <c r="A435" s="22" t="s">
        <v>529</v>
      </c>
      <c r="H435" s="22" t="str">
        <f t="shared" si="36"/>
        <v/>
      </c>
      <c r="J435" s="32"/>
      <c r="K435" s="24" t="str">
        <f t="shared" si="34"/>
        <v/>
      </c>
      <c r="Q435" s="23"/>
      <c r="R435" s="24" t="str">
        <f t="shared" si="37"/>
        <v/>
      </c>
      <c r="S435" s="24" t="str">
        <f t="shared" si="38"/>
        <v/>
      </c>
      <c r="T435" t="str">
        <f t="shared" si="35"/>
        <v/>
      </c>
    </row>
    <row r="436" spans="1:20">
      <c r="A436" s="22" t="s">
        <v>530</v>
      </c>
      <c r="H436" s="22" t="str">
        <f t="shared" si="36"/>
        <v/>
      </c>
      <c r="J436" s="32"/>
      <c r="K436" s="24" t="str">
        <f t="shared" si="34"/>
        <v/>
      </c>
      <c r="Q436" s="23"/>
      <c r="R436" s="24" t="str">
        <f t="shared" si="37"/>
        <v/>
      </c>
      <c r="S436" s="24" t="str">
        <f t="shared" si="38"/>
        <v/>
      </c>
      <c r="T436" t="str">
        <f t="shared" si="35"/>
        <v/>
      </c>
    </row>
    <row r="437" spans="1:20">
      <c r="A437" s="22" t="s">
        <v>531</v>
      </c>
      <c r="H437" s="22" t="str">
        <f t="shared" si="36"/>
        <v/>
      </c>
      <c r="J437" s="32"/>
      <c r="K437" s="24" t="str">
        <f t="shared" si="34"/>
        <v/>
      </c>
      <c r="Q437" s="23"/>
      <c r="R437" s="24" t="str">
        <f t="shared" si="37"/>
        <v/>
      </c>
      <c r="S437" s="24" t="str">
        <f t="shared" si="38"/>
        <v/>
      </c>
      <c r="T437" t="str">
        <f t="shared" si="35"/>
        <v/>
      </c>
    </row>
    <row r="438" spans="1:20">
      <c r="A438" s="22" t="s">
        <v>532</v>
      </c>
      <c r="H438" s="22" t="str">
        <f t="shared" si="36"/>
        <v/>
      </c>
      <c r="J438" s="32"/>
      <c r="K438" s="24" t="str">
        <f t="shared" si="34"/>
        <v/>
      </c>
      <c r="Q438" s="23"/>
      <c r="R438" s="24" t="str">
        <f t="shared" si="37"/>
        <v/>
      </c>
      <c r="S438" s="24" t="str">
        <f t="shared" si="38"/>
        <v/>
      </c>
      <c r="T438" t="str">
        <f t="shared" si="35"/>
        <v/>
      </c>
    </row>
    <row r="439" spans="1:20">
      <c r="A439" s="22" t="s">
        <v>533</v>
      </c>
      <c r="H439" s="22" t="str">
        <f t="shared" si="36"/>
        <v/>
      </c>
      <c r="J439" s="32"/>
      <c r="K439" s="24" t="str">
        <f t="shared" si="34"/>
        <v/>
      </c>
      <c r="Q439" s="23"/>
      <c r="R439" s="24" t="str">
        <f t="shared" si="37"/>
        <v/>
      </c>
      <c r="S439" s="24" t="str">
        <f t="shared" si="38"/>
        <v/>
      </c>
      <c r="T439" t="str">
        <f t="shared" si="35"/>
        <v/>
      </c>
    </row>
    <row r="440" spans="1:20">
      <c r="A440" s="22" t="s">
        <v>534</v>
      </c>
      <c r="H440" s="22" t="str">
        <f t="shared" si="36"/>
        <v/>
      </c>
      <c r="J440" s="32"/>
      <c r="K440" s="24" t="str">
        <f t="shared" si="34"/>
        <v/>
      </c>
      <c r="Q440" s="23"/>
      <c r="R440" s="24" t="str">
        <f t="shared" si="37"/>
        <v/>
      </c>
      <c r="S440" s="24" t="str">
        <f t="shared" si="38"/>
        <v/>
      </c>
      <c r="T440" t="str">
        <f t="shared" si="35"/>
        <v/>
      </c>
    </row>
    <row r="441" spans="1:20">
      <c r="A441" s="22" t="s">
        <v>535</v>
      </c>
      <c r="H441" s="22" t="str">
        <f t="shared" si="36"/>
        <v/>
      </c>
      <c r="J441" s="32"/>
      <c r="K441" s="24" t="str">
        <f t="shared" si="34"/>
        <v/>
      </c>
      <c r="Q441" s="23"/>
      <c r="R441" s="24" t="str">
        <f t="shared" si="37"/>
        <v/>
      </c>
      <c r="S441" s="24" t="str">
        <f t="shared" si="38"/>
        <v/>
      </c>
      <c r="T441" t="str">
        <f t="shared" si="35"/>
        <v/>
      </c>
    </row>
    <row r="442" spans="1:20">
      <c r="A442" s="22" t="s">
        <v>536</v>
      </c>
      <c r="H442" s="22" t="str">
        <f t="shared" si="36"/>
        <v/>
      </c>
      <c r="J442" s="32"/>
      <c r="K442" s="24" t="str">
        <f t="shared" si="34"/>
        <v/>
      </c>
      <c r="Q442" s="23"/>
      <c r="R442" s="24" t="str">
        <f t="shared" si="37"/>
        <v/>
      </c>
      <c r="S442" s="24" t="str">
        <f t="shared" si="38"/>
        <v/>
      </c>
      <c r="T442" t="str">
        <f t="shared" si="35"/>
        <v/>
      </c>
    </row>
    <row r="443" spans="1:20">
      <c r="A443" s="22" t="s">
        <v>537</v>
      </c>
      <c r="H443" s="22" t="str">
        <f t="shared" si="36"/>
        <v/>
      </c>
      <c r="J443" s="32"/>
      <c r="K443" s="24" t="str">
        <f t="shared" si="34"/>
        <v/>
      </c>
      <c r="Q443" s="23"/>
      <c r="R443" s="24" t="str">
        <f t="shared" si="37"/>
        <v/>
      </c>
      <c r="S443" s="24" t="str">
        <f t="shared" si="38"/>
        <v/>
      </c>
      <c r="T443" t="str">
        <f t="shared" si="35"/>
        <v/>
      </c>
    </row>
    <row r="444" spans="1:20">
      <c r="A444" s="22" t="s">
        <v>538</v>
      </c>
      <c r="H444" s="22" t="str">
        <f t="shared" si="36"/>
        <v/>
      </c>
      <c r="J444" s="32"/>
      <c r="K444" s="24" t="str">
        <f t="shared" si="34"/>
        <v/>
      </c>
      <c r="Q444" s="23"/>
      <c r="R444" s="24" t="str">
        <f t="shared" si="37"/>
        <v/>
      </c>
      <c r="S444" s="24" t="str">
        <f t="shared" si="38"/>
        <v/>
      </c>
      <c r="T444" t="str">
        <f t="shared" si="35"/>
        <v/>
      </c>
    </row>
    <row r="445" spans="1:20">
      <c r="A445" s="22" t="s">
        <v>539</v>
      </c>
      <c r="H445" s="22" t="str">
        <f t="shared" si="36"/>
        <v/>
      </c>
      <c r="J445" s="32"/>
      <c r="K445" s="24" t="str">
        <f t="shared" si="34"/>
        <v/>
      </c>
      <c r="Q445" s="23"/>
      <c r="R445" s="24" t="str">
        <f t="shared" si="37"/>
        <v/>
      </c>
      <c r="S445" s="24" t="str">
        <f t="shared" si="38"/>
        <v/>
      </c>
      <c r="T445" t="str">
        <f t="shared" si="35"/>
        <v/>
      </c>
    </row>
    <row r="446" spans="1:20">
      <c r="A446" s="22" t="s">
        <v>540</v>
      </c>
      <c r="H446" s="22" t="str">
        <f t="shared" si="36"/>
        <v/>
      </c>
      <c r="J446" s="32"/>
      <c r="K446" s="24" t="str">
        <f t="shared" si="34"/>
        <v/>
      </c>
      <c r="Q446" s="23"/>
      <c r="R446" s="24" t="str">
        <f t="shared" si="37"/>
        <v/>
      </c>
      <c r="S446" s="24" t="str">
        <f t="shared" si="38"/>
        <v/>
      </c>
      <c r="T446" t="str">
        <f t="shared" si="35"/>
        <v/>
      </c>
    </row>
    <row r="447" spans="1:20">
      <c r="A447" s="22" t="s">
        <v>541</v>
      </c>
      <c r="H447" s="22" t="str">
        <f t="shared" si="36"/>
        <v/>
      </c>
      <c r="J447" s="32"/>
      <c r="K447" s="24" t="str">
        <f t="shared" si="34"/>
        <v/>
      </c>
      <c r="Q447" s="23"/>
      <c r="R447" s="24" t="str">
        <f t="shared" si="37"/>
        <v/>
      </c>
      <c r="S447" s="24" t="str">
        <f t="shared" si="38"/>
        <v/>
      </c>
      <c r="T447" t="str">
        <f t="shared" si="35"/>
        <v/>
      </c>
    </row>
    <row r="448" spans="1:20">
      <c r="A448" s="22" t="s">
        <v>542</v>
      </c>
      <c r="H448" s="22" t="str">
        <f t="shared" si="36"/>
        <v/>
      </c>
      <c r="J448" s="32"/>
      <c r="K448" s="24" t="str">
        <f t="shared" si="34"/>
        <v/>
      </c>
      <c r="Q448" s="23"/>
      <c r="R448" s="24" t="str">
        <f t="shared" si="37"/>
        <v/>
      </c>
      <c r="S448" s="24" t="str">
        <f t="shared" si="38"/>
        <v/>
      </c>
      <c r="T448" t="str">
        <f t="shared" si="35"/>
        <v/>
      </c>
    </row>
    <row r="449" spans="1:20">
      <c r="A449" s="22" t="s">
        <v>543</v>
      </c>
      <c r="H449" s="22" t="str">
        <f t="shared" si="36"/>
        <v/>
      </c>
      <c r="J449" s="32"/>
      <c r="K449" s="24" t="str">
        <f t="shared" si="34"/>
        <v/>
      </c>
      <c r="Q449" s="23"/>
      <c r="R449" s="24" t="str">
        <f t="shared" si="37"/>
        <v/>
      </c>
      <c r="S449" s="24" t="str">
        <f t="shared" si="38"/>
        <v/>
      </c>
      <c r="T449" t="str">
        <f t="shared" si="35"/>
        <v/>
      </c>
    </row>
    <row r="450" spans="1:20">
      <c r="A450" s="22" t="s">
        <v>544</v>
      </c>
      <c r="H450" s="22" t="str">
        <f t="shared" si="36"/>
        <v/>
      </c>
      <c r="J450" s="32"/>
      <c r="K450" s="24" t="str">
        <f t="shared" si="34"/>
        <v/>
      </c>
      <c r="Q450" s="23"/>
      <c r="R450" s="24" t="str">
        <f t="shared" si="37"/>
        <v/>
      </c>
      <c r="S450" s="24" t="str">
        <f t="shared" si="38"/>
        <v/>
      </c>
      <c r="T450" t="str">
        <f t="shared" si="35"/>
        <v/>
      </c>
    </row>
    <row r="451" spans="1:20">
      <c r="A451" s="22" t="s">
        <v>545</v>
      </c>
      <c r="H451" s="22" t="str">
        <f t="shared" si="36"/>
        <v/>
      </c>
      <c r="J451" s="32"/>
      <c r="K451" s="24" t="str">
        <f t="shared" si="34"/>
        <v/>
      </c>
      <c r="Q451" s="23"/>
      <c r="R451" s="24" t="str">
        <f t="shared" si="37"/>
        <v/>
      </c>
      <c r="S451" s="24" t="str">
        <f t="shared" si="38"/>
        <v/>
      </c>
      <c r="T451" t="str">
        <f t="shared" si="35"/>
        <v/>
      </c>
    </row>
    <row r="452" spans="1:20">
      <c r="A452" s="22" t="s">
        <v>546</v>
      </c>
      <c r="H452" s="22" t="str">
        <f t="shared" si="36"/>
        <v/>
      </c>
      <c r="J452" s="32"/>
      <c r="K452" s="24" t="str">
        <f t="shared" si="34"/>
        <v/>
      </c>
      <c r="Q452" s="23"/>
      <c r="R452" s="24" t="str">
        <f t="shared" si="37"/>
        <v/>
      </c>
      <c r="S452" s="24" t="str">
        <f t="shared" si="38"/>
        <v/>
      </c>
      <c r="T452" t="str">
        <f t="shared" si="35"/>
        <v/>
      </c>
    </row>
    <row r="453" spans="1:20">
      <c r="A453" s="22" t="s">
        <v>547</v>
      </c>
      <c r="H453" s="22" t="str">
        <f t="shared" si="36"/>
        <v/>
      </c>
      <c r="J453" s="32"/>
      <c r="K453" s="24" t="str">
        <f t="shared" si="34"/>
        <v/>
      </c>
      <c r="Q453" s="23"/>
      <c r="R453" s="24" t="str">
        <f t="shared" si="37"/>
        <v/>
      </c>
      <c r="S453" s="24" t="str">
        <f t="shared" si="38"/>
        <v/>
      </c>
      <c r="T453" t="str">
        <f t="shared" si="35"/>
        <v/>
      </c>
    </row>
    <row r="454" spans="1:20">
      <c r="A454" s="22" t="s">
        <v>548</v>
      </c>
      <c r="H454" s="22" t="str">
        <f t="shared" si="36"/>
        <v/>
      </c>
      <c r="J454" s="32"/>
      <c r="K454" s="24" t="str">
        <f t="shared" si="34"/>
        <v/>
      </c>
      <c r="Q454" s="23"/>
      <c r="R454" s="24" t="str">
        <f t="shared" si="37"/>
        <v/>
      </c>
      <c r="S454" s="24" t="str">
        <f t="shared" si="38"/>
        <v/>
      </c>
      <c r="T454" t="str">
        <f t="shared" si="35"/>
        <v/>
      </c>
    </row>
    <row r="455" spans="1:20">
      <c r="A455" s="22" t="s">
        <v>549</v>
      </c>
      <c r="H455" s="22" t="str">
        <f t="shared" si="36"/>
        <v/>
      </c>
      <c r="J455" s="32"/>
      <c r="K455" s="24" t="str">
        <f t="shared" si="34"/>
        <v/>
      </c>
      <c r="Q455" s="23"/>
      <c r="R455" s="24" t="str">
        <f t="shared" si="37"/>
        <v/>
      </c>
      <c r="S455" s="24" t="str">
        <f t="shared" si="38"/>
        <v/>
      </c>
      <c r="T455" t="str">
        <f t="shared" si="35"/>
        <v/>
      </c>
    </row>
    <row r="456" spans="1:20">
      <c r="A456" s="22" t="s">
        <v>550</v>
      </c>
      <c r="H456" s="22" t="str">
        <f t="shared" si="36"/>
        <v/>
      </c>
      <c r="J456" s="32"/>
      <c r="K456" s="24" t="str">
        <f t="shared" si="34"/>
        <v/>
      </c>
      <c r="Q456" s="23"/>
      <c r="R456" s="24" t="str">
        <f t="shared" si="37"/>
        <v/>
      </c>
      <c r="S456" s="24" t="str">
        <f t="shared" si="38"/>
        <v/>
      </c>
      <c r="T456" t="str">
        <f t="shared" si="35"/>
        <v/>
      </c>
    </row>
    <row r="457" spans="1:20">
      <c r="A457" s="22" t="s">
        <v>551</v>
      </c>
      <c r="H457" s="22" t="str">
        <f t="shared" si="36"/>
        <v/>
      </c>
      <c r="J457" s="32"/>
      <c r="K457" s="24" t="str">
        <f t="shared" ref="K457:K520" si="39">IF(I457="","",IF(I457="ENTRADA",ABS(J457),-ABS(J457)))</f>
        <v/>
      </c>
      <c r="Q457" s="23"/>
      <c r="R457" s="24" t="str">
        <f t="shared" si="37"/>
        <v/>
      </c>
      <c r="S457" s="24" t="str">
        <f t="shared" si="38"/>
        <v/>
      </c>
      <c r="T457" t="str">
        <f t="shared" si="35"/>
        <v/>
      </c>
    </row>
    <row r="458" spans="1:20">
      <c r="A458" s="22" t="s">
        <v>552</v>
      </c>
      <c r="H458" s="22" t="str">
        <f t="shared" si="36"/>
        <v/>
      </c>
      <c r="J458" s="32"/>
      <c r="K458" s="24" t="str">
        <f t="shared" si="39"/>
        <v/>
      </c>
      <c r="Q458" s="23"/>
      <c r="R458" s="24" t="str">
        <f t="shared" si="37"/>
        <v/>
      </c>
      <c r="S458" s="24" t="str">
        <f t="shared" si="38"/>
        <v/>
      </c>
      <c r="T458" t="str">
        <f t="shared" si="35"/>
        <v/>
      </c>
    </row>
    <row r="459" spans="1:20">
      <c r="A459" s="22" t="s">
        <v>553</v>
      </c>
      <c r="H459" s="22" t="str">
        <f t="shared" si="36"/>
        <v/>
      </c>
      <c r="J459" s="32"/>
      <c r="K459" s="24" t="str">
        <f t="shared" si="39"/>
        <v/>
      </c>
      <c r="Q459" s="23"/>
      <c r="R459" s="24" t="str">
        <f t="shared" si="37"/>
        <v/>
      </c>
      <c r="S459" s="24" t="str">
        <f t="shared" si="38"/>
        <v/>
      </c>
      <c r="T459" t="str">
        <f t="shared" si="35"/>
        <v/>
      </c>
    </row>
    <row r="460" spans="1:20">
      <c r="A460" s="22" t="s">
        <v>554</v>
      </c>
      <c r="H460" s="22" t="str">
        <f t="shared" si="36"/>
        <v/>
      </c>
      <c r="J460" s="32"/>
      <c r="K460" s="24" t="str">
        <f t="shared" si="39"/>
        <v/>
      </c>
      <c r="Q460" s="23"/>
      <c r="R460" s="24" t="str">
        <f t="shared" si="37"/>
        <v/>
      </c>
      <c r="S460" s="24" t="str">
        <f t="shared" si="38"/>
        <v/>
      </c>
      <c r="T460" t="str">
        <f t="shared" si="35"/>
        <v/>
      </c>
    </row>
    <row r="461" spans="1:20">
      <c r="A461" s="22" t="s">
        <v>555</v>
      </c>
      <c r="H461" s="22" t="str">
        <f t="shared" si="36"/>
        <v/>
      </c>
      <c r="J461" s="32"/>
      <c r="K461" s="24" t="str">
        <f t="shared" si="39"/>
        <v/>
      </c>
      <c r="Q461" s="23"/>
      <c r="R461" s="24" t="str">
        <f t="shared" si="37"/>
        <v/>
      </c>
      <c r="S461" s="24" t="str">
        <f t="shared" si="38"/>
        <v/>
      </c>
      <c r="T461" t="str">
        <f t="shared" si="35"/>
        <v/>
      </c>
    </row>
    <row r="462" spans="1:20">
      <c r="A462" s="22" t="s">
        <v>556</v>
      </c>
      <c r="H462" s="22" t="str">
        <f t="shared" si="36"/>
        <v/>
      </c>
      <c r="J462" s="32"/>
      <c r="K462" s="24" t="str">
        <f t="shared" si="39"/>
        <v/>
      </c>
      <c r="Q462" s="23"/>
      <c r="R462" s="24" t="str">
        <f t="shared" si="37"/>
        <v/>
      </c>
      <c r="S462" s="24" t="str">
        <f t="shared" si="38"/>
        <v/>
      </c>
      <c r="T462" t="str">
        <f t="shared" si="35"/>
        <v/>
      </c>
    </row>
    <row r="463" spans="1:20">
      <c r="A463" s="22" t="s">
        <v>557</v>
      </c>
      <c r="H463" s="22" t="str">
        <f t="shared" si="36"/>
        <v/>
      </c>
      <c r="J463" s="32"/>
      <c r="K463" s="24" t="str">
        <f t="shared" si="39"/>
        <v/>
      </c>
      <c r="Q463" s="23"/>
      <c r="R463" s="24" t="str">
        <f t="shared" si="37"/>
        <v/>
      </c>
      <c r="S463" s="24" t="str">
        <f t="shared" si="38"/>
        <v/>
      </c>
      <c r="T463" t="str">
        <f t="shared" ref="T463:T526" si="40">IF(OR(C463="",I463&lt;&gt;"ENTRADA"),"",TEXT(B463,"AAMMDD")&amp;"-"&amp;TEXT(VALUE(SUBSTITUTE(A463,"MOV-","")),"000"))</f>
        <v/>
      </c>
    </row>
    <row r="464" spans="1:20">
      <c r="A464" s="22" t="s">
        <v>558</v>
      </c>
      <c r="H464" s="22" t="str">
        <f t="shared" ref="H464:H527" si="41">+T464</f>
        <v/>
      </c>
      <c r="J464" s="32"/>
      <c r="K464" s="24" t="str">
        <f t="shared" si="39"/>
        <v/>
      </c>
      <c r="Q464" s="23"/>
      <c r="R464" s="24" t="str">
        <f t="shared" ref="R464:R527" si="42">IF(H464="","",H464&amp;I464)</f>
        <v/>
      </c>
      <c r="S464" s="24" t="str">
        <f t="shared" ref="S464:S527" si="43">IF(C464="","",C464&amp;I464)</f>
        <v/>
      </c>
      <c r="T464" t="str">
        <f t="shared" si="40"/>
        <v/>
      </c>
    </row>
    <row r="465" spans="1:20">
      <c r="A465" s="22" t="s">
        <v>559</v>
      </c>
      <c r="H465" s="22" t="str">
        <f t="shared" si="41"/>
        <v/>
      </c>
      <c r="J465" s="32"/>
      <c r="K465" s="24" t="str">
        <f t="shared" si="39"/>
        <v/>
      </c>
      <c r="Q465" s="23"/>
      <c r="R465" s="24" t="str">
        <f t="shared" si="42"/>
        <v/>
      </c>
      <c r="S465" s="24" t="str">
        <f t="shared" si="43"/>
        <v/>
      </c>
      <c r="T465" t="str">
        <f t="shared" si="40"/>
        <v/>
      </c>
    </row>
    <row r="466" spans="1:20">
      <c r="A466" s="22" t="s">
        <v>560</v>
      </c>
      <c r="H466" s="22" t="str">
        <f t="shared" si="41"/>
        <v/>
      </c>
      <c r="J466" s="32"/>
      <c r="K466" s="24" t="str">
        <f t="shared" si="39"/>
        <v/>
      </c>
      <c r="Q466" s="23"/>
      <c r="R466" s="24" t="str">
        <f t="shared" si="42"/>
        <v/>
      </c>
      <c r="S466" s="24" t="str">
        <f t="shared" si="43"/>
        <v/>
      </c>
      <c r="T466" t="str">
        <f t="shared" si="40"/>
        <v/>
      </c>
    </row>
    <row r="467" spans="1:20">
      <c r="A467" s="22" t="s">
        <v>561</v>
      </c>
      <c r="H467" s="22" t="str">
        <f t="shared" si="41"/>
        <v/>
      </c>
      <c r="J467" s="32"/>
      <c r="K467" s="24" t="str">
        <f t="shared" si="39"/>
        <v/>
      </c>
      <c r="Q467" s="23"/>
      <c r="R467" s="24" t="str">
        <f t="shared" si="42"/>
        <v/>
      </c>
      <c r="S467" s="24" t="str">
        <f t="shared" si="43"/>
        <v/>
      </c>
      <c r="T467" t="str">
        <f t="shared" si="40"/>
        <v/>
      </c>
    </row>
    <row r="468" spans="1:20">
      <c r="A468" s="22" t="s">
        <v>562</v>
      </c>
      <c r="H468" s="22" t="str">
        <f t="shared" si="41"/>
        <v/>
      </c>
      <c r="J468" s="32"/>
      <c r="K468" s="24" t="str">
        <f t="shared" si="39"/>
        <v/>
      </c>
      <c r="Q468" s="23"/>
      <c r="R468" s="24" t="str">
        <f t="shared" si="42"/>
        <v/>
      </c>
      <c r="S468" s="24" t="str">
        <f t="shared" si="43"/>
        <v/>
      </c>
      <c r="T468" t="str">
        <f t="shared" si="40"/>
        <v/>
      </c>
    </row>
    <row r="469" spans="1:20">
      <c r="A469" s="22" t="s">
        <v>563</v>
      </c>
      <c r="H469" s="22" t="str">
        <f t="shared" si="41"/>
        <v/>
      </c>
      <c r="J469" s="32"/>
      <c r="K469" s="24" t="str">
        <f t="shared" si="39"/>
        <v/>
      </c>
      <c r="Q469" s="23"/>
      <c r="R469" s="24" t="str">
        <f t="shared" si="42"/>
        <v/>
      </c>
      <c r="S469" s="24" t="str">
        <f t="shared" si="43"/>
        <v/>
      </c>
      <c r="T469" t="str">
        <f t="shared" si="40"/>
        <v/>
      </c>
    </row>
    <row r="470" spans="1:20">
      <c r="A470" s="22" t="s">
        <v>564</v>
      </c>
      <c r="H470" s="22" t="str">
        <f t="shared" si="41"/>
        <v/>
      </c>
      <c r="J470" s="32"/>
      <c r="K470" s="24" t="str">
        <f t="shared" si="39"/>
        <v/>
      </c>
      <c r="Q470" s="23"/>
      <c r="R470" s="24" t="str">
        <f t="shared" si="42"/>
        <v/>
      </c>
      <c r="S470" s="24" t="str">
        <f t="shared" si="43"/>
        <v/>
      </c>
      <c r="T470" t="str">
        <f t="shared" si="40"/>
        <v/>
      </c>
    </row>
    <row r="471" spans="1:20">
      <c r="A471" s="22" t="s">
        <v>565</v>
      </c>
      <c r="H471" s="22" t="str">
        <f t="shared" si="41"/>
        <v/>
      </c>
      <c r="J471" s="32"/>
      <c r="K471" s="24" t="str">
        <f t="shared" si="39"/>
        <v/>
      </c>
      <c r="Q471" s="23"/>
      <c r="R471" s="24" t="str">
        <f t="shared" si="42"/>
        <v/>
      </c>
      <c r="S471" s="24" t="str">
        <f t="shared" si="43"/>
        <v/>
      </c>
      <c r="T471" t="str">
        <f t="shared" si="40"/>
        <v/>
      </c>
    </row>
    <row r="472" spans="1:20">
      <c r="A472" s="22" t="s">
        <v>566</v>
      </c>
      <c r="H472" s="22" t="str">
        <f t="shared" si="41"/>
        <v/>
      </c>
      <c r="J472" s="32"/>
      <c r="K472" s="24" t="str">
        <f t="shared" si="39"/>
        <v/>
      </c>
      <c r="Q472" s="23"/>
      <c r="R472" s="24" t="str">
        <f t="shared" si="42"/>
        <v/>
      </c>
      <c r="S472" s="24" t="str">
        <f t="shared" si="43"/>
        <v/>
      </c>
      <c r="T472" t="str">
        <f t="shared" si="40"/>
        <v/>
      </c>
    </row>
    <row r="473" spans="1:20">
      <c r="A473" s="22" t="s">
        <v>567</v>
      </c>
      <c r="H473" s="22" t="str">
        <f t="shared" si="41"/>
        <v/>
      </c>
      <c r="J473" s="32"/>
      <c r="K473" s="24" t="str">
        <f t="shared" si="39"/>
        <v/>
      </c>
      <c r="Q473" s="23"/>
      <c r="R473" s="24" t="str">
        <f t="shared" si="42"/>
        <v/>
      </c>
      <c r="S473" s="24" t="str">
        <f t="shared" si="43"/>
        <v/>
      </c>
      <c r="T473" t="str">
        <f t="shared" si="40"/>
        <v/>
      </c>
    </row>
    <row r="474" spans="1:20">
      <c r="A474" s="22" t="s">
        <v>568</v>
      </c>
      <c r="H474" s="22" t="str">
        <f t="shared" si="41"/>
        <v/>
      </c>
      <c r="J474" s="32"/>
      <c r="K474" s="24" t="str">
        <f t="shared" si="39"/>
        <v/>
      </c>
      <c r="Q474" s="23"/>
      <c r="R474" s="24" t="str">
        <f t="shared" si="42"/>
        <v/>
      </c>
      <c r="S474" s="24" t="str">
        <f t="shared" si="43"/>
        <v/>
      </c>
      <c r="T474" t="str">
        <f t="shared" si="40"/>
        <v/>
      </c>
    </row>
    <row r="475" spans="1:20">
      <c r="A475" s="22" t="s">
        <v>569</v>
      </c>
      <c r="H475" s="22" t="str">
        <f t="shared" si="41"/>
        <v/>
      </c>
      <c r="J475" s="32"/>
      <c r="K475" s="24" t="str">
        <f t="shared" si="39"/>
        <v/>
      </c>
      <c r="Q475" s="23"/>
      <c r="R475" s="24" t="str">
        <f t="shared" si="42"/>
        <v/>
      </c>
      <c r="S475" s="24" t="str">
        <f t="shared" si="43"/>
        <v/>
      </c>
      <c r="T475" t="str">
        <f t="shared" si="40"/>
        <v/>
      </c>
    </row>
    <row r="476" spans="1:20">
      <c r="A476" s="22" t="s">
        <v>570</v>
      </c>
      <c r="H476" s="22" t="str">
        <f t="shared" si="41"/>
        <v/>
      </c>
      <c r="J476" s="32"/>
      <c r="K476" s="24" t="str">
        <f t="shared" si="39"/>
        <v/>
      </c>
      <c r="Q476" s="23"/>
      <c r="R476" s="24" t="str">
        <f t="shared" si="42"/>
        <v/>
      </c>
      <c r="S476" s="24" t="str">
        <f t="shared" si="43"/>
        <v/>
      </c>
      <c r="T476" t="str">
        <f t="shared" si="40"/>
        <v/>
      </c>
    </row>
    <row r="477" spans="1:20">
      <c r="A477" s="22" t="s">
        <v>571</v>
      </c>
      <c r="H477" s="22" t="str">
        <f t="shared" si="41"/>
        <v/>
      </c>
      <c r="J477" s="32"/>
      <c r="K477" s="24" t="str">
        <f t="shared" si="39"/>
        <v/>
      </c>
      <c r="Q477" s="23"/>
      <c r="R477" s="24" t="str">
        <f t="shared" si="42"/>
        <v/>
      </c>
      <c r="S477" s="24" t="str">
        <f t="shared" si="43"/>
        <v/>
      </c>
      <c r="T477" t="str">
        <f t="shared" si="40"/>
        <v/>
      </c>
    </row>
    <row r="478" spans="1:20">
      <c r="A478" s="22" t="s">
        <v>572</v>
      </c>
      <c r="H478" s="22" t="str">
        <f t="shared" si="41"/>
        <v/>
      </c>
      <c r="J478" s="32"/>
      <c r="K478" s="24" t="str">
        <f t="shared" si="39"/>
        <v/>
      </c>
      <c r="Q478" s="23"/>
      <c r="R478" s="24" t="str">
        <f t="shared" si="42"/>
        <v/>
      </c>
      <c r="S478" s="24" t="str">
        <f t="shared" si="43"/>
        <v/>
      </c>
      <c r="T478" t="str">
        <f t="shared" si="40"/>
        <v/>
      </c>
    </row>
    <row r="479" spans="1:20">
      <c r="A479" s="22" t="s">
        <v>573</v>
      </c>
      <c r="H479" s="22" t="str">
        <f t="shared" si="41"/>
        <v/>
      </c>
      <c r="J479" s="32"/>
      <c r="K479" s="24" t="str">
        <f t="shared" si="39"/>
        <v/>
      </c>
      <c r="Q479" s="23"/>
      <c r="R479" s="24" t="str">
        <f t="shared" si="42"/>
        <v/>
      </c>
      <c r="S479" s="24" t="str">
        <f t="shared" si="43"/>
        <v/>
      </c>
      <c r="T479" t="str">
        <f t="shared" si="40"/>
        <v/>
      </c>
    </row>
    <row r="480" spans="1:20">
      <c r="A480" s="22" t="s">
        <v>574</v>
      </c>
      <c r="H480" s="22" t="str">
        <f t="shared" si="41"/>
        <v/>
      </c>
      <c r="J480" s="32"/>
      <c r="K480" s="24" t="str">
        <f t="shared" si="39"/>
        <v/>
      </c>
      <c r="Q480" s="23"/>
      <c r="R480" s="24" t="str">
        <f t="shared" si="42"/>
        <v/>
      </c>
      <c r="S480" s="24" t="str">
        <f t="shared" si="43"/>
        <v/>
      </c>
      <c r="T480" t="str">
        <f t="shared" si="40"/>
        <v/>
      </c>
    </row>
    <row r="481" spans="1:20">
      <c r="A481" s="22" t="s">
        <v>575</v>
      </c>
      <c r="H481" s="22" t="str">
        <f t="shared" si="41"/>
        <v/>
      </c>
      <c r="J481" s="32"/>
      <c r="K481" s="24" t="str">
        <f t="shared" si="39"/>
        <v/>
      </c>
      <c r="Q481" s="23"/>
      <c r="R481" s="24" t="str">
        <f t="shared" si="42"/>
        <v/>
      </c>
      <c r="S481" s="24" t="str">
        <f t="shared" si="43"/>
        <v/>
      </c>
      <c r="T481" t="str">
        <f t="shared" si="40"/>
        <v/>
      </c>
    </row>
    <row r="482" spans="1:20">
      <c r="A482" s="22" t="s">
        <v>576</v>
      </c>
      <c r="H482" s="22" t="str">
        <f t="shared" si="41"/>
        <v/>
      </c>
      <c r="J482" s="32"/>
      <c r="K482" s="24" t="str">
        <f t="shared" si="39"/>
        <v/>
      </c>
      <c r="Q482" s="23"/>
      <c r="R482" s="24" t="str">
        <f t="shared" si="42"/>
        <v/>
      </c>
      <c r="S482" s="24" t="str">
        <f t="shared" si="43"/>
        <v/>
      </c>
      <c r="T482" t="str">
        <f t="shared" si="40"/>
        <v/>
      </c>
    </row>
    <row r="483" spans="1:20">
      <c r="A483" s="22" t="s">
        <v>577</v>
      </c>
      <c r="H483" s="22" t="str">
        <f t="shared" si="41"/>
        <v/>
      </c>
      <c r="J483" s="32"/>
      <c r="K483" s="24" t="str">
        <f t="shared" si="39"/>
        <v/>
      </c>
      <c r="Q483" s="23"/>
      <c r="R483" s="24" t="str">
        <f t="shared" si="42"/>
        <v/>
      </c>
      <c r="S483" s="24" t="str">
        <f t="shared" si="43"/>
        <v/>
      </c>
      <c r="T483" t="str">
        <f t="shared" si="40"/>
        <v/>
      </c>
    </row>
    <row r="484" spans="1:20">
      <c r="A484" s="22" t="s">
        <v>578</v>
      </c>
      <c r="H484" s="22" t="str">
        <f t="shared" si="41"/>
        <v/>
      </c>
      <c r="J484" s="32"/>
      <c r="K484" s="24" t="str">
        <f t="shared" si="39"/>
        <v/>
      </c>
      <c r="Q484" s="23"/>
      <c r="R484" s="24" t="str">
        <f t="shared" si="42"/>
        <v/>
      </c>
      <c r="S484" s="24" t="str">
        <f t="shared" si="43"/>
        <v/>
      </c>
      <c r="T484" t="str">
        <f t="shared" si="40"/>
        <v/>
      </c>
    </row>
    <row r="485" spans="1:20">
      <c r="A485" s="22" t="s">
        <v>579</v>
      </c>
      <c r="H485" s="22" t="str">
        <f t="shared" si="41"/>
        <v/>
      </c>
      <c r="J485" s="32"/>
      <c r="K485" s="24" t="str">
        <f t="shared" si="39"/>
        <v/>
      </c>
      <c r="Q485" s="23"/>
      <c r="R485" s="24" t="str">
        <f t="shared" si="42"/>
        <v/>
      </c>
      <c r="S485" s="24" t="str">
        <f t="shared" si="43"/>
        <v/>
      </c>
      <c r="T485" t="str">
        <f t="shared" si="40"/>
        <v/>
      </c>
    </row>
    <row r="486" spans="1:20">
      <c r="A486" s="22" t="s">
        <v>580</v>
      </c>
      <c r="H486" s="22" t="str">
        <f t="shared" si="41"/>
        <v/>
      </c>
      <c r="J486" s="32"/>
      <c r="K486" s="24" t="str">
        <f t="shared" si="39"/>
        <v/>
      </c>
      <c r="Q486" s="23"/>
      <c r="R486" s="24" t="str">
        <f t="shared" si="42"/>
        <v/>
      </c>
      <c r="S486" s="24" t="str">
        <f t="shared" si="43"/>
        <v/>
      </c>
      <c r="T486" t="str">
        <f t="shared" si="40"/>
        <v/>
      </c>
    </row>
    <row r="487" spans="1:20">
      <c r="A487" s="22" t="s">
        <v>581</v>
      </c>
      <c r="H487" s="22" t="str">
        <f t="shared" si="41"/>
        <v/>
      </c>
      <c r="J487" s="32"/>
      <c r="K487" s="24" t="str">
        <f t="shared" si="39"/>
        <v/>
      </c>
      <c r="Q487" s="23"/>
      <c r="R487" s="24" t="str">
        <f t="shared" si="42"/>
        <v/>
      </c>
      <c r="S487" s="24" t="str">
        <f t="shared" si="43"/>
        <v/>
      </c>
      <c r="T487" t="str">
        <f t="shared" si="40"/>
        <v/>
      </c>
    </row>
    <row r="488" spans="1:20">
      <c r="A488" s="22" t="s">
        <v>582</v>
      </c>
      <c r="H488" s="22" t="str">
        <f t="shared" si="41"/>
        <v/>
      </c>
      <c r="J488" s="32"/>
      <c r="K488" s="24" t="str">
        <f t="shared" si="39"/>
        <v/>
      </c>
      <c r="Q488" s="23"/>
      <c r="R488" s="24" t="str">
        <f t="shared" si="42"/>
        <v/>
      </c>
      <c r="S488" s="24" t="str">
        <f t="shared" si="43"/>
        <v/>
      </c>
      <c r="T488" t="str">
        <f t="shared" si="40"/>
        <v/>
      </c>
    </row>
    <row r="489" spans="1:20">
      <c r="A489" s="22" t="s">
        <v>583</v>
      </c>
      <c r="H489" s="22" t="str">
        <f t="shared" si="41"/>
        <v/>
      </c>
      <c r="J489" s="32"/>
      <c r="K489" s="24" t="str">
        <f t="shared" si="39"/>
        <v/>
      </c>
      <c r="Q489" s="23"/>
      <c r="R489" s="24" t="str">
        <f t="shared" si="42"/>
        <v/>
      </c>
      <c r="S489" s="24" t="str">
        <f t="shared" si="43"/>
        <v/>
      </c>
      <c r="T489" t="str">
        <f t="shared" si="40"/>
        <v/>
      </c>
    </row>
    <row r="490" spans="1:20">
      <c r="A490" s="22" t="s">
        <v>584</v>
      </c>
      <c r="H490" s="22" t="str">
        <f t="shared" si="41"/>
        <v/>
      </c>
      <c r="J490" s="32"/>
      <c r="K490" s="24" t="str">
        <f t="shared" si="39"/>
        <v/>
      </c>
      <c r="Q490" s="23"/>
      <c r="R490" s="24" t="str">
        <f t="shared" si="42"/>
        <v/>
      </c>
      <c r="S490" s="24" t="str">
        <f t="shared" si="43"/>
        <v/>
      </c>
      <c r="T490" t="str">
        <f t="shared" si="40"/>
        <v/>
      </c>
    </row>
    <row r="491" spans="1:20">
      <c r="A491" s="22" t="s">
        <v>585</v>
      </c>
      <c r="H491" s="22" t="str">
        <f t="shared" si="41"/>
        <v/>
      </c>
      <c r="J491" s="32"/>
      <c r="K491" s="24" t="str">
        <f t="shared" si="39"/>
        <v/>
      </c>
      <c r="Q491" s="23"/>
      <c r="R491" s="24" t="str">
        <f t="shared" si="42"/>
        <v/>
      </c>
      <c r="S491" s="24" t="str">
        <f t="shared" si="43"/>
        <v/>
      </c>
      <c r="T491" t="str">
        <f t="shared" si="40"/>
        <v/>
      </c>
    </row>
    <row r="492" spans="1:20">
      <c r="A492" s="22" t="s">
        <v>586</v>
      </c>
      <c r="H492" s="22" t="str">
        <f t="shared" si="41"/>
        <v/>
      </c>
      <c r="J492" s="32"/>
      <c r="K492" s="24" t="str">
        <f t="shared" si="39"/>
        <v/>
      </c>
      <c r="Q492" s="23"/>
      <c r="R492" s="24" t="str">
        <f t="shared" si="42"/>
        <v/>
      </c>
      <c r="S492" s="24" t="str">
        <f t="shared" si="43"/>
        <v/>
      </c>
      <c r="T492" t="str">
        <f t="shared" si="40"/>
        <v/>
      </c>
    </row>
    <row r="493" spans="1:20">
      <c r="A493" s="22" t="s">
        <v>587</v>
      </c>
      <c r="H493" s="22" t="str">
        <f t="shared" si="41"/>
        <v/>
      </c>
      <c r="J493" s="32"/>
      <c r="K493" s="24" t="str">
        <f t="shared" si="39"/>
        <v/>
      </c>
      <c r="Q493" s="23"/>
      <c r="R493" s="24" t="str">
        <f t="shared" si="42"/>
        <v/>
      </c>
      <c r="S493" s="24" t="str">
        <f t="shared" si="43"/>
        <v/>
      </c>
      <c r="T493" t="str">
        <f t="shared" si="40"/>
        <v/>
      </c>
    </row>
    <row r="494" spans="1:20">
      <c r="A494" s="22" t="s">
        <v>588</v>
      </c>
      <c r="H494" s="22" t="str">
        <f t="shared" si="41"/>
        <v/>
      </c>
      <c r="J494" s="32"/>
      <c r="K494" s="24" t="str">
        <f t="shared" si="39"/>
        <v/>
      </c>
      <c r="Q494" s="23"/>
      <c r="R494" s="24" t="str">
        <f t="shared" si="42"/>
        <v/>
      </c>
      <c r="S494" s="24" t="str">
        <f t="shared" si="43"/>
        <v/>
      </c>
      <c r="T494" t="str">
        <f t="shared" si="40"/>
        <v/>
      </c>
    </row>
    <row r="495" spans="1:20">
      <c r="A495" s="22" t="s">
        <v>589</v>
      </c>
      <c r="H495" s="22" t="str">
        <f t="shared" si="41"/>
        <v/>
      </c>
      <c r="J495" s="32"/>
      <c r="K495" s="24" t="str">
        <f t="shared" si="39"/>
        <v/>
      </c>
      <c r="Q495" s="23"/>
      <c r="R495" s="24" t="str">
        <f t="shared" si="42"/>
        <v/>
      </c>
      <c r="S495" s="24" t="str">
        <f t="shared" si="43"/>
        <v/>
      </c>
      <c r="T495" t="str">
        <f t="shared" si="40"/>
        <v/>
      </c>
    </row>
    <row r="496" spans="1:20">
      <c r="A496" s="22" t="s">
        <v>590</v>
      </c>
      <c r="H496" s="22" t="str">
        <f t="shared" si="41"/>
        <v/>
      </c>
      <c r="J496" s="32"/>
      <c r="K496" s="24" t="str">
        <f t="shared" si="39"/>
        <v/>
      </c>
      <c r="Q496" s="23"/>
      <c r="R496" s="24" t="str">
        <f t="shared" si="42"/>
        <v/>
      </c>
      <c r="S496" s="24" t="str">
        <f t="shared" si="43"/>
        <v/>
      </c>
      <c r="T496" t="str">
        <f t="shared" si="40"/>
        <v/>
      </c>
    </row>
    <row r="497" spans="1:20">
      <c r="A497" s="22" t="s">
        <v>591</v>
      </c>
      <c r="H497" s="22" t="str">
        <f t="shared" si="41"/>
        <v/>
      </c>
      <c r="J497" s="32"/>
      <c r="K497" s="24" t="str">
        <f t="shared" si="39"/>
        <v/>
      </c>
      <c r="Q497" s="23"/>
      <c r="R497" s="24" t="str">
        <f t="shared" si="42"/>
        <v/>
      </c>
      <c r="S497" s="24" t="str">
        <f t="shared" si="43"/>
        <v/>
      </c>
      <c r="T497" t="str">
        <f t="shared" si="40"/>
        <v/>
      </c>
    </row>
    <row r="498" spans="1:20">
      <c r="A498" s="22" t="s">
        <v>592</v>
      </c>
      <c r="H498" s="22" t="str">
        <f t="shared" si="41"/>
        <v/>
      </c>
      <c r="J498" s="32"/>
      <c r="K498" s="24" t="str">
        <f t="shared" si="39"/>
        <v/>
      </c>
      <c r="Q498" s="23"/>
      <c r="R498" s="24" t="str">
        <f t="shared" si="42"/>
        <v/>
      </c>
      <c r="S498" s="24" t="str">
        <f t="shared" si="43"/>
        <v/>
      </c>
      <c r="T498" t="str">
        <f t="shared" si="40"/>
        <v/>
      </c>
    </row>
    <row r="499" spans="1:20">
      <c r="A499" s="22" t="s">
        <v>593</v>
      </c>
      <c r="H499" s="22" t="str">
        <f t="shared" si="41"/>
        <v/>
      </c>
      <c r="J499" s="32"/>
      <c r="K499" s="24" t="str">
        <f t="shared" si="39"/>
        <v/>
      </c>
      <c r="Q499" s="23"/>
      <c r="R499" s="24" t="str">
        <f t="shared" si="42"/>
        <v/>
      </c>
      <c r="S499" s="24" t="str">
        <f t="shared" si="43"/>
        <v/>
      </c>
      <c r="T499" t="str">
        <f t="shared" si="40"/>
        <v/>
      </c>
    </row>
    <row r="500" spans="1:20">
      <c r="A500" s="22" t="s">
        <v>594</v>
      </c>
      <c r="H500" s="22" t="str">
        <f t="shared" si="41"/>
        <v/>
      </c>
      <c r="J500" s="32"/>
      <c r="K500" s="24" t="str">
        <f t="shared" si="39"/>
        <v/>
      </c>
      <c r="Q500" s="23"/>
      <c r="R500" s="24" t="str">
        <f t="shared" si="42"/>
        <v/>
      </c>
      <c r="S500" s="24" t="str">
        <f t="shared" si="43"/>
        <v/>
      </c>
      <c r="T500" t="str">
        <f t="shared" si="40"/>
        <v/>
      </c>
    </row>
    <row r="501" spans="1:20">
      <c r="A501" s="22" t="s">
        <v>595</v>
      </c>
      <c r="H501" s="22" t="str">
        <f t="shared" si="41"/>
        <v/>
      </c>
      <c r="J501" s="32"/>
      <c r="K501" s="24" t="str">
        <f t="shared" si="39"/>
        <v/>
      </c>
      <c r="Q501" s="23"/>
      <c r="R501" s="24" t="str">
        <f t="shared" si="42"/>
        <v/>
      </c>
      <c r="S501" s="24" t="str">
        <f t="shared" si="43"/>
        <v/>
      </c>
      <c r="T501" t="str">
        <f t="shared" si="40"/>
        <v/>
      </c>
    </row>
    <row r="502" spans="1:20">
      <c r="A502" s="22" t="s">
        <v>596</v>
      </c>
      <c r="H502" s="22" t="str">
        <f t="shared" si="41"/>
        <v/>
      </c>
      <c r="J502" s="32"/>
      <c r="K502" s="24" t="str">
        <f t="shared" si="39"/>
        <v/>
      </c>
      <c r="Q502" s="23"/>
      <c r="R502" s="24" t="str">
        <f t="shared" si="42"/>
        <v/>
      </c>
      <c r="S502" s="24" t="str">
        <f t="shared" si="43"/>
        <v/>
      </c>
      <c r="T502" t="str">
        <f t="shared" si="40"/>
        <v/>
      </c>
    </row>
    <row r="503" spans="1:20">
      <c r="A503" s="22" t="s">
        <v>597</v>
      </c>
      <c r="H503" s="22" t="str">
        <f t="shared" si="41"/>
        <v/>
      </c>
      <c r="J503" s="32"/>
      <c r="K503" s="24" t="str">
        <f t="shared" si="39"/>
        <v/>
      </c>
      <c r="Q503" s="23"/>
      <c r="R503" s="24" t="str">
        <f t="shared" si="42"/>
        <v/>
      </c>
      <c r="S503" s="24" t="str">
        <f t="shared" si="43"/>
        <v/>
      </c>
      <c r="T503" t="str">
        <f t="shared" si="40"/>
        <v/>
      </c>
    </row>
    <row r="504" spans="1:20">
      <c r="A504" s="22" t="s">
        <v>598</v>
      </c>
      <c r="H504" s="22" t="str">
        <f t="shared" si="41"/>
        <v/>
      </c>
      <c r="J504" s="32"/>
      <c r="K504" s="24" t="str">
        <f t="shared" si="39"/>
        <v/>
      </c>
      <c r="Q504" s="23"/>
      <c r="R504" s="24" t="str">
        <f t="shared" si="42"/>
        <v/>
      </c>
      <c r="S504" s="24" t="str">
        <f t="shared" si="43"/>
        <v/>
      </c>
      <c r="T504" t="str">
        <f t="shared" si="40"/>
        <v/>
      </c>
    </row>
    <row r="505" spans="1:20">
      <c r="A505" s="22" t="s">
        <v>599</v>
      </c>
      <c r="H505" s="22" t="str">
        <f t="shared" si="41"/>
        <v/>
      </c>
      <c r="J505" s="32"/>
      <c r="K505" s="24" t="str">
        <f t="shared" si="39"/>
        <v/>
      </c>
      <c r="R505" s="24" t="str">
        <f t="shared" si="42"/>
        <v/>
      </c>
      <c r="S505" s="24" t="str">
        <f t="shared" si="43"/>
        <v/>
      </c>
      <c r="T505" t="str">
        <f t="shared" si="40"/>
        <v/>
      </c>
    </row>
    <row r="506" spans="1:20">
      <c r="A506" s="22" t="s">
        <v>600</v>
      </c>
      <c r="H506" s="22" t="str">
        <f t="shared" si="41"/>
        <v/>
      </c>
      <c r="J506" s="32"/>
      <c r="K506" s="24" t="str">
        <f t="shared" si="39"/>
        <v/>
      </c>
      <c r="R506" s="24" t="str">
        <f t="shared" si="42"/>
        <v/>
      </c>
      <c r="S506" s="24" t="str">
        <f t="shared" si="43"/>
        <v/>
      </c>
      <c r="T506" t="str">
        <f t="shared" si="40"/>
        <v/>
      </c>
    </row>
    <row r="507" spans="1:20">
      <c r="A507" s="22" t="s">
        <v>601</v>
      </c>
      <c r="H507" s="22" t="str">
        <f t="shared" si="41"/>
        <v/>
      </c>
      <c r="J507" s="32"/>
      <c r="K507" s="24" t="str">
        <f t="shared" si="39"/>
        <v/>
      </c>
      <c r="R507" s="24" t="str">
        <f t="shared" si="42"/>
        <v/>
      </c>
      <c r="S507" s="24" t="str">
        <f t="shared" si="43"/>
        <v/>
      </c>
      <c r="T507" t="str">
        <f t="shared" si="40"/>
        <v/>
      </c>
    </row>
    <row r="508" spans="1:20">
      <c r="A508" s="22" t="s">
        <v>602</v>
      </c>
      <c r="H508" s="22" t="str">
        <f t="shared" si="41"/>
        <v/>
      </c>
      <c r="J508" s="32"/>
      <c r="K508" s="24" t="str">
        <f t="shared" si="39"/>
        <v/>
      </c>
      <c r="R508" s="24" t="str">
        <f t="shared" si="42"/>
        <v/>
      </c>
      <c r="S508" s="24" t="str">
        <f t="shared" si="43"/>
        <v/>
      </c>
      <c r="T508" t="str">
        <f t="shared" si="40"/>
        <v/>
      </c>
    </row>
    <row r="509" spans="1:20">
      <c r="A509" s="22" t="s">
        <v>603</v>
      </c>
      <c r="H509" s="22" t="str">
        <f t="shared" si="41"/>
        <v/>
      </c>
      <c r="J509" s="32"/>
      <c r="K509" s="24" t="str">
        <f t="shared" si="39"/>
        <v/>
      </c>
      <c r="R509" s="24" t="str">
        <f t="shared" si="42"/>
        <v/>
      </c>
      <c r="S509" s="24" t="str">
        <f t="shared" si="43"/>
        <v/>
      </c>
      <c r="T509" t="str">
        <f t="shared" si="40"/>
        <v/>
      </c>
    </row>
    <row r="510" spans="1:20">
      <c r="A510" s="22" t="s">
        <v>604</v>
      </c>
      <c r="H510" s="22" t="str">
        <f t="shared" si="41"/>
        <v/>
      </c>
      <c r="J510" s="32"/>
      <c r="K510" s="24" t="str">
        <f t="shared" si="39"/>
        <v/>
      </c>
      <c r="R510" s="24" t="str">
        <f t="shared" si="42"/>
        <v/>
      </c>
      <c r="S510" s="24" t="str">
        <f t="shared" si="43"/>
        <v/>
      </c>
      <c r="T510" t="str">
        <f t="shared" si="40"/>
        <v/>
      </c>
    </row>
    <row r="511" spans="1:20">
      <c r="A511" s="22" t="s">
        <v>605</v>
      </c>
      <c r="H511" s="22" t="str">
        <f t="shared" si="41"/>
        <v/>
      </c>
      <c r="J511" s="32"/>
      <c r="K511" s="24" t="str">
        <f t="shared" si="39"/>
        <v/>
      </c>
      <c r="R511" s="24" t="str">
        <f t="shared" si="42"/>
        <v/>
      </c>
      <c r="S511" s="24" t="str">
        <f t="shared" si="43"/>
        <v/>
      </c>
      <c r="T511" t="str">
        <f t="shared" si="40"/>
        <v/>
      </c>
    </row>
    <row r="512" spans="1:20">
      <c r="A512" s="22" t="s">
        <v>606</v>
      </c>
      <c r="H512" s="22" t="str">
        <f t="shared" si="41"/>
        <v/>
      </c>
      <c r="J512" s="32"/>
      <c r="K512" s="24" t="str">
        <f t="shared" si="39"/>
        <v/>
      </c>
      <c r="R512" s="24" t="str">
        <f t="shared" si="42"/>
        <v/>
      </c>
      <c r="S512" s="24" t="str">
        <f t="shared" si="43"/>
        <v/>
      </c>
      <c r="T512" t="str">
        <f t="shared" si="40"/>
        <v/>
      </c>
    </row>
    <row r="513" spans="1:20">
      <c r="A513" s="22" t="s">
        <v>607</v>
      </c>
      <c r="H513" s="22" t="str">
        <f t="shared" si="41"/>
        <v/>
      </c>
      <c r="J513" s="32"/>
      <c r="K513" s="24" t="str">
        <f t="shared" si="39"/>
        <v/>
      </c>
      <c r="R513" s="24" t="str">
        <f t="shared" si="42"/>
        <v/>
      </c>
      <c r="S513" s="24" t="str">
        <f t="shared" si="43"/>
        <v/>
      </c>
      <c r="T513" t="str">
        <f t="shared" si="40"/>
        <v/>
      </c>
    </row>
    <row r="514" spans="1:20">
      <c r="A514" s="22" t="s">
        <v>608</v>
      </c>
      <c r="H514" s="22" t="str">
        <f t="shared" si="41"/>
        <v/>
      </c>
      <c r="J514" s="32"/>
      <c r="K514" s="24" t="str">
        <f t="shared" si="39"/>
        <v/>
      </c>
      <c r="R514" s="24" t="str">
        <f t="shared" si="42"/>
        <v/>
      </c>
      <c r="S514" s="24" t="str">
        <f t="shared" si="43"/>
        <v/>
      </c>
      <c r="T514" t="str">
        <f t="shared" si="40"/>
        <v/>
      </c>
    </row>
    <row r="515" spans="1:20">
      <c r="A515" s="22" t="s">
        <v>609</v>
      </c>
      <c r="H515" s="22" t="str">
        <f t="shared" si="41"/>
        <v/>
      </c>
      <c r="J515" s="32"/>
      <c r="K515" s="24" t="str">
        <f t="shared" si="39"/>
        <v/>
      </c>
      <c r="R515" s="24" t="str">
        <f t="shared" si="42"/>
        <v/>
      </c>
      <c r="S515" s="24" t="str">
        <f t="shared" si="43"/>
        <v/>
      </c>
      <c r="T515" t="str">
        <f t="shared" si="40"/>
        <v/>
      </c>
    </row>
    <row r="516" spans="1:20">
      <c r="A516" s="22" t="s">
        <v>610</v>
      </c>
      <c r="H516" s="22" t="str">
        <f t="shared" si="41"/>
        <v/>
      </c>
      <c r="J516" s="32"/>
      <c r="K516" s="24" t="str">
        <f t="shared" si="39"/>
        <v/>
      </c>
      <c r="R516" s="24" t="str">
        <f t="shared" si="42"/>
        <v/>
      </c>
      <c r="S516" s="24" t="str">
        <f t="shared" si="43"/>
        <v/>
      </c>
      <c r="T516" t="str">
        <f t="shared" si="40"/>
        <v/>
      </c>
    </row>
    <row r="517" spans="1:20">
      <c r="A517" s="22" t="s">
        <v>611</v>
      </c>
      <c r="H517" s="22" t="str">
        <f t="shared" si="41"/>
        <v/>
      </c>
      <c r="J517" s="32"/>
      <c r="K517" s="24" t="str">
        <f t="shared" si="39"/>
        <v/>
      </c>
      <c r="R517" s="24" t="str">
        <f t="shared" si="42"/>
        <v/>
      </c>
      <c r="S517" s="24" t="str">
        <f t="shared" si="43"/>
        <v/>
      </c>
      <c r="T517" t="str">
        <f t="shared" si="40"/>
        <v/>
      </c>
    </row>
    <row r="518" spans="1:20">
      <c r="A518" s="22" t="s">
        <v>612</v>
      </c>
      <c r="H518" s="22" t="str">
        <f t="shared" si="41"/>
        <v/>
      </c>
      <c r="J518" s="32"/>
      <c r="K518" s="24" t="str">
        <f t="shared" si="39"/>
        <v/>
      </c>
      <c r="R518" s="24" t="str">
        <f t="shared" si="42"/>
        <v/>
      </c>
      <c r="S518" s="24" t="str">
        <f t="shared" si="43"/>
        <v/>
      </c>
      <c r="T518" t="str">
        <f t="shared" si="40"/>
        <v/>
      </c>
    </row>
    <row r="519" spans="1:20">
      <c r="A519" s="22" t="s">
        <v>613</v>
      </c>
      <c r="H519" s="22" t="str">
        <f t="shared" si="41"/>
        <v/>
      </c>
      <c r="J519" s="32"/>
      <c r="K519" s="24" t="str">
        <f t="shared" si="39"/>
        <v/>
      </c>
      <c r="R519" s="24" t="str">
        <f t="shared" si="42"/>
        <v/>
      </c>
      <c r="S519" s="24" t="str">
        <f t="shared" si="43"/>
        <v/>
      </c>
      <c r="T519" t="str">
        <f t="shared" si="40"/>
        <v/>
      </c>
    </row>
    <row r="520" spans="1:20">
      <c r="A520" s="22" t="s">
        <v>614</v>
      </c>
      <c r="H520" s="22" t="str">
        <f t="shared" si="41"/>
        <v/>
      </c>
      <c r="J520" s="32"/>
      <c r="K520" s="24" t="str">
        <f t="shared" si="39"/>
        <v/>
      </c>
      <c r="R520" s="24" t="str">
        <f t="shared" si="42"/>
        <v/>
      </c>
      <c r="S520" s="24" t="str">
        <f t="shared" si="43"/>
        <v/>
      </c>
      <c r="T520" t="str">
        <f t="shared" si="40"/>
        <v/>
      </c>
    </row>
    <row r="521" spans="1:20">
      <c r="A521" s="22" t="s">
        <v>615</v>
      </c>
      <c r="H521" s="22" t="str">
        <f t="shared" si="41"/>
        <v/>
      </c>
      <c r="J521" s="32"/>
      <c r="K521" s="24" t="str">
        <f t="shared" ref="K521:K584" si="44">IF(I521="","",IF(I521="ENTRADA",ABS(J521),-ABS(J521)))</f>
        <v/>
      </c>
      <c r="R521" s="24" t="str">
        <f t="shared" si="42"/>
        <v/>
      </c>
      <c r="S521" s="24" t="str">
        <f t="shared" si="43"/>
        <v/>
      </c>
      <c r="T521" t="str">
        <f t="shared" si="40"/>
        <v/>
      </c>
    </row>
    <row r="522" spans="1:20">
      <c r="A522" s="22" t="s">
        <v>616</v>
      </c>
      <c r="H522" s="22" t="str">
        <f t="shared" si="41"/>
        <v/>
      </c>
      <c r="J522" s="32"/>
      <c r="K522" s="24" t="str">
        <f t="shared" si="44"/>
        <v/>
      </c>
      <c r="R522" s="24" t="str">
        <f t="shared" si="42"/>
        <v/>
      </c>
      <c r="S522" s="24" t="str">
        <f t="shared" si="43"/>
        <v/>
      </c>
      <c r="T522" t="str">
        <f t="shared" si="40"/>
        <v/>
      </c>
    </row>
    <row r="523" spans="1:20">
      <c r="A523" s="22" t="s">
        <v>617</v>
      </c>
      <c r="H523" s="22" t="str">
        <f t="shared" si="41"/>
        <v/>
      </c>
      <c r="J523" s="32"/>
      <c r="K523" s="24" t="str">
        <f t="shared" si="44"/>
        <v/>
      </c>
      <c r="R523" s="24" t="str">
        <f t="shared" si="42"/>
        <v/>
      </c>
      <c r="S523" s="24" t="str">
        <f t="shared" si="43"/>
        <v/>
      </c>
      <c r="T523" t="str">
        <f t="shared" si="40"/>
        <v/>
      </c>
    </row>
    <row r="524" spans="1:20">
      <c r="A524" s="22" t="s">
        <v>618</v>
      </c>
      <c r="H524" s="22" t="str">
        <f t="shared" si="41"/>
        <v/>
      </c>
      <c r="J524" s="32"/>
      <c r="K524" s="24" t="str">
        <f t="shared" si="44"/>
        <v/>
      </c>
      <c r="R524" s="24" t="str">
        <f t="shared" si="42"/>
        <v/>
      </c>
      <c r="S524" s="24" t="str">
        <f t="shared" si="43"/>
        <v/>
      </c>
      <c r="T524" t="str">
        <f t="shared" si="40"/>
        <v/>
      </c>
    </row>
    <row r="525" spans="1:20">
      <c r="A525" s="22" t="s">
        <v>619</v>
      </c>
      <c r="H525" s="22" t="str">
        <f t="shared" si="41"/>
        <v/>
      </c>
      <c r="J525" s="32"/>
      <c r="K525" s="24" t="str">
        <f t="shared" si="44"/>
        <v/>
      </c>
      <c r="R525" s="24" t="str">
        <f t="shared" si="42"/>
        <v/>
      </c>
      <c r="S525" s="24" t="str">
        <f t="shared" si="43"/>
        <v/>
      </c>
      <c r="T525" t="str">
        <f t="shared" si="40"/>
        <v/>
      </c>
    </row>
    <row r="526" spans="1:20">
      <c r="A526" s="22" t="s">
        <v>620</v>
      </c>
      <c r="H526" s="22" t="str">
        <f t="shared" si="41"/>
        <v/>
      </c>
      <c r="J526" s="32"/>
      <c r="K526" s="24" t="str">
        <f t="shared" si="44"/>
        <v/>
      </c>
      <c r="R526" s="24" t="str">
        <f t="shared" si="42"/>
        <v/>
      </c>
      <c r="S526" s="24" t="str">
        <f t="shared" si="43"/>
        <v/>
      </c>
      <c r="T526" t="str">
        <f t="shared" si="40"/>
        <v/>
      </c>
    </row>
    <row r="527" spans="1:20">
      <c r="A527" s="22" t="s">
        <v>621</v>
      </c>
      <c r="H527" s="22" t="str">
        <f t="shared" si="41"/>
        <v/>
      </c>
      <c r="J527" s="32"/>
      <c r="K527" s="24" t="str">
        <f t="shared" si="44"/>
        <v/>
      </c>
      <c r="R527" s="24" t="str">
        <f t="shared" si="42"/>
        <v/>
      </c>
      <c r="S527" s="24" t="str">
        <f t="shared" si="43"/>
        <v/>
      </c>
      <c r="T527" t="str">
        <f t="shared" ref="T527:T590" si="45">IF(OR(C527="",I527&lt;&gt;"ENTRADA"),"",TEXT(B527,"AAMMDD")&amp;"-"&amp;TEXT(VALUE(SUBSTITUTE(A527,"MOV-","")),"000"))</f>
        <v/>
      </c>
    </row>
    <row r="528" spans="1:20">
      <c r="A528" s="22" t="s">
        <v>622</v>
      </c>
      <c r="H528" s="22" t="str">
        <f t="shared" ref="H528:H591" si="46">+T528</f>
        <v/>
      </c>
      <c r="J528" s="32"/>
      <c r="K528" s="24" t="str">
        <f t="shared" si="44"/>
        <v/>
      </c>
      <c r="R528" s="24" t="str">
        <f t="shared" ref="R528:R591" si="47">IF(H528="","",H528&amp;I528)</f>
        <v/>
      </c>
      <c r="S528" s="24" t="str">
        <f t="shared" ref="S528:S591" si="48">IF(C528="","",C528&amp;I528)</f>
        <v/>
      </c>
      <c r="T528" t="str">
        <f t="shared" si="45"/>
        <v/>
      </c>
    </row>
    <row r="529" spans="1:20">
      <c r="A529" s="22" t="s">
        <v>623</v>
      </c>
      <c r="H529" s="22" t="str">
        <f t="shared" si="46"/>
        <v/>
      </c>
      <c r="J529" s="32"/>
      <c r="K529" s="24" t="str">
        <f t="shared" si="44"/>
        <v/>
      </c>
      <c r="R529" s="24" t="str">
        <f t="shared" si="47"/>
        <v/>
      </c>
      <c r="S529" s="24" t="str">
        <f t="shared" si="48"/>
        <v/>
      </c>
      <c r="T529" t="str">
        <f t="shared" si="45"/>
        <v/>
      </c>
    </row>
    <row r="530" spans="1:20">
      <c r="A530" s="22" t="s">
        <v>624</v>
      </c>
      <c r="H530" s="22" t="str">
        <f t="shared" si="46"/>
        <v/>
      </c>
      <c r="J530" s="32"/>
      <c r="K530" s="24" t="str">
        <f t="shared" si="44"/>
        <v/>
      </c>
      <c r="R530" s="24" t="str">
        <f t="shared" si="47"/>
        <v/>
      </c>
      <c r="S530" s="24" t="str">
        <f t="shared" si="48"/>
        <v/>
      </c>
      <c r="T530" t="str">
        <f t="shared" si="45"/>
        <v/>
      </c>
    </row>
    <row r="531" spans="1:20">
      <c r="A531" s="22" t="s">
        <v>625</v>
      </c>
      <c r="H531" s="22" t="str">
        <f t="shared" si="46"/>
        <v/>
      </c>
      <c r="J531" s="32"/>
      <c r="K531" s="24" t="str">
        <f t="shared" si="44"/>
        <v/>
      </c>
      <c r="R531" s="24" t="str">
        <f t="shared" si="47"/>
        <v/>
      </c>
      <c r="S531" s="24" t="str">
        <f t="shared" si="48"/>
        <v/>
      </c>
      <c r="T531" t="str">
        <f t="shared" si="45"/>
        <v/>
      </c>
    </row>
    <row r="532" spans="1:20">
      <c r="A532" s="22" t="s">
        <v>626</v>
      </c>
      <c r="H532" s="22" t="str">
        <f t="shared" si="46"/>
        <v/>
      </c>
      <c r="J532" s="32"/>
      <c r="K532" s="24" t="str">
        <f t="shared" si="44"/>
        <v/>
      </c>
      <c r="R532" s="24" t="str">
        <f t="shared" si="47"/>
        <v/>
      </c>
      <c r="S532" s="24" t="str">
        <f t="shared" si="48"/>
        <v/>
      </c>
      <c r="T532" t="str">
        <f t="shared" si="45"/>
        <v/>
      </c>
    </row>
    <row r="533" spans="1:20">
      <c r="A533" s="22" t="s">
        <v>627</v>
      </c>
      <c r="H533" s="22" t="str">
        <f t="shared" si="46"/>
        <v/>
      </c>
      <c r="J533" s="32"/>
      <c r="K533" s="24" t="str">
        <f t="shared" si="44"/>
        <v/>
      </c>
      <c r="R533" s="24" t="str">
        <f t="shared" si="47"/>
        <v/>
      </c>
      <c r="S533" s="24" t="str">
        <f t="shared" si="48"/>
        <v/>
      </c>
      <c r="T533" t="str">
        <f t="shared" si="45"/>
        <v/>
      </c>
    </row>
    <row r="534" spans="1:20">
      <c r="A534" s="22" t="s">
        <v>628</v>
      </c>
      <c r="H534" s="22" t="str">
        <f t="shared" si="46"/>
        <v/>
      </c>
      <c r="J534" s="32"/>
      <c r="K534" s="24" t="str">
        <f t="shared" si="44"/>
        <v/>
      </c>
      <c r="R534" s="24" t="str">
        <f t="shared" si="47"/>
        <v/>
      </c>
      <c r="S534" s="24" t="str">
        <f t="shared" si="48"/>
        <v/>
      </c>
      <c r="T534" t="str">
        <f t="shared" si="45"/>
        <v/>
      </c>
    </row>
    <row r="535" spans="1:20">
      <c r="A535" s="22" t="s">
        <v>629</v>
      </c>
      <c r="H535" s="22" t="str">
        <f t="shared" si="46"/>
        <v/>
      </c>
      <c r="J535" s="32"/>
      <c r="K535" s="24" t="str">
        <f t="shared" si="44"/>
        <v/>
      </c>
      <c r="R535" s="24" t="str">
        <f t="shared" si="47"/>
        <v/>
      </c>
      <c r="S535" s="24" t="str">
        <f t="shared" si="48"/>
        <v/>
      </c>
      <c r="T535" t="str">
        <f t="shared" si="45"/>
        <v/>
      </c>
    </row>
    <row r="536" spans="1:20">
      <c r="A536" s="22" t="s">
        <v>630</v>
      </c>
      <c r="H536" s="22" t="str">
        <f t="shared" si="46"/>
        <v/>
      </c>
      <c r="J536" s="32"/>
      <c r="K536" s="24" t="str">
        <f t="shared" si="44"/>
        <v/>
      </c>
      <c r="R536" s="24" t="str">
        <f t="shared" si="47"/>
        <v/>
      </c>
      <c r="S536" s="24" t="str">
        <f t="shared" si="48"/>
        <v/>
      </c>
      <c r="T536" t="str">
        <f t="shared" si="45"/>
        <v/>
      </c>
    </row>
    <row r="537" spans="1:20">
      <c r="A537" s="22" t="s">
        <v>631</v>
      </c>
      <c r="H537" s="22" t="str">
        <f t="shared" si="46"/>
        <v/>
      </c>
      <c r="J537" s="32"/>
      <c r="K537" s="24" t="str">
        <f t="shared" si="44"/>
        <v/>
      </c>
      <c r="R537" s="24" t="str">
        <f t="shared" si="47"/>
        <v/>
      </c>
      <c r="S537" s="24" t="str">
        <f t="shared" si="48"/>
        <v/>
      </c>
      <c r="T537" t="str">
        <f t="shared" si="45"/>
        <v/>
      </c>
    </row>
    <row r="538" spans="1:20">
      <c r="A538" s="22" t="s">
        <v>632</v>
      </c>
      <c r="H538" s="22" t="str">
        <f t="shared" si="46"/>
        <v/>
      </c>
      <c r="J538" s="32"/>
      <c r="K538" s="24" t="str">
        <f t="shared" si="44"/>
        <v/>
      </c>
      <c r="R538" s="24" t="str">
        <f t="shared" si="47"/>
        <v/>
      </c>
      <c r="S538" s="24" t="str">
        <f t="shared" si="48"/>
        <v/>
      </c>
      <c r="T538" t="str">
        <f t="shared" si="45"/>
        <v/>
      </c>
    </row>
    <row r="539" spans="1:20">
      <c r="A539" s="22" t="s">
        <v>633</v>
      </c>
      <c r="H539" s="22" t="str">
        <f t="shared" si="46"/>
        <v/>
      </c>
      <c r="J539" s="32"/>
      <c r="K539" s="24" t="str">
        <f t="shared" si="44"/>
        <v/>
      </c>
      <c r="R539" s="24" t="str">
        <f t="shared" si="47"/>
        <v/>
      </c>
      <c r="S539" s="24" t="str">
        <f t="shared" si="48"/>
        <v/>
      </c>
      <c r="T539" t="str">
        <f t="shared" si="45"/>
        <v/>
      </c>
    </row>
    <row r="540" spans="1:20">
      <c r="A540" s="22" t="s">
        <v>634</v>
      </c>
      <c r="H540" s="22" t="str">
        <f t="shared" si="46"/>
        <v/>
      </c>
      <c r="J540" s="32"/>
      <c r="K540" s="24" t="str">
        <f t="shared" si="44"/>
        <v/>
      </c>
      <c r="R540" s="24" t="str">
        <f t="shared" si="47"/>
        <v/>
      </c>
      <c r="S540" s="24" t="str">
        <f t="shared" si="48"/>
        <v/>
      </c>
      <c r="T540" t="str">
        <f t="shared" si="45"/>
        <v/>
      </c>
    </row>
    <row r="541" spans="1:20">
      <c r="A541" s="22" t="s">
        <v>635</v>
      </c>
      <c r="H541" s="22" t="str">
        <f t="shared" si="46"/>
        <v/>
      </c>
      <c r="J541" s="32"/>
      <c r="K541" s="24" t="str">
        <f t="shared" si="44"/>
        <v/>
      </c>
      <c r="R541" s="24" t="str">
        <f t="shared" si="47"/>
        <v/>
      </c>
      <c r="S541" s="24" t="str">
        <f t="shared" si="48"/>
        <v/>
      </c>
      <c r="T541" t="str">
        <f t="shared" si="45"/>
        <v/>
      </c>
    </row>
    <row r="542" spans="1:20">
      <c r="A542" s="22" t="s">
        <v>636</v>
      </c>
      <c r="H542" s="22" t="str">
        <f t="shared" si="46"/>
        <v/>
      </c>
      <c r="J542" s="32"/>
      <c r="K542" s="24" t="str">
        <f t="shared" si="44"/>
        <v/>
      </c>
      <c r="R542" s="24" t="str">
        <f t="shared" si="47"/>
        <v/>
      </c>
      <c r="S542" s="24" t="str">
        <f t="shared" si="48"/>
        <v/>
      </c>
      <c r="T542" t="str">
        <f t="shared" si="45"/>
        <v/>
      </c>
    </row>
    <row r="543" spans="1:20">
      <c r="A543" s="22" t="s">
        <v>637</v>
      </c>
      <c r="H543" s="22" t="str">
        <f t="shared" si="46"/>
        <v/>
      </c>
      <c r="J543" s="32"/>
      <c r="K543" s="24" t="str">
        <f t="shared" si="44"/>
        <v/>
      </c>
      <c r="R543" s="24" t="str">
        <f t="shared" si="47"/>
        <v/>
      </c>
      <c r="S543" s="24" t="str">
        <f t="shared" si="48"/>
        <v/>
      </c>
      <c r="T543" t="str">
        <f t="shared" si="45"/>
        <v/>
      </c>
    </row>
    <row r="544" spans="1:20">
      <c r="A544" s="22" t="s">
        <v>638</v>
      </c>
      <c r="H544" s="22" t="str">
        <f t="shared" si="46"/>
        <v/>
      </c>
      <c r="J544" s="32"/>
      <c r="K544" s="24" t="str">
        <f t="shared" si="44"/>
        <v/>
      </c>
      <c r="R544" s="24" t="str">
        <f t="shared" si="47"/>
        <v/>
      </c>
      <c r="S544" s="24" t="str">
        <f t="shared" si="48"/>
        <v/>
      </c>
      <c r="T544" t="str">
        <f t="shared" si="45"/>
        <v/>
      </c>
    </row>
    <row r="545" spans="1:20">
      <c r="A545" s="22" t="s">
        <v>639</v>
      </c>
      <c r="H545" s="22" t="str">
        <f t="shared" si="46"/>
        <v/>
      </c>
      <c r="J545" s="32"/>
      <c r="K545" s="24" t="str">
        <f t="shared" si="44"/>
        <v/>
      </c>
      <c r="R545" s="24" t="str">
        <f t="shared" si="47"/>
        <v/>
      </c>
      <c r="S545" s="24" t="str">
        <f t="shared" si="48"/>
        <v/>
      </c>
      <c r="T545" t="str">
        <f t="shared" si="45"/>
        <v/>
      </c>
    </row>
    <row r="546" spans="1:20">
      <c r="A546" s="22" t="s">
        <v>640</v>
      </c>
      <c r="H546" s="22" t="str">
        <f t="shared" si="46"/>
        <v/>
      </c>
      <c r="J546" s="32"/>
      <c r="K546" s="24" t="str">
        <f t="shared" si="44"/>
        <v/>
      </c>
      <c r="R546" s="24" t="str">
        <f t="shared" si="47"/>
        <v/>
      </c>
      <c r="S546" s="24" t="str">
        <f t="shared" si="48"/>
        <v/>
      </c>
      <c r="T546" t="str">
        <f t="shared" si="45"/>
        <v/>
      </c>
    </row>
    <row r="547" spans="1:20">
      <c r="A547" s="22" t="s">
        <v>641</v>
      </c>
      <c r="H547" s="22" t="str">
        <f t="shared" si="46"/>
        <v/>
      </c>
      <c r="J547" s="32"/>
      <c r="K547" s="24" t="str">
        <f t="shared" si="44"/>
        <v/>
      </c>
      <c r="R547" s="24" t="str">
        <f t="shared" si="47"/>
        <v/>
      </c>
      <c r="S547" s="24" t="str">
        <f t="shared" si="48"/>
        <v/>
      </c>
      <c r="T547" t="str">
        <f t="shared" si="45"/>
        <v/>
      </c>
    </row>
    <row r="548" spans="1:20">
      <c r="A548" s="22" t="s">
        <v>642</v>
      </c>
      <c r="H548" s="22" t="str">
        <f t="shared" si="46"/>
        <v/>
      </c>
      <c r="J548" s="32"/>
      <c r="K548" s="24" t="str">
        <f t="shared" si="44"/>
        <v/>
      </c>
      <c r="R548" s="24" t="str">
        <f t="shared" si="47"/>
        <v/>
      </c>
      <c r="S548" s="24" t="str">
        <f t="shared" si="48"/>
        <v/>
      </c>
      <c r="T548" t="str">
        <f t="shared" si="45"/>
        <v/>
      </c>
    </row>
    <row r="549" spans="1:20">
      <c r="A549" s="22" t="s">
        <v>643</v>
      </c>
      <c r="H549" s="22" t="str">
        <f t="shared" si="46"/>
        <v/>
      </c>
      <c r="J549" s="32"/>
      <c r="K549" s="24" t="str">
        <f t="shared" si="44"/>
        <v/>
      </c>
      <c r="R549" s="24" t="str">
        <f t="shared" si="47"/>
        <v/>
      </c>
      <c r="S549" s="24" t="str">
        <f t="shared" si="48"/>
        <v/>
      </c>
      <c r="T549" t="str">
        <f t="shared" si="45"/>
        <v/>
      </c>
    </row>
    <row r="550" spans="1:20">
      <c r="A550" s="22" t="s">
        <v>644</v>
      </c>
      <c r="H550" s="22" t="str">
        <f t="shared" si="46"/>
        <v/>
      </c>
      <c r="J550" s="32"/>
      <c r="K550" s="24" t="str">
        <f t="shared" si="44"/>
        <v/>
      </c>
      <c r="R550" s="24" t="str">
        <f t="shared" si="47"/>
        <v/>
      </c>
      <c r="S550" s="24" t="str">
        <f t="shared" si="48"/>
        <v/>
      </c>
      <c r="T550" t="str">
        <f t="shared" si="45"/>
        <v/>
      </c>
    </row>
    <row r="551" spans="1:20">
      <c r="A551" s="22" t="s">
        <v>645</v>
      </c>
      <c r="H551" s="22" t="str">
        <f t="shared" si="46"/>
        <v/>
      </c>
      <c r="J551" s="32"/>
      <c r="K551" s="24" t="str">
        <f t="shared" si="44"/>
        <v/>
      </c>
      <c r="R551" s="24" t="str">
        <f t="shared" si="47"/>
        <v/>
      </c>
      <c r="S551" s="24" t="str">
        <f t="shared" si="48"/>
        <v/>
      </c>
      <c r="T551" t="str">
        <f t="shared" si="45"/>
        <v/>
      </c>
    </row>
    <row r="552" spans="1:20">
      <c r="A552" s="22" t="s">
        <v>646</v>
      </c>
      <c r="H552" s="22" t="str">
        <f t="shared" si="46"/>
        <v/>
      </c>
      <c r="J552" s="32"/>
      <c r="K552" s="24" t="str">
        <f t="shared" si="44"/>
        <v/>
      </c>
      <c r="R552" s="24" t="str">
        <f t="shared" si="47"/>
        <v/>
      </c>
      <c r="S552" s="24" t="str">
        <f t="shared" si="48"/>
        <v/>
      </c>
      <c r="T552" t="str">
        <f t="shared" si="45"/>
        <v/>
      </c>
    </row>
    <row r="553" spans="1:20">
      <c r="A553" s="22" t="s">
        <v>647</v>
      </c>
      <c r="H553" s="22" t="str">
        <f t="shared" si="46"/>
        <v/>
      </c>
      <c r="J553" s="32"/>
      <c r="K553" s="24" t="str">
        <f t="shared" si="44"/>
        <v/>
      </c>
      <c r="R553" s="24" t="str">
        <f t="shared" si="47"/>
        <v/>
      </c>
      <c r="S553" s="24" t="str">
        <f t="shared" si="48"/>
        <v/>
      </c>
      <c r="T553" t="str">
        <f t="shared" si="45"/>
        <v/>
      </c>
    </row>
    <row r="554" spans="1:20">
      <c r="A554" s="22" t="s">
        <v>648</v>
      </c>
      <c r="H554" s="22" t="str">
        <f t="shared" si="46"/>
        <v/>
      </c>
      <c r="J554" s="32"/>
      <c r="K554" s="24" t="str">
        <f t="shared" si="44"/>
        <v/>
      </c>
      <c r="R554" s="24" t="str">
        <f t="shared" si="47"/>
        <v/>
      </c>
      <c r="S554" s="24" t="str">
        <f t="shared" si="48"/>
        <v/>
      </c>
      <c r="T554" t="str">
        <f t="shared" si="45"/>
        <v/>
      </c>
    </row>
    <row r="555" spans="1:20">
      <c r="A555" s="22" t="s">
        <v>649</v>
      </c>
      <c r="H555" s="22" t="str">
        <f t="shared" si="46"/>
        <v/>
      </c>
      <c r="J555" s="32"/>
      <c r="K555" s="24" t="str">
        <f t="shared" si="44"/>
        <v/>
      </c>
      <c r="R555" s="24" t="str">
        <f t="shared" si="47"/>
        <v/>
      </c>
      <c r="S555" s="24" t="str">
        <f t="shared" si="48"/>
        <v/>
      </c>
      <c r="T555" t="str">
        <f t="shared" si="45"/>
        <v/>
      </c>
    </row>
    <row r="556" spans="1:20">
      <c r="A556" s="22" t="s">
        <v>650</v>
      </c>
      <c r="H556" s="22" t="str">
        <f t="shared" si="46"/>
        <v/>
      </c>
      <c r="J556" s="32"/>
      <c r="K556" s="24" t="str">
        <f t="shared" si="44"/>
        <v/>
      </c>
      <c r="R556" s="24" t="str">
        <f t="shared" si="47"/>
        <v/>
      </c>
      <c r="S556" s="24" t="str">
        <f t="shared" si="48"/>
        <v/>
      </c>
      <c r="T556" t="str">
        <f t="shared" si="45"/>
        <v/>
      </c>
    </row>
    <row r="557" spans="1:20">
      <c r="A557" s="22" t="s">
        <v>651</v>
      </c>
      <c r="H557" s="22" t="str">
        <f t="shared" si="46"/>
        <v/>
      </c>
      <c r="J557" s="32"/>
      <c r="K557" s="24" t="str">
        <f t="shared" si="44"/>
        <v/>
      </c>
      <c r="R557" s="24" t="str">
        <f t="shared" si="47"/>
        <v/>
      </c>
      <c r="S557" s="24" t="str">
        <f t="shared" si="48"/>
        <v/>
      </c>
      <c r="T557" t="str">
        <f t="shared" si="45"/>
        <v/>
      </c>
    </row>
    <row r="558" spans="1:20">
      <c r="A558" s="22" t="s">
        <v>652</v>
      </c>
      <c r="H558" s="22" t="str">
        <f t="shared" si="46"/>
        <v/>
      </c>
      <c r="J558" s="32"/>
      <c r="K558" s="24" t="str">
        <f t="shared" si="44"/>
        <v/>
      </c>
      <c r="R558" s="24" t="str">
        <f t="shared" si="47"/>
        <v/>
      </c>
      <c r="S558" s="24" t="str">
        <f t="shared" si="48"/>
        <v/>
      </c>
      <c r="T558" t="str">
        <f t="shared" si="45"/>
        <v/>
      </c>
    </row>
    <row r="559" spans="1:20">
      <c r="A559" s="22" t="s">
        <v>653</v>
      </c>
      <c r="H559" s="22" t="str">
        <f t="shared" si="46"/>
        <v/>
      </c>
      <c r="J559" s="32"/>
      <c r="K559" s="24" t="str">
        <f t="shared" si="44"/>
        <v/>
      </c>
      <c r="R559" s="24" t="str">
        <f t="shared" si="47"/>
        <v/>
      </c>
      <c r="S559" s="24" t="str">
        <f t="shared" si="48"/>
        <v/>
      </c>
      <c r="T559" t="str">
        <f t="shared" si="45"/>
        <v/>
      </c>
    </row>
    <row r="560" spans="1:20">
      <c r="A560" s="22" t="s">
        <v>654</v>
      </c>
      <c r="H560" s="22" t="str">
        <f t="shared" si="46"/>
        <v/>
      </c>
      <c r="J560" s="32"/>
      <c r="K560" s="24" t="str">
        <f t="shared" si="44"/>
        <v/>
      </c>
      <c r="R560" s="24" t="str">
        <f t="shared" si="47"/>
        <v/>
      </c>
      <c r="S560" s="24" t="str">
        <f t="shared" si="48"/>
        <v/>
      </c>
      <c r="T560" t="str">
        <f t="shared" si="45"/>
        <v/>
      </c>
    </row>
    <row r="561" spans="1:20">
      <c r="A561" s="22" t="s">
        <v>655</v>
      </c>
      <c r="H561" s="22" t="str">
        <f t="shared" si="46"/>
        <v/>
      </c>
      <c r="J561" s="32"/>
      <c r="K561" s="24" t="str">
        <f t="shared" si="44"/>
        <v/>
      </c>
      <c r="R561" s="24" t="str">
        <f t="shared" si="47"/>
        <v/>
      </c>
      <c r="S561" s="24" t="str">
        <f t="shared" si="48"/>
        <v/>
      </c>
      <c r="T561" t="str">
        <f t="shared" si="45"/>
        <v/>
      </c>
    </row>
    <row r="562" spans="1:20">
      <c r="A562" s="22" t="s">
        <v>656</v>
      </c>
      <c r="H562" s="22" t="str">
        <f t="shared" si="46"/>
        <v/>
      </c>
      <c r="J562" s="32"/>
      <c r="K562" s="24" t="str">
        <f t="shared" si="44"/>
        <v/>
      </c>
      <c r="R562" s="24" t="str">
        <f t="shared" si="47"/>
        <v/>
      </c>
      <c r="S562" s="24" t="str">
        <f t="shared" si="48"/>
        <v/>
      </c>
      <c r="T562" t="str">
        <f t="shared" si="45"/>
        <v/>
      </c>
    </row>
    <row r="563" spans="1:20">
      <c r="A563" s="22" t="s">
        <v>657</v>
      </c>
      <c r="H563" s="22" t="str">
        <f t="shared" si="46"/>
        <v/>
      </c>
      <c r="J563" s="32"/>
      <c r="K563" s="24" t="str">
        <f t="shared" si="44"/>
        <v/>
      </c>
      <c r="R563" s="24" t="str">
        <f t="shared" si="47"/>
        <v/>
      </c>
      <c r="S563" s="24" t="str">
        <f t="shared" si="48"/>
        <v/>
      </c>
      <c r="T563" t="str">
        <f t="shared" si="45"/>
        <v/>
      </c>
    </row>
    <row r="564" spans="1:20">
      <c r="A564" s="22" t="s">
        <v>658</v>
      </c>
      <c r="H564" s="22" t="str">
        <f t="shared" si="46"/>
        <v/>
      </c>
      <c r="J564" s="32"/>
      <c r="K564" s="24" t="str">
        <f t="shared" si="44"/>
        <v/>
      </c>
      <c r="R564" s="24" t="str">
        <f t="shared" si="47"/>
        <v/>
      </c>
      <c r="S564" s="24" t="str">
        <f t="shared" si="48"/>
        <v/>
      </c>
      <c r="T564" t="str">
        <f t="shared" si="45"/>
        <v/>
      </c>
    </row>
    <row r="565" spans="1:20">
      <c r="A565" s="22" t="s">
        <v>659</v>
      </c>
      <c r="H565" s="22" t="str">
        <f t="shared" si="46"/>
        <v/>
      </c>
      <c r="J565" s="32"/>
      <c r="K565" s="24" t="str">
        <f t="shared" si="44"/>
        <v/>
      </c>
      <c r="R565" s="24" t="str">
        <f t="shared" si="47"/>
        <v/>
      </c>
      <c r="S565" s="24" t="str">
        <f t="shared" si="48"/>
        <v/>
      </c>
      <c r="T565" t="str">
        <f t="shared" si="45"/>
        <v/>
      </c>
    </row>
    <row r="566" spans="1:20">
      <c r="A566" s="22" t="s">
        <v>660</v>
      </c>
      <c r="H566" s="22" t="str">
        <f t="shared" si="46"/>
        <v/>
      </c>
      <c r="J566" s="32"/>
      <c r="K566" s="24" t="str">
        <f t="shared" si="44"/>
        <v/>
      </c>
      <c r="R566" s="24" t="str">
        <f t="shared" si="47"/>
        <v/>
      </c>
      <c r="S566" s="24" t="str">
        <f t="shared" si="48"/>
        <v/>
      </c>
      <c r="T566" t="str">
        <f t="shared" si="45"/>
        <v/>
      </c>
    </row>
    <row r="567" spans="1:20">
      <c r="A567" s="22" t="s">
        <v>661</v>
      </c>
      <c r="H567" s="22" t="str">
        <f t="shared" si="46"/>
        <v/>
      </c>
      <c r="J567" s="32"/>
      <c r="K567" s="24" t="str">
        <f t="shared" si="44"/>
        <v/>
      </c>
      <c r="R567" s="24" t="str">
        <f t="shared" si="47"/>
        <v/>
      </c>
      <c r="S567" s="24" t="str">
        <f t="shared" si="48"/>
        <v/>
      </c>
      <c r="T567" t="str">
        <f t="shared" si="45"/>
        <v/>
      </c>
    </row>
    <row r="568" spans="1:20">
      <c r="A568" s="22" t="s">
        <v>662</v>
      </c>
      <c r="H568" s="22" t="str">
        <f t="shared" si="46"/>
        <v/>
      </c>
      <c r="J568" s="32"/>
      <c r="K568" s="24" t="str">
        <f t="shared" si="44"/>
        <v/>
      </c>
      <c r="R568" s="24" t="str">
        <f t="shared" si="47"/>
        <v/>
      </c>
      <c r="S568" s="24" t="str">
        <f t="shared" si="48"/>
        <v/>
      </c>
      <c r="T568" t="str">
        <f t="shared" si="45"/>
        <v/>
      </c>
    </row>
    <row r="569" spans="1:20">
      <c r="A569" s="22" t="s">
        <v>663</v>
      </c>
      <c r="H569" s="22" t="str">
        <f t="shared" si="46"/>
        <v/>
      </c>
      <c r="J569" s="32"/>
      <c r="K569" s="24" t="str">
        <f t="shared" si="44"/>
        <v/>
      </c>
      <c r="R569" s="24" t="str">
        <f t="shared" si="47"/>
        <v/>
      </c>
      <c r="S569" s="24" t="str">
        <f t="shared" si="48"/>
        <v/>
      </c>
      <c r="T569" t="str">
        <f t="shared" si="45"/>
        <v/>
      </c>
    </row>
    <row r="570" spans="1:20">
      <c r="A570" s="22" t="s">
        <v>664</v>
      </c>
      <c r="H570" s="22" t="str">
        <f t="shared" si="46"/>
        <v/>
      </c>
      <c r="J570" s="32"/>
      <c r="K570" s="24" t="str">
        <f t="shared" si="44"/>
        <v/>
      </c>
      <c r="R570" s="24" t="str">
        <f t="shared" si="47"/>
        <v/>
      </c>
      <c r="S570" s="24" t="str">
        <f t="shared" si="48"/>
        <v/>
      </c>
      <c r="T570" t="str">
        <f t="shared" si="45"/>
        <v/>
      </c>
    </row>
    <row r="571" spans="1:20">
      <c r="A571" s="22" t="s">
        <v>665</v>
      </c>
      <c r="H571" s="22" t="str">
        <f t="shared" si="46"/>
        <v/>
      </c>
      <c r="J571" s="32"/>
      <c r="K571" s="24" t="str">
        <f t="shared" si="44"/>
        <v/>
      </c>
      <c r="R571" s="24" t="str">
        <f t="shared" si="47"/>
        <v/>
      </c>
      <c r="S571" s="24" t="str">
        <f t="shared" si="48"/>
        <v/>
      </c>
      <c r="T571" t="str">
        <f t="shared" si="45"/>
        <v/>
      </c>
    </row>
    <row r="572" spans="1:20">
      <c r="A572" s="22" t="s">
        <v>666</v>
      </c>
      <c r="H572" s="22" t="str">
        <f t="shared" si="46"/>
        <v/>
      </c>
      <c r="J572" s="32"/>
      <c r="K572" s="24" t="str">
        <f t="shared" si="44"/>
        <v/>
      </c>
      <c r="R572" s="24" t="str">
        <f t="shared" si="47"/>
        <v/>
      </c>
      <c r="S572" s="24" t="str">
        <f t="shared" si="48"/>
        <v/>
      </c>
      <c r="T572" t="str">
        <f t="shared" si="45"/>
        <v/>
      </c>
    </row>
    <row r="573" spans="1:20">
      <c r="A573" s="22" t="s">
        <v>667</v>
      </c>
      <c r="H573" s="22" t="str">
        <f t="shared" si="46"/>
        <v/>
      </c>
      <c r="J573" s="32"/>
      <c r="K573" s="24" t="str">
        <f t="shared" si="44"/>
        <v/>
      </c>
      <c r="R573" s="24" t="str">
        <f t="shared" si="47"/>
        <v/>
      </c>
      <c r="S573" s="24" t="str">
        <f t="shared" si="48"/>
        <v/>
      </c>
      <c r="T573" t="str">
        <f t="shared" si="45"/>
        <v/>
      </c>
    </row>
    <row r="574" spans="1:20">
      <c r="A574" s="22" t="s">
        <v>668</v>
      </c>
      <c r="H574" s="22" t="str">
        <f t="shared" si="46"/>
        <v/>
      </c>
      <c r="J574" s="32"/>
      <c r="K574" s="24" t="str">
        <f t="shared" si="44"/>
        <v/>
      </c>
      <c r="R574" s="24" t="str">
        <f t="shared" si="47"/>
        <v/>
      </c>
      <c r="S574" s="24" t="str">
        <f t="shared" si="48"/>
        <v/>
      </c>
      <c r="T574" t="str">
        <f t="shared" si="45"/>
        <v/>
      </c>
    </row>
    <row r="575" spans="1:20">
      <c r="A575" s="22" t="s">
        <v>669</v>
      </c>
      <c r="H575" s="22" t="str">
        <f t="shared" si="46"/>
        <v/>
      </c>
      <c r="J575" s="32"/>
      <c r="K575" s="24" t="str">
        <f t="shared" si="44"/>
        <v/>
      </c>
      <c r="R575" s="24" t="str">
        <f t="shared" si="47"/>
        <v/>
      </c>
      <c r="S575" s="24" t="str">
        <f t="shared" si="48"/>
        <v/>
      </c>
      <c r="T575" t="str">
        <f t="shared" si="45"/>
        <v/>
      </c>
    </row>
    <row r="576" spans="1:20">
      <c r="A576" s="22" t="s">
        <v>670</v>
      </c>
      <c r="H576" s="22" t="str">
        <f t="shared" si="46"/>
        <v/>
      </c>
      <c r="J576" s="32"/>
      <c r="K576" s="24" t="str">
        <f t="shared" si="44"/>
        <v/>
      </c>
      <c r="R576" s="24" t="str">
        <f t="shared" si="47"/>
        <v/>
      </c>
      <c r="S576" s="24" t="str">
        <f t="shared" si="48"/>
        <v/>
      </c>
      <c r="T576" t="str">
        <f t="shared" si="45"/>
        <v/>
      </c>
    </row>
    <row r="577" spans="1:20">
      <c r="A577" s="22" t="s">
        <v>671</v>
      </c>
      <c r="H577" s="22" t="str">
        <f t="shared" si="46"/>
        <v/>
      </c>
      <c r="J577" s="32"/>
      <c r="K577" s="24" t="str">
        <f t="shared" si="44"/>
        <v/>
      </c>
      <c r="R577" s="24" t="str">
        <f t="shared" si="47"/>
        <v/>
      </c>
      <c r="S577" s="24" t="str">
        <f t="shared" si="48"/>
        <v/>
      </c>
      <c r="T577" t="str">
        <f t="shared" si="45"/>
        <v/>
      </c>
    </row>
    <row r="578" spans="1:20">
      <c r="A578" s="22" t="s">
        <v>672</v>
      </c>
      <c r="H578" s="22" t="str">
        <f t="shared" si="46"/>
        <v/>
      </c>
      <c r="J578" s="32"/>
      <c r="K578" s="24" t="str">
        <f t="shared" si="44"/>
        <v/>
      </c>
      <c r="R578" s="24" t="str">
        <f t="shared" si="47"/>
        <v/>
      </c>
      <c r="S578" s="24" t="str">
        <f t="shared" si="48"/>
        <v/>
      </c>
      <c r="T578" t="str">
        <f t="shared" si="45"/>
        <v/>
      </c>
    </row>
    <row r="579" spans="1:20">
      <c r="A579" s="22" t="s">
        <v>673</v>
      </c>
      <c r="H579" s="22" t="str">
        <f t="shared" si="46"/>
        <v/>
      </c>
      <c r="J579" s="32"/>
      <c r="K579" s="24" t="str">
        <f t="shared" si="44"/>
        <v/>
      </c>
      <c r="R579" s="24" t="str">
        <f t="shared" si="47"/>
        <v/>
      </c>
      <c r="S579" s="24" t="str">
        <f t="shared" si="48"/>
        <v/>
      </c>
      <c r="T579" t="str">
        <f t="shared" si="45"/>
        <v/>
      </c>
    </row>
    <row r="580" spans="1:20">
      <c r="A580" s="22" t="s">
        <v>674</v>
      </c>
      <c r="H580" s="22" t="str">
        <f t="shared" si="46"/>
        <v/>
      </c>
      <c r="J580" s="32"/>
      <c r="K580" s="24" t="str">
        <f t="shared" si="44"/>
        <v/>
      </c>
      <c r="R580" s="24" t="str">
        <f t="shared" si="47"/>
        <v/>
      </c>
      <c r="S580" s="24" t="str">
        <f t="shared" si="48"/>
        <v/>
      </c>
      <c r="T580" t="str">
        <f t="shared" si="45"/>
        <v/>
      </c>
    </row>
    <row r="581" spans="1:20">
      <c r="A581" s="22" t="s">
        <v>675</v>
      </c>
      <c r="H581" s="22" t="str">
        <f t="shared" si="46"/>
        <v/>
      </c>
      <c r="J581" s="32"/>
      <c r="K581" s="24" t="str">
        <f t="shared" si="44"/>
        <v/>
      </c>
      <c r="R581" s="24" t="str">
        <f t="shared" si="47"/>
        <v/>
      </c>
      <c r="S581" s="24" t="str">
        <f t="shared" si="48"/>
        <v/>
      </c>
      <c r="T581" t="str">
        <f t="shared" si="45"/>
        <v/>
      </c>
    </row>
    <row r="582" spans="1:20">
      <c r="A582" s="22" t="s">
        <v>676</v>
      </c>
      <c r="H582" s="22" t="str">
        <f t="shared" si="46"/>
        <v/>
      </c>
      <c r="J582" s="32"/>
      <c r="K582" s="24" t="str">
        <f t="shared" si="44"/>
        <v/>
      </c>
      <c r="R582" s="24" t="str">
        <f t="shared" si="47"/>
        <v/>
      </c>
      <c r="S582" s="24" t="str">
        <f t="shared" si="48"/>
        <v/>
      </c>
      <c r="T582" t="str">
        <f t="shared" si="45"/>
        <v/>
      </c>
    </row>
    <row r="583" spans="1:20">
      <c r="A583" s="22" t="s">
        <v>677</v>
      </c>
      <c r="H583" s="22" t="str">
        <f t="shared" si="46"/>
        <v/>
      </c>
      <c r="J583" s="32"/>
      <c r="K583" s="24" t="str">
        <f t="shared" si="44"/>
        <v/>
      </c>
      <c r="R583" s="24" t="str">
        <f t="shared" si="47"/>
        <v/>
      </c>
      <c r="S583" s="24" t="str">
        <f t="shared" si="48"/>
        <v/>
      </c>
      <c r="T583" t="str">
        <f t="shared" si="45"/>
        <v/>
      </c>
    </row>
    <row r="584" spans="1:20">
      <c r="A584" s="22" t="s">
        <v>678</v>
      </c>
      <c r="H584" s="22" t="str">
        <f t="shared" si="46"/>
        <v/>
      </c>
      <c r="J584" s="32"/>
      <c r="K584" s="24" t="str">
        <f t="shared" si="44"/>
        <v/>
      </c>
      <c r="R584" s="24" t="str">
        <f t="shared" si="47"/>
        <v/>
      </c>
      <c r="S584" s="24" t="str">
        <f t="shared" si="48"/>
        <v/>
      </c>
      <c r="T584" t="str">
        <f t="shared" si="45"/>
        <v/>
      </c>
    </row>
    <row r="585" spans="1:20">
      <c r="A585" s="22" t="s">
        <v>679</v>
      </c>
      <c r="H585" s="22" t="str">
        <f t="shared" si="46"/>
        <v/>
      </c>
      <c r="J585" s="32"/>
      <c r="K585" s="24" t="str">
        <f t="shared" ref="K585:K648" si="49">IF(I585="","",IF(I585="ENTRADA",ABS(J585),-ABS(J585)))</f>
        <v/>
      </c>
      <c r="R585" s="24" t="str">
        <f t="shared" si="47"/>
        <v/>
      </c>
      <c r="S585" s="24" t="str">
        <f t="shared" si="48"/>
        <v/>
      </c>
      <c r="T585" t="str">
        <f t="shared" si="45"/>
        <v/>
      </c>
    </row>
    <row r="586" spans="1:20">
      <c r="A586" s="22" t="s">
        <v>680</v>
      </c>
      <c r="H586" s="22" t="str">
        <f t="shared" si="46"/>
        <v/>
      </c>
      <c r="J586" s="32"/>
      <c r="K586" s="24" t="str">
        <f t="shared" si="49"/>
        <v/>
      </c>
      <c r="R586" s="24" t="str">
        <f t="shared" si="47"/>
        <v/>
      </c>
      <c r="S586" s="24" t="str">
        <f t="shared" si="48"/>
        <v/>
      </c>
      <c r="T586" t="str">
        <f t="shared" si="45"/>
        <v/>
      </c>
    </row>
    <row r="587" spans="1:20">
      <c r="A587" s="22" t="s">
        <v>681</v>
      </c>
      <c r="H587" s="22" t="str">
        <f t="shared" si="46"/>
        <v/>
      </c>
      <c r="J587" s="32"/>
      <c r="K587" s="24" t="str">
        <f t="shared" si="49"/>
        <v/>
      </c>
      <c r="R587" s="24" t="str">
        <f t="shared" si="47"/>
        <v/>
      </c>
      <c r="S587" s="24" t="str">
        <f t="shared" si="48"/>
        <v/>
      </c>
      <c r="T587" t="str">
        <f t="shared" si="45"/>
        <v/>
      </c>
    </row>
    <row r="588" spans="1:20">
      <c r="A588" s="22" t="s">
        <v>682</v>
      </c>
      <c r="H588" s="22" t="str">
        <f t="shared" si="46"/>
        <v/>
      </c>
      <c r="J588" s="32"/>
      <c r="K588" s="24" t="str">
        <f t="shared" si="49"/>
        <v/>
      </c>
      <c r="R588" s="24" t="str">
        <f t="shared" si="47"/>
        <v/>
      </c>
      <c r="S588" s="24" t="str">
        <f t="shared" si="48"/>
        <v/>
      </c>
      <c r="T588" t="str">
        <f t="shared" si="45"/>
        <v/>
      </c>
    </row>
    <row r="589" spans="1:20">
      <c r="A589" s="22" t="s">
        <v>683</v>
      </c>
      <c r="H589" s="22" t="str">
        <f t="shared" si="46"/>
        <v/>
      </c>
      <c r="J589" s="32"/>
      <c r="K589" s="24" t="str">
        <f t="shared" si="49"/>
        <v/>
      </c>
      <c r="R589" s="24" t="str">
        <f t="shared" si="47"/>
        <v/>
      </c>
      <c r="S589" s="24" t="str">
        <f t="shared" si="48"/>
        <v/>
      </c>
      <c r="T589" t="str">
        <f t="shared" si="45"/>
        <v/>
      </c>
    </row>
    <row r="590" spans="1:20">
      <c r="A590" s="22" t="s">
        <v>684</v>
      </c>
      <c r="H590" s="22" t="str">
        <f t="shared" si="46"/>
        <v/>
      </c>
      <c r="J590" s="32"/>
      <c r="K590" s="24" t="str">
        <f t="shared" si="49"/>
        <v/>
      </c>
      <c r="R590" s="24" t="str">
        <f t="shared" si="47"/>
        <v/>
      </c>
      <c r="S590" s="24" t="str">
        <f t="shared" si="48"/>
        <v/>
      </c>
      <c r="T590" t="str">
        <f t="shared" si="45"/>
        <v/>
      </c>
    </row>
    <row r="591" spans="1:20">
      <c r="A591" s="22" t="s">
        <v>685</v>
      </c>
      <c r="H591" s="22" t="str">
        <f t="shared" si="46"/>
        <v/>
      </c>
      <c r="J591" s="32"/>
      <c r="K591" s="24" t="str">
        <f t="shared" si="49"/>
        <v/>
      </c>
      <c r="R591" s="24" t="str">
        <f t="shared" si="47"/>
        <v/>
      </c>
      <c r="S591" s="24" t="str">
        <f t="shared" si="48"/>
        <v/>
      </c>
      <c r="T591" t="str">
        <f t="shared" ref="T591:T654" si="50">IF(OR(C591="",I591&lt;&gt;"ENTRADA"),"",TEXT(B591,"AAMMDD")&amp;"-"&amp;TEXT(VALUE(SUBSTITUTE(A591,"MOV-","")),"000"))</f>
        <v/>
      </c>
    </row>
    <row r="592" spans="1:20">
      <c r="A592" s="22" t="s">
        <v>686</v>
      </c>
      <c r="H592" s="22" t="str">
        <f t="shared" ref="H592:H655" si="51">+T592</f>
        <v/>
      </c>
      <c r="J592" s="32"/>
      <c r="K592" s="24" t="str">
        <f t="shared" si="49"/>
        <v/>
      </c>
      <c r="R592" s="24" t="str">
        <f t="shared" ref="R592:R655" si="52">IF(H592="","",H592&amp;I592)</f>
        <v/>
      </c>
      <c r="S592" s="24" t="str">
        <f t="shared" ref="S592:S655" si="53">IF(C592="","",C592&amp;I592)</f>
        <v/>
      </c>
      <c r="T592" t="str">
        <f t="shared" si="50"/>
        <v/>
      </c>
    </row>
    <row r="593" spans="1:20">
      <c r="A593" s="22" t="s">
        <v>687</v>
      </c>
      <c r="H593" s="22" t="str">
        <f t="shared" si="51"/>
        <v/>
      </c>
      <c r="J593" s="32"/>
      <c r="K593" s="24" t="str">
        <f t="shared" si="49"/>
        <v/>
      </c>
      <c r="R593" s="24" t="str">
        <f t="shared" si="52"/>
        <v/>
      </c>
      <c r="S593" s="24" t="str">
        <f t="shared" si="53"/>
        <v/>
      </c>
      <c r="T593" t="str">
        <f t="shared" si="50"/>
        <v/>
      </c>
    </row>
    <row r="594" spans="1:20">
      <c r="A594" s="22" t="s">
        <v>688</v>
      </c>
      <c r="H594" s="22" t="str">
        <f t="shared" si="51"/>
        <v/>
      </c>
      <c r="J594" s="32"/>
      <c r="K594" s="24" t="str">
        <f t="shared" si="49"/>
        <v/>
      </c>
      <c r="R594" s="24" t="str">
        <f t="shared" si="52"/>
        <v/>
      </c>
      <c r="S594" s="24" t="str">
        <f t="shared" si="53"/>
        <v/>
      </c>
      <c r="T594" t="str">
        <f t="shared" si="50"/>
        <v/>
      </c>
    </row>
    <row r="595" spans="1:20">
      <c r="A595" s="22" t="s">
        <v>689</v>
      </c>
      <c r="H595" s="22" t="str">
        <f t="shared" si="51"/>
        <v/>
      </c>
      <c r="J595" s="32"/>
      <c r="K595" s="24" t="str">
        <f t="shared" si="49"/>
        <v/>
      </c>
      <c r="R595" s="24" t="str">
        <f t="shared" si="52"/>
        <v/>
      </c>
      <c r="S595" s="24" t="str">
        <f t="shared" si="53"/>
        <v/>
      </c>
      <c r="T595" t="str">
        <f t="shared" si="50"/>
        <v/>
      </c>
    </row>
    <row r="596" spans="1:20">
      <c r="A596" s="22" t="s">
        <v>690</v>
      </c>
      <c r="H596" s="22" t="str">
        <f t="shared" si="51"/>
        <v/>
      </c>
      <c r="J596" s="32"/>
      <c r="K596" s="24" t="str">
        <f t="shared" si="49"/>
        <v/>
      </c>
      <c r="R596" s="24" t="str">
        <f t="shared" si="52"/>
        <v/>
      </c>
      <c r="S596" s="24" t="str">
        <f t="shared" si="53"/>
        <v/>
      </c>
      <c r="T596" t="str">
        <f t="shared" si="50"/>
        <v/>
      </c>
    </row>
    <row r="597" spans="1:20">
      <c r="A597" s="22" t="s">
        <v>691</v>
      </c>
      <c r="H597" s="22" t="str">
        <f t="shared" si="51"/>
        <v/>
      </c>
      <c r="J597" s="32"/>
      <c r="K597" s="24" t="str">
        <f t="shared" si="49"/>
        <v/>
      </c>
      <c r="R597" s="24" t="str">
        <f t="shared" si="52"/>
        <v/>
      </c>
      <c r="S597" s="24" t="str">
        <f t="shared" si="53"/>
        <v/>
      </c>
      <c r="T597" t="str">
        <f t="shared" si="50"/>
        <v/>
      </c>
    </row>
    <row r="598" spans="1:20">
      <c r="A598" s="22" t="s">
        <v>692</v>
      </c>
      <c r="H598" s="22" t="str">
        <f t="shared" si="51"/>
        <v/>
      </c>
      <c r="J598" s="32"/>
      <c r="K598" s="24" t="str">
        <f t="shared" si="49"/>
        <v/>
      </c>
      <c r="R598" s="24" t="str">
        <f t="shared" si="52"/>
        <v/>
      </c>
      <c r="S598" s="24" t="str">
        <f t="shared" si="53"/>
        <v/>
      </c>
      <c r="T598" t="str">
        <f t="shared" si="50"/>
        <v/>
      </c>
    </row>
    <row r="599" spans="1:20">
      <c r="A599" s="22" t="s">
        <v>693</v>
      </c>
      <c r="H599" s="22" t="str">
        <f t="shared" si="51"/>
        <v/>
      </c>
      <c r="J599" s="32"/>
      <c r="K599" s="24" t="str">
        <f t="shared" si="49"/>
        <v/>
      </c>
      <c r="R599" s="24" t="str">
        <f t="shared" si="52"/>
        <v/>
      </c>
      <c r="S599" s="24" t="str">
        <f t="shared" si="53"/>
        <v/>
      </c>
      <c r="T599" t="str">
        <f t="shared" si="50"/>
        <v/>
      </c>
    </row>
    <row r="600" spans="1:20">
      <c r="A600" s="22" t="s">
        <v>694</v>
      </c>
      <c r="H600" s="22" t="str">
        <f t="shared" si="51"/>
        <v/>
      </c>
      <c r="J600" s="32"/>
      <c r="K600" s="24" t="str">
        <f t="shared" si="49"/>
        <v/>
      </c>
      <c r="R600" s="24" t="str">
        <f t="shared" si="52"/>
        <v/>
      </c>
      <c r="S600" s="24" t="str">
        <f t="shared" si="53"/>
        <v/>
      </c>
      <c r="T600" t="str">
        <f t="shared" si="50"/>
        <v/>
      </c>
    </row>
    <row r="601" spans="1:20">
      <c r="A601" s="22" t="s">
        <v>695</v>
      </c>
      <c r="H601" s="22" t="str">
        <f t="shared" si="51"/>
        <v/>
      </c>
      <c r="J601" s="32"/>
      <c r="K601" s="24" t="str">
        <f t="shared" si="49"/>
        <v/>
      </c>
      <c r="R601" s="24" t="str">
        <f t="shared" si="52"/>
        <v/>
      </c>
      <c r="S601" s="24" t="str">
        <f t="shared" si="53"/>
        <v/>
      </c>
      <c r="T601" t="str">
        <f t="shared" si="50"/>
        <v/>
      </c>
    </row>
    <row r="602" spans="1:20">
      <c r="A602" s="22" t="s">
        <v>696</v>
      </c>
      <c r="H602" s="22" t="str">
        <f t="shared" si="51"/>
        <v/>
      </c>
      <c r="J602" s="32"/>
      <c r="K602" s="24" t="str">
        <f t="shared" si="49"/>
        <v/>
      </c>
      <c r="R602" s="24" t="str">
        <f t="shared" si="52"/>
        <v/>
      </c>
      <c r="S602" s="24" t="str">
        <f t="shared" si="53"/>
        <v/>
      </c>
      <c r="T602" t="str">
        <f t="shared" si="50"/>
        <v/>
      </c>
    </row>
    <row r="603" spans="1:20">
      <c r="A603" s="22" t="s">
        <v>697</v>
      </c>
      <c r="H603" s="22" t="str">
        <f t="shared" si="51"/>
        <v/>
      </c>
      <c r="J603" s="32"/>
      <c r="K603" s="24" t="str">
        <f t="shared" si="49"/>
        <v/>
      </c>
      <c r="R603" s="24" t="str">
        <f t="shared" si="52"/>
        <v/>
      </c>
      <c r="S603" s="24" t="str">
        <f t="shared" si="53"/>
        <v/>
      </c>
      <c r="T603" t="str">
        <f t="shared" si="50"/>
        <v/>
      </c>
    </row>
    <row r="604" spans="1:20">
      <c r="A604" s="22" t="s">
        <v>698</v>
      </c>
      <c r="H604" s="22" t="str">
        <f t="shared" si="51"/>
        <v/>
      </c>
      <c r="J604" s="32"/>
      <c r="K604" s="24" t="str">
        <f t="shared" si="49"/>
        <v/>
      </c>
      <c r="R604" s="24" t="str">
        <f t="shared" si="52"/>
        <v/>
      </c>
      <c r="S604" s="24" t="str">
        <f t="shared" si="53"/>
        <v/>
      </c>
      <c r="T604" t="str">
        <f t="shared" si="50"/>
        <v/>
      </c>
    </row>
    <row r="605" spans="1:20">
      <c r="A605" s="22" t="s">
        <v>699</v>
      </c>
      <c r="H605" s="22" t="str">
        <f t="shared" si="51"/>
        <v/>
      </c>
      <c r="J605" s="32"/>
      <c r="K605" s="24" t="str">
        <f t="shared" si="49"/>
        <v/>
      </c>
      <c r="R605" s="24" t="str">
        <f t="shared" si="52"/>
        <v/>
      </c>
      <c r="S605" s="24" t="str">
        <f t="shared" si="53"/>
        <v/>
      </c>
      <c r="T605" t="str">
        <f t="shared" si="50"/>
        <v/>
      </c>
    </row>
    <row r="606" spans="1:20">
      <c r="A606" s="22" t="s">
        <v>700</v>
      </c>
      <c r="H606" s="22" t="str">
        <f t="shared" si="51"/>
        <v/>
      </c>
      <c r="J606" s="32"/>
      <c r="K606" s="24" t="str">
        <f t="shared" si="49"/>
        <v/>
      </c>
      <c r="R606" s="24" t="str">
        <f t="shared" si="52"/>
        <v/>
      </c>
      <c r="S606" s="24" t="str">
        <f t="shared" si="53"/>
        <v/>
      </c>
      <c r="T606" t="str">
        <f t="shared" si="50"/>
        <v/>
      </c>
    </row>
    <row r="607" spans="1:20">
      <c r="A607" s="22" t="s">
        <v>701</v>
      </c>
      <c r="H607" s="22" t="str">
        <f t="shared" si="51"/>
        <v/>
      </c>
      <c r="J607" s="32"/>
      <c r="K607" s="24" t="str">
        <f t="shared" si="49"/>
        <v/>
      </c>
      <c r="R607" s="24" t="str">
        <f t="shared" si="52"/>
        <v/>
      </c>
      <c r="S607" s="24" t="str">
        <f t="shared" si="53"/>
        <v/>
      </c>
      <c r="T607" t="str">
        <f t="shared" si="50"/>
        <v/>
      </c>
    </row>
    <row r="608" spans="1:20">
      <c r="A608" s="22" t="s">
        <v>702</v>
      </c>
      <c r="H608" s="22" t="str">
        <f t="shared" si="51"/>
        <v/>
      </c>
      <c r="J608" s="32"/>
      <c r="K608" s="24" t="str">
        <f t="shared" si="49"/>
        <v/>
      </c>
      <c r="R608" s="24" t="str">
        <f t="shared" si="52"/>
        <v/>
      </c>
      <c r="S608" s="24" t="str">
        <f t="shared" si="53"/>
        <v/>
      </c>
      <c r="T608" t="str">
        <f t="shared" si="50"/>
        <v/>
      </c>
    </row>
    <row r="609" spans="1:20">
      <c r="A609" s="22" t="s">
        <v>703</v>
      </c>
      <c r="H609" s="22" t="str">
        <f t="shared" si="51"/>
        <v/>
      </c>
      <c r="J609" s="32"/>
      <c r="K609" s="24" t="str">
        <f t="shared" si="49"/>
        <v/>
      </c>
      <c r="R609" s="24" t="str">
        <f t="shared" si="52"/>
        <v/>
      </c>
      <c r="S609" s="24" t="str">
        <f t="shared" si="53"/>
        <v/>
      </c>
      <c r="T609" t="str">
        <f t="shared" si="50"/>
        <v/>
      </c>
    </row>
    <row r="610" spans="1:20">
      <c r="A610" s="22" t="s">
        <v>704</v>
      </c>
      <c r="H610" s="22" t="str">
        <f t="shared" si="51"/>
        <v/>
      </c>
      <c r="J610" s="32"/>
      <c r="K610" s="24" t="str">
        <f t="shared" si="49"/>
        <v/>
      </c>
      <c r="R610" s="24" t="str">
        <f t="shared" si="52"/>
        <v/>
      </c>
      <c r="S610" s="24" t="str">
        <f t="shared" si="53"/>
        <v/>
      </c>
      <c r="T610" t="str">
        <f t="shared" si="50"/>
        <v/>
      </c>
    </row>
    <row r="611" spans="1:20">
      <c r="A611" s="22" t="s">
        <v>705</v>
      </c>
      <c r="H611" s="22" t="str">
        <f t="shared" si="51"/>
        <v/>
      </c>
      <c r="J611" s="32"/>
      <c r="K611" s="24" t="str">
        <f t="shared" si="49"/>
        <v/>
      </c>
      <c r="R611" s="24" t="str">
        <f t="shared" si="52"/>
        <v/>
      </c>
      <c r="S611" s="24" t="str">
        <f t="shared" si="53"/>
        <v/>
      </c>
      <c r="T611" t="str">
        <f t="shared" si="50"/>
        <v/>
      </c>
    </row>
    <row r="612" spans="1:20">
      <c r="A612" s="22" t="s">
        <v>706</v>
      </c>
      <c r="H612" s="22" t="str">
        <f t="shared" si="51"/>
        <v/>
      </c>
      <c r="J612" s="32"/>
      <c r="K612" s="24" t="str">
        <f t="shared" si="49"/>
        <v/>
      </c>
      <c r="R612" s="24" t="str">
        <f t="shared" si="52"/>
        <v/>
      </c>
      <c r="S612" s="24" t="str">
        <f t="shared" si="53"/>
        <v/>
      </c>
      <c r="T612" t="str">
        <f t="shared" si="50"/>
        <v/>
      </c>
    </row>
    <row r="613" spans="1:20">
      <c r="A613" s="22" t="s">
        <v>707</v>
      </c>
      <c r="H613" s="22" t="str">
        <f t="shared" si="51"/>
        <v/>
      </c>
      <c r="J613" s="32"/>
      <c r="K613" s="24" t="str">
        <f t="shared" si="49"/>
        <v/>
      </c>
      <c r="R613" s="24" t="str">
        <f t="shared" si="52"/>
        <v/>
      </c>
      <c r="S613" s="24" t="str">
        <f t="shared" si="53"/>
        <v/>
      </c>
      <c r="T613" t="str">
        <f t="shared" si="50"/>
        <v/>
      </c>
    </row>
    <row r="614" spans="1:20">
      <c r="A614" s="22" t="s">
        <v>708</v>
      </c>
      <c r="H614" s="22" t="str">
        <f t="shared" si="51"/>
        <v/>
      </c>
      <c r="J614" s="32"/>
      <c r="K614" s="24" t="str">
        <f t="shared" si="49"/>
        <v/>
      </c>
      <c r="R614" s="24" t="str">
        <f t="shared" si="52"/>
        <v/>
      </c>
      <c r="S614" s="24" t="str">
        <f t="shared" si="53"/>
        <v/>
      </c>
      <c r="T614" t="str">
        <f t="shared" si="50"/>
        <v/>
      </c>
    </row>
    <row r="615" spans="1:20">
      <c r="A615" s="22" t="s">
        <v>709</v>
      </c>
      <c r="H615" s="22" t="str">
        <f t="shared" si="51"/>
        <v/>
      </c>
      <c r="J615" s="32"/>
      <c r="K615" s="24" t="str">
        <f t="shared" si="49"/>
        <v/>
      </c>
      <c r="R615" s="24" t="str">
        <f t="shared" si="52"/>
        <v/>
      </c>
      <c r="S615" s="24" t="str">
        <f t="shared" si="53"/>
        <v/>
      </c>
      <c r="T615" t="str">
        <f t="shared" si="50"/>
        <v/>
      </c>
    </row>
    <row r="616" spans="1:20">
      <c r="A616" s="22" t="s">
        <v>710</v>
      </c>
      <c r="H616" s="22" t="str">
        <f t="shared" si="51"/>
        <v/>
      </c>
      <c r="J616" s="32"/>
      <c r="K616" s="24" t="str">
        <f t="shared" si="49"/>
        <v/>
      </c>
      <c r="R616" s="24" t="str">
        <f t="shared" si="52"/>
        <v/>
      </c>
      <c r="S616" s="24" t="str">
        <f t="shared" si="53"/>
        <v/>
      </c>
      <c r="T616" t="str">
        <f t="shared" si="50"/>
        <v/>
      </c>
    </row>
    <row r="617" spans="1:20">
      <c r="A617" s="22" t="s">
        <v>711</v>
      </c>
      <c r="H617" s="22" t="str">
        <f t="shared" si="51"/>
        <v/>
      </c>
      <c r="J617" s="32"/>
      <c r="K617" s="24" t="str">
        <f t="shared" si="49"/>
        <v/>
      </c>
      <c r="R617" s="24" t="str">
        <f t="shared" si="52"/>
        <v/>
      </c>
      <c r="S617" s="24" t="str">
        <f t="shared" si="53"/>
        <v/>
      </c>
      <c r="T617" t="str">
        <f t="shared" si="50"/>
        <v/>
      </c>
    </row>
    <row r="618" spans="1:20">
      <c r="A618" s="22" t="s">
        <v>712</v>
      </c>
      <c r="H618" s="22" t="str">
        <f t="shared" si="51"/>
        <v/>
      </c>
      <c r="J618" s="32"/>
      <c r="K618" s="24" t="str">
        <f t="shared" si="49"/>
        <v/>
      </c>
      <c r="R618" s="24" t="str">
        <f t="shared" si="52"/>
        <v/>
      </c>
      <c r="S618" s="24" t="str">
        <f t="shared" si="53"/>
        <v/>
      </c>
      <c r="T618" t="str">
        <f t="shared" si="50"/>
        <v/>
      </c>
    </row>
    <row r="619" spans="1:20">
      <c r="A619" s="22" t="s">
        <v>713</v>
      </c>
      <c r="H619" s="22" t="str">
        <f t="shared" si="51"/>
        <v/>
      </c>
      <c r="J619" s="32"/>
      <c r="K619" s="24" t="str">
        <f t="shared" si="49"/>
        <v/>
      </c>
      <c r="R619" s="24" t="str">
        <f t="shared" si="52"/>
        <v/>
      </c>
      <c r="S619" s="24" t="str">
        <f t="shared" si="53"/>
        <v/>
      </c>
      <c r="T619" t="str">
        <f t="shared" si="50"/>
        <v/>
      </c>
    </row>
    <row r="620" spans="1:20">
      <c r="A620" s="22" t="s">
        <v>714</v>
      </c>
      <c r="H620" s="22" t="str">
        <f t="shared" si="51"/>
        <v/>
      </c>
      <c r="J620" s="32"/>
      <c r="K620" s="24" t="str">
        <f t="shared" si="49"/>
        <v/>
      </c>
      <c r="R620" s="24" t="str">
        <f t="shared" si="52"/>
        <v/>
      </c>
      <c r="S620" s="24" t="str">
        <f t="shared" si="53"/>
        <v/>
      </c>
      <c r="T620" t="str">
        <f t="shared" si="50"/>
        <v/>
      </c>
    </row>
    <row r="621" spans="1:20">
      <c r="A621" s="22" t="s">
        <v>715</v>
      </c>
      <c r="H621" s="22" t="str">
        <f t="shared" si="51"/>
        <v/>
      </c>
      <c r="J621" s="32"/>
      <c r="K621" s="24" t="str">
        <f t="shared" si="49"/>
        <v/>
      </c>
      <c r="R621" s="24" t="str">
        <f t="shared" si="52"/>
        <v/>
      </c>
      <c r="S621" s="24" t="str">
        <f t="shared" si="53"/>
        <v/>
      </c>
      <c r="T621" t="str">
        <f t="shared" si="50"/>
        <v/>
      </c>
    </row>
    <row r="622" spans="1:20">
      <c r="A622" s="22" t="s">
        <v>716</v>
      </c>
      <c r="H622" s="22" t="str">
        <f t="shared" si="51"/>
        <v/>
      </c>
      <c r="J622" s="32"/>
      <c r="K622" s="24" t="str">
        <f t="shared" si="49"/>
        <v/>
      </c>
      <c r="R622" s="24" t="str">
        <f t="shared" si="52"/>
        <v/>
      </c>
      <c r="S622" s="24" t="str">
        <f t="shared" si="53"/>
        <v/>
      </c>
      <c r="T622" t="str">
        <f t="shared" si="50"/>
        <v/>
      </c>
    </row>
    <row r="623" spans="1:20">
      <c r="A623" s="22" t="s">
        <v>717</v>
      </c>
      <c r="H623" s="22" t="str">
        <f t="shared" si="51"/>
        <v/>
      </c>
      <c r="J623" s="32"/>
      <c r="K623" s="24" t="str">
        <f t="shared" si="49"/>
        <v/>
      </c>
      <c r="R623" s="24" t="str">
        <f t="shared" si="52"/>
        <v/>
      </c>
      <c r="S623" s="24" t="str">
        <f t="shared" si="53"/>
        <v/>
      </c>
      <c r="T623" t="str">
        <f t="shared" si="50"/>
        <v/>
      </c>
    </row>
    <row r="624" spans="1:20">
      <c r="A624" s="22" t="s">
        <v>718</v>
      </c>
      <c r="H624" s="22" t="str">
        <f t="shared" si="51"/>
        <v/>
      </c>
      <c r="J624" s="32"/>
      <c r="K624" s="24" t="str">
        <f t="shared" si="49"/>
        <v/>
      </c>
      <c r="R624" s="24" t="str">
        <f t="shared" si="52"/>
        <v/>
      </c>
      <c r="S624" s="24" t="str">
        <f t="shared" si="53"/>
        <v/>
      </c>
      <c r="T624" t="str">
        <f t="shared" si="50"/>
        <v/>
      </c>
    </row>
    <row r="625" spans="1:20">
      <c r="A625" s="22" t="s">
        <v>719</v>
      </c>
      <c r="H625" s="22" t="str">
        <f t="shared" si="51"/>
        <v/>
      </c>
      <c r="J625" s="32"/>
      <c r="K625" s="24" t="str">
        <f t="shared" si="49"/>
        <v/>
      </c>
      <c r="R625" s="24" t="str">
        <f t="shared" si="52"/>
        <v/>
      </c>
      <c r="S625" s="24" t="str">
        <f t="shared" si="53"/>
        <v/>
      </c>
      <c r="T625" t="str">
        <f t="shared" si="50"/>
        <v/>
      </c>
    </row>
    <row r="626" spans="1:20">
      <c r="A626" s="22" t="s">
        <v>720</v>
      </c>
      <c r="H626" s="22" t="str">
        <f t="shared" si="51"/>
        <v/>
      </c>
      <c r="J626" s="32"/>
      <c r="K626" s="24" t="str">
        <f t="shared" si="49"/>
        <v/>
      </c>
      <c r="R626" s="24" t="str">
        <f t="shared" si="52"/>
        <v/>
      </c>
      <c r="S626" s="24" t="str">
        <f t="shared" si="53"/>
        <v/>
      </c>
      <c r="T626" t="str">
        <f t="shared" si="50"/>
        <v/>
      </c>
    </row>
    <row r="627" spans="1:20">
      <c r="A627" s="22" t="s">
        <v>721</v>
      </c>
      <c r="H627" s="22" t="str">
        <f t="shared" si="51"/>
        <v/>
      </c>
      <c r="J627" s="32"/>
      <c r="K627" s="24" t="str">
        <f t="shared" si="49"/>
        <v/>
      </c>
      <c r="R627" s="24" t="str">
        <f t="shared" si="52"/>
        <v/>
      </c>
      <c r="S627" s="24" t="str">
        <f t="shared" si="53"/>
        <v/>
      </c>
      <c r="T627" t="str">
        <f t="shared" si="50"/>
        <v/>
      </c>
    </row>
    <row r="628" spans="1:20">
      <c r="A628" s="22" t="s">
        <v>722</v>
      </c>
      <c r="H628" s="22" t="str">
        <f t="shared" si="51"/>
        <v/>
      </c>
      <c r="J628" s="32"/>
      <c r="K628" s="24" t="str">
        <f t="shared" si="49"/>
        <v/>
      </c>
      <c r="R628" s="24" t="str">
        <f t="shared" si="52"/>
        <v/>
      </c>
      <c r="S628" s="24" t="str">
        <f t="shared" si="53"/>
        <v/>
      </c>
      <c r="T628" t="str">
        <f t="shared" si="50"/>
        <v/>
      </c>
    </row>
    <row r="629" spans="1:20">
      <c r="A629" s="22" t="s">
        <v>723</v>
      </c>
      <c r="H629" s="22" t="str">
        <f t="shared" si="51"/>
        <v/>
      </c>
      <c r="J629" s="32"/>
      <c r="K629" s="24" t="str">
        <f t="shared" si="49"/>
        <v/>
      </c>
      <c r="R629" s="24" t="str">
        <f t="shared" si="52"/>
        <v/>
      </c>
      <c r="S629" s="24" t="str">
        <f t="shared" si="53"/>
        <v/>
      </c>
      <c r="T629" t="str">
        <f t="shared" si="50"/>
        <v/>
      </c>
    </row>
    <row r="630" spans="1:20">
      <c r="A630" s="22" t="s">
        <v>724</v>
      </c>
      <c r="H630" s="22" t="str">
        <f t="shared" si="51"/>
        <v/>
      </c>
      <c r="J630" s="32"/>
      <c r="K630" s="24" t="str">
        <f t="shared" si="49"/>
        <v/>
      </c>
      <c r="R630" s="24" t="str">
        <f t="shared" si="52"/>
        <v/>
      </c>
      <c r="S630" s="24" t="str">
        <f t="shared" si="53"/>
        <v/>
      </c>
      <c r="T630" t="str">
        <f t="shared" si="50"/>
        <v/>
      </c>
    </row>
    <row r="631" spans="1:20">
      <c r="A631" s="22" t="s">
        <v>725</v>
      </c>
      <c r="H631" s="22" t="str">
        <f t="shared" si="51"/>
        <v/>
      </c>
      <c r="J631" s="32"/>
      <c r="K631" s="24" t="str">
        <f t="shared" si="49"/>
        <v/>
      </c>
      <c r="R631" s="24" t="str">
        <f t="shared" si="52"/>
        <v/>
      </c>
      <c r="S631" s="24" t="str">
        <f t="shared" si="53"/>
        <v/>
      </c>
      <c r="T631" t="str">
        <f t="shared" si="50"/>
        <v/>
      </c>
    </row>
    <row r="632" spans="1:20">
      <c r="A632" s="22" t="s">
        <v>726</v>
      </c>
      <c r="H632" s="22" t="str">
        <f t="shared" si="51"/>
        <v/>
      </c>
      <c r="J632" s="32"/>
      <c r="K632" s="24" t="str">
        <f t="shared" si="49"/>
        <v/>
      </c>
      <c r="R632" s="24" t="str">
        <f t="shared" si="52"/>
        <v/>
      </c>
      <c r="S632" s="24" t="str">
        <f t="shared" si="53"/>
        <v/>
      </c>
      <c r="T632" t="str">
        <f t="shared" si="50"/>
        <v/>
      </c>
    </row>
    <row r="633" spans="1:20">
      <c r="A633" s="22" t="s">
        <v>727</v>
      </c>
      <c r="H633" s="22" t="str">
        <f t="shared" si="51"/>
        <v/>
      </c>
      <c r="J633" s="32"/>
      <c r="K633" s="24" t="str">
        <f t="shared" si="49"/>
        <v/>
      </c>
      <c r="R633" s="24" t="str">
        <f t="shared" si="52"/>
        <v/>
      </c>
      <c r="S633" s="24" t="str">
        <f t="shared" si="53"/>
        <v/>
      </c>
      <c r="T633" t="str">
        <f t="shared" si="50"/>
        <v/>
      </c>
    </row>
    <row r="634" spans="1:20">
      <c r="A634" s="22" t="s">
        <v>728</v>
      </c>
      <c r="H634" s="22" t="str">
        <f t="shared" si="51"/>
        <v/>
      </c>
      <c r="J634" s="32"/>
      <c r="K634" s="24" t="str">
        <f t="shared" si="49"/>
        <v/>
      </c>
      <c r="R634" s="24" t="str">
        <f t="shared" si="52"/>
        <v/>
      </c>
      <c r="S634" s="24" t="str">
        <f t="shared" si="53"/>
        <v/>
      </c>
      <c r="T634" t="str">
        <f t="shared" si="50"/>
        <v/>
      </c>
    </row>
    <row r="635" spans="1:20">
      <c r="A635" s="22" t="s">
        <v>729</v>
      </c>
      <c r="H635" s="22" t="str">
        <f t="shared" si="51"/>
        <v/>
      </c>
      <c r="J635" s="32"/>
      <c r="K635" s="24" t="str">
        <f t="shared" si="49"/>
        <v/>
      </c>
      <c r="R635" s="24" t="str">
        <f t="shared" si="52"/>
        <v/>
      </c>
      <c r="S635" s="24" t="str">
        <f t="shared" si="53"/>
        <v/>
      </c>
      <c r="T635" t="str">
        <f t="shared" si="50"/>
        <v/>
      </c>
    </row>
    <row r="636" spans="1:20">
      <c r="A636" s="22" t="s">
        <v>730</v>
      </c>
      <c r="H636" s="22" t="str">
        <f t="shared" si="51"/>
        <v/>
      </c>
      <c r="J636" s="32"/>
      <c r="K636" s="24" t="str">
        <f t="shared" si="49"/>
        <v/>
      </c>
      <c r="R636" s="24" t="str">
        <f t="shared" si="52"/>
        <v/>
      </c>
      <c r="S636" s="24" t="str">
        <f t="shared" si="53"/>
        <v/>
      </c>
      <c r="T636" t="str">
        <f t="shared" si="50"/>
        <v/>
      </c>
    </row>
    <row r="637" spans="1:20">
      <c r="A637" s="22" t="s">
        <v>731</v>
      </c>
      <c r="H637" s="22" t="str">
        <f t="shared" si="51"/>
        <v/>
      </c>
      <c r="J637" s="32"/>
      <c r="K637" s="24" t="str">
        <f t="shared" si="49"/>
        <v/>
      </c>
      <c r="R637" s="24" t="str">
        <f t="shared" si="52"/>
        <v/>
      </c>
      <c r="S637" s="24" t="str">
        <f t="shared" si="53"/>
        <v/>
      </c>
      <c r="T637" t="str">
        <f t="shared" si="50"/>
        <v/>
      </c>
    </row>
    <row r="638" spans="1:20">
      <c r="A638" s="22" t="s">
        <v>732</v>
      </c>
      <c r="H638" s="22" t="str">
        <f t="shared" si="51"/>
        <v/>
      </c>
      <c r="J638" s="32"/>
      <c r="K638" s="24" t="str">
        <f t="shared" si="49"/>
        <v/>
      </c>
      <c r="R638" s="24" t="str">
        <f t="shared" si="52"/>
        <v/>
      </c>
      <c r="S638" s="24" t="str">
        <f t="shared" si="53"/>
        <v/>
      </c>
      <c r="T638" t="str">
        <f t="shared" si="50"/>
        <v/>
      </c>
    </row>
    <row r="639" spans="1:20">
      <c r="A639" s="22" t="s">
        <v>733</v>
      </c>
      <c r="H639" s="22" t="str">
        <f t="shared" si="51"/>
        <v/>
      </c>
      <c r="J639" s="32"/>
      <c r="K639" s="24" t="str">
        <f t="shared" si="49"/>
        <v/>
      </c>
      <c r="R639" s="24" t="str">
        <f t="shared" si="52"/>
        <v/>
      </c>
      <c r="S639" s="24" t="str">
        <f t="shared" si="53"/>
        <v/>
      </c>
      <c r="T639" t="str">
        <f t="shared" si="50"/>
        <v/>
      </c>
    </row>
    <row r="640" spans="1:20">
      <c r="A640" s="22" t="s">
        <v>734</v>
      </c>
      <c r="H640" s="22" t="str">
        <f t="shared" si="51"/>
        <v/>
      </c>
      <c r="J640" s="32"/>
      <c r="K640" s="24" t="str">
        <f t="shared" si="49"/>
        <v/>
      </c>
      <c r="R640" s="24" t="str">
        <f t="shared" si="52"/>
        <v/>
      </c>
      <c r="S640" s="24" t="str">
        <f t="shared" si="53"/>
        <v/>
      </c>
      <c r="T640" t="str">
        <f t="shared" si="50"/>
        <v/>
      </c>
    </row>
    <row r="641" spans="1:20">
      <c r="A641" s="22" t="s">
        <v>735</v>
      </c>
      <c r="H641" s="22" t="str">
        <f t="shared" si="51"/>
        <v/>
      </c>
      <c r="J641" s="32"/>
      <c r="K641" s="24" t="str">
        <f t="shared" si="49"/>
        <v/>
      </c>
      <c r="R641" s="24" t="str">
        <f t="shared" si="52"/>
        <v/>
      </c>
      <c r="S641" s="24" t="str">
        <f t="shared" si="53"/>
        <v/>
      </c>
      <c r="T641" t="str">
        <f t="shared" si="50"/>
        <v/>
      </c>
    </row>
    <row r="642" spans="1:20">
      <c r="A642" s="22" t="s">
        <v>736</v>
      </c>
      <c r="H642" s="22" t="str">
        <f t="shared" si="51"/>
        <v/>
      </c>
      <c r="J642" s="32"/>
      <c r="K642" s="24" t="str">
        <f t="shared" si="49"/>
        <v/>
      </c>
      <c r="R642" s="24" t="str">
        <f t="shared" si="52"/>
        <v/>
      </c>
      <c r="S642" s="24" t="str">
        <f t="shared" si="53"/>
        <v/>
      </c>
      <c r="T642" t="str">
        <f t="shared" si="50"/>
        <v/>
      </c>
    </row>
    <row r="643" spans="1:20">
      <c r="A643" s="22" t="s">
        <v>737</v>
      </c>
      <c r="H643" s="22" t="str">
        <f t="shared" si="51"/>
        <v/>
      </c>
      <c r="J643" s="32"/>
      <c r="K643" s="24" t="str">
        <f t="shared" si="49"/>
        <v/>
      </c>
      <c r="R643" s="24" t="str">
        <f t="shared" si="52"/>
        <v/>
      </c>
      <c r="S643" s="24" t="str">
        <f t="shared" si="53"/>
        <v/>
      </c>
      <c r="T643" t="str">
        <f t="shared" si="50"/>
        <v/>
      </c>
    </row>
    <row r="644" spans="1:20">
      <c r="A644" s="22" t="s">
        <v>738</v>
      </c>
      <c r="H644" s="22" t="str">
        <f t="shared" si="51"/>
        <v/>
      </c>
      <c r="J644" s="32"/>
      <c r="K644" s="24" t="str">
        <f t="shared" si="49"/>
        <v/>
      </c>
      <c r="R644" s="24" t="str">
        <f t="shared" si="52"/>
        <v/>
      </c>
      <c r="S644" s="24" t="str">
        <f t="shared" si="53"/>
        <v/>
      </c>
      <c r="T644" t="str">
        <f t="shared" si="50"/>
        <v/>
      </c>
    </row>
    <row r="645" spans="1:20">
      <c r="A645" s="22" t="s">
        <v>739</v>
      </c>
      <c r="H645" s="22" t="str">
        <f t="shared" si="51"/>
        <v/>
      </c>
      <c r="J645" s="32"/>
      <c r="K645" s="24" t="str">
        <f t="shared" si="49"/>
        <v/>
      </c>
      <c r="R645" s="24" t="str">
        <f t="shared" si="52"/>
        <v/>
      </c>
      <c r="S645" s="24" t="str">
        <f t="shared" si="53"/>
        <v/>
      </c>
      <c r="T645" t="str">
        <f t="shared" si="50"/>
        <v/>
      </c>
    </row>
    <row r="646" spans="1:20">
      <c r="A646" s="22" t="s">
        <v>740</v>
      </c>
      <c r="H646" s="22" t="str">
        <f t="shared" si="51"/>
        <v/>
      </c>
      <c r="J646" s="32"/>
      <c r="K646" s="24" t="str">
        <f t="shared" si="49"/>
        <v/>
      </c>
      <c r="R646" s="24" t="str">
        <f t="shared" si="52"/>
        <v/>
      </c>
      <c r="S646" s="24" t="str">
        <f t="shared" si="53"/>
        <v/>
      </c>
      <c r="T646" t="str">
        <f t="shared" si="50"/>
        <v/>
      </c>
    </row>
    <row r="647" spans="1:20">
      <c r="A647" s="22" t="s">
        <v>741</v>
      </c>
      <c r="H647" s="22" t="str">
        <f t="shared" si="51"/>
        <v/>
      </c>
      <c r="J647" s="32"/>
      <c r="K647" s="24" t="str">
        <f t="shared" si="49"/>
        <v/>
      </c>
      <c r="R647" s="24" t="str">
        <f t="shared" si="52"/>
        <v/>
      </c>
      <c r="S647" s="24" t="str">
        <f t="shared" si="53"/>
        <v/>
      </c>
      <c r="T647" t="str">
        <f t="shared" si="50"/>
        <v/>
      </c>
    </row>
    <row r="648" spans="1:20">
      <c r="A648" s="22" t="s">
        <v>742</v>
      </c>
      <c r="H648" s="22" t="str">
        <f t="shared" si="51"/>
        <v/>
      </c>
      <c r="J648" s="32"/>
      <c r="K648" s="24" t="str">
        <f t="shared" si="49"/>
        <v/>
      </c>
      <c r="R648" s="24" t="str">
        <f t="shared" si="52"/>
        <v/>
      </c>
      <c r="S648" s="24" t="str">
        <f t="shared" si="53"/>
        <v/>
      </c>
      <c r="T648" t="str">
        <f t="shared" si="50"/>
        <v/>
      </c>
    </row>
    <row r="649" spans="1:20">
      <c r="A649" s="22" t="s">
        <v>743</v>
      </c>
      <c r="H649" s="22" t="str">
        <f t="shared" si="51"/>
        <v/>
      </c>
      <c r="J649" s="32"/>
      <c r="K649" s="24" t="str">
        <f t="shared" ref="K649:K712" si="54">IF(I649="","",IF(I649="ENTRADA",ABS(J649),-ABS(J649)))</f>
        <v/>
      </c>
      <c r="R649" s="24" t="str">
        <f t="shared" si="52"/>
        <v/>
      </c>
      <c r="S649" s="24" t="str">
        <f t="shared" si="53"/>
        <v/>
      </c>
      <c r="T649" t="str">
        <f t="shared" si="50"/>
        <v/>
      </c>
    </row>
    <row r="650" spans="1:20">
      <c r="A650" s="22" t="s">
        <v>744</v>
      </c>
      <c r="H650" s="22" t="str">
        <f t="shared" si="51"/>
        <v/>
      </c>
      <c r="J650" s="32"/>
      <c r="K650" s="24" t="str">
        <f t="shared" si="54"/>
        <v/>
      </c>
      <c r="R650" s="24" t="str">
        <f t="shared" si="52"/>
        <v/>
      </c>
      <c r="S650" s="24" t="str">
        <f t="shared" si="53"/>
        <v/>
      </c>
      <c r="T650" t="str">
        <f t="shared" si="50"/>
        <v/>
      </c>
    </row>
    <row r="651" spans="1:20">
      <c r="A651" s="22" t="s">
        <v>745</v>
      </c>
      <c r="H651" s="22" t="str">
        <f t="shared" si="51"/>
        <v/>
      </c>
      <c r="J651" s="32"/>
      <c r="K651" s="24" t="str">
        <f t="shared" si="54"/>
        <v/>
      </c>
      <c r="R651" s="24" t="str">
        <f t="shared" si="52"/>
        <v/>
      </c>
      <c r="S651" s="24" t="str">
        <f t="shared" si="53"/>
        <v/>
      </c>
      <c r="T651" t="str">
        <f t="shared" si="50"/>
        <v/>
      </c>
    </row>
    <row r="652" spans="1:20">
      <c r="A652" s="22" t="s">
        <v>746</v>
      </c>
      <c r="H652" s="22" t="str">
        <f t="shared" si="51"/>
        <v/>
      </c>
      <c r="J652" s="32"/>
      <c r="K652" s="24" t="str">
        <f t="shared" si="54"/>
        <v/>
      </c>
      <c r="R652" s="24" t="str">
        <f t="shared" si="52"/>
        <v/>
      </c>
      <c r="S652" s="24" t="str">
        <f t="shared" si="53"/>
        <v/>
      </c>
      <c r="T652" t="str">
        <f t="shared" si="50"/>
        <v/>
      </c>
    </row>
    <row r="653" spans="1:20">
      <c r="A653" s="22" t="s">
        <v>747</v>
      </c>
      <c r="H653" s="22" t="str">
        <f t="shared" si="51"/>
        <v/>
      </c>
      <c r="J653" s="32"/>
      <c r="K653" s="24" t="str">
        <f t="shared" si="54"/>
        <v/>
      </c>
      <c r="R653" s="24" t="str">
        <f t="shared" si="52"/>
        <v/>
      </c>
      <c r="S653" s="24" t="str">
        <f t="shared" si="53"/>
        <v/>
      </c>
      <c r="T653" t="str">
        <f t="shared" si="50"/>
        <v/>
      </c>
    </row>
    <row r="654" spans="1:20">
      <c r="A654" s="22" t="s">
        <v>748</v>
      </c>
      <c r="H654" s="22" t="str">
        <f t="shared" si="51"/>
        <v/>
      </c>
      <c r="J654" s="32"/>
      <c r="K654" s="24" t="str">
        <f t="shared" si="54"/>
        <v/>
      </c>
      <c r="R654" s="24" t="str">
        <f t="shared" si="52"/>
        <v/>
      </c>
      <c r="S654" s="24" t="str">
        <f t="shared" si="53"/>
        <v/>
      </c>
      <c r="T654" t="str">
        <f t="shared" si="50"/>
        <v/>
      </c>
    </row>
    <row r="655" spans="1:20">
      <c r="A655" s="22" t="s">
        <v>749</v>
      </c>
      <c r="H655" s="22" t="str">
        <f t="shared" si="51"/>
        <v/>
      </c>
      <c r="J655" s="32"/>
      <c r="K655" s="24" t="str">
        <f t="shared" si="54"/>
        <v/>
      </c>
      <c r="R655" s="24" t="str">
        <f t="shared" si="52"/>
        <v/>
      </c>
      <c r="S655" s="24" t="str">
        <f t="shared" si="53"/>
        <v/>
      </c>
      <c r="T655" t="str">
        <f t="shared" ref="T655:T718" si="55">IF(OR(C655="",I655&lt;&gt;"ENTRADA"),"",TEXT(B655,"AAMMDD")&amp;"-"&amp;TEXT(VALUE(SUBSTITUTE(A655,"MOV-","")),"000"))</f>
        <v/>
      </c>
    </row>
    <row r="656" spans="1:20">
      <c r="A656" s="22" t="s">
        <v>750</v>
      </c>
      <c r="H656" s="22" t="str">
        <f t="shared" ref="H656:H719" si="56">+T656</f>
        <v/>
      </c>
      <c r="J656" s="32"/>
      <c r="K656" s="24" t="str">
        <f t="shared" si="54"/>
        <v/>
      </c>
      <c r="R656" s="24" t="str">
        <f t="shared" ref="R656:R719" si="57">IF(H656="","",H656&amp;I656)</f>
        <v/>
      </c>
      <c r="S656" s="24" t="str">
        <f t="shared" ref="S656:S719" si="58">IF(C656="","",C656&amp;I656)</f>
        <v/>
      </c>
      <c r="T656" t="str">
        <f t="shared" si="55"/>
        <v/>
      </c>
    </row>
    <row r="657" spans="1:20">
      <c r="A657" s="22" t="s">
        <v>751</v>
      </c>
      <c r="H657" s="22" t="str">
        <f t="shared" si="56"/>
        <v/>
      </c>
      <c r="J657" s="32"/>
      <c r="K657" s="24" t="str">
        <f t="shared" si="54"/>
        <v/>
      </c>
      <c r="R657" s="24" t="str">
        <f t="shared" si="57"/>
        <v/>
      </c>
      <c r="S657" s="24" t="str">
        <f t="shared" si="58"/>
        <v/>
      </c>
      <c r="T657" t="str">
        <f t="shared" si="55"/>
        <v/>
      </c>
    </row>
    <row r="658" spans="1:20">
      <c r="A658" s="22" t="s">
        <v>752</v>
      </c>
      <c r="H658" s="22" t="str">
        <f t="shared" si="56"/>
        <v/>
      </c>
      <c r="J658" s="32"/>
      <c r="K658" s="24" t="str">
        <f t="shared" si="54"/>
        <v/>
      </c>
      <c r="R658" s="24" t="str">
        <f t="shared" si="57"/>
        <v/>
      </c>
      <c r="S658" s="24" t="str">
        <f t="shared" si="58"/>
        <v/>
      </c>
      <c r="T658" t="str">
        <f t="shared" si="55"/>
        <v/>
      </c>
    </row>
    <row r="659" spans="1:20">
      <c r="A659" s="22" t="s">
        <v>753</v>
      </c>
      <c r="H659" s="22" t="str">
        <f t="shared" si="56"/>
        <v/>
      </c>
      <c r="J659" s="32"/>
      <c r="K659" s="24" t="str">
        <f t="shared" si="54"/>
        <v/>
      </c>
      <c r="R659" s="24" t="str">
        <f t="shared" si="57"/>
        <v/>
      </c>
      <c r="S659" s="24" t="str">
        <f t="shared" si="58"/>
        <v/>
      </c>
      <c r="T659" t="str">
        <f t="shared" si="55"/>
        <v/>
      </c>
    </row>
    <row r="660" spans="1:20">
      <c r="A660" s="22" t="s">
        <v>754</v>
      </c>
      <c r="H660" s="22" t="str">
        <f t="shared" si="56"/>
        <v/>
      </c>
      <c r="J660" s="32"/>
      <c r="K660" s="24" t="str">
        <f t="shared" si="54"/>
        <v/>
      </c>
      <c r="R660" s="24" t="str">
        <f t="shared" si="57"/>
        <v/>
      </c>
      <c r="S660" s="24" t="str">
        <f t="shared" si="58"/>
        <v/>
      </c>
      <c r="T660" t="str">
        <f t="shared" si="55"/>
        <v/>
      </c>
    </row>
    <row r="661" spans="1:20">
      <c r="A661" s="22" t="s">
        <v>755</v>
      </c>
      <c r="H661" s="22" t="str">
        <f t="shared" si="56"/>
        <v/>
      </c>
      <c r="J661" s="32"/>
      <c r="K661" s="24" t="str">
        <f t="shared" si="54"/>
        <v/>
      </c>
      <c r="R661" s="24" t="str">
        <f t="shared" si="57"/>
        <v/>
      </c>
      <c r="S661" s="24" t="str">
        <f t="shared" si="58"/>
        <v/>
      </c>
      <c r="T661" t="str">
        <f t="shared" si="55"/>
        <v/>
      </c>
    </row>
    <row r="662" spans="1:20">
      <c r="A662" s="22" t="s">
        <v>756</v>
      </c>
      <c r="H662" s="22" t="str">
        <f t="shared" si="56"/>
        <v/>
      </c>
      <c r="J662" s="32"/>
      <c r="K662" s="24" t="str">
        <f t="shared" si="54"/>
        <v/>
      </c>
      <c r="R662" s="24" t="str">
        <f t="shared" si="57"/>
        <v/>
      </c>
      <c r="S662" s="24" t="str">
        <f t="shared" si="58"/>
        <v/>
      </c>
      <c r="T662" t="str">
        <f t="shared" si="55"/>
        <v/>
      </c>
    </row>
    <row r="663" spans="1:20">
      <c r="A663" s="22" t="s">
        <v>757</v>
      </c>
      <c r="H663" s="22" t="str">
        <f t="shared" si="56"/>
        <v/>
      </c>
      <c r="J663" s="32"/>
      <c r="K663" s="24" t="str">
        <f t="shared" si="54"/>
        <v/>
      </c>
      <c r="R663" s="24" t="str">
        <f t="shared" si="57"/>
        <v/>
      </c>
      <c r="S663" s="24" t="str">
        <f t="shared" si="58"/>
        <v/>
      </c>
      <c r="T663" t="str">
        <f t="shared" si="55"/>
        <v/>
      </c>
    </row>
    <row r="664" spans="1:20">
      <c r="A664" s="22" t="s">
        <v>758</v>
      </c>
      <c r="H664" s="22" t="str">
        <f t="shared" si="56"/>
        <v/>
      </c>
      <c r="J664" s="32"/>
      <c r="K664" s="24" t="str">
        <f t="shared" si="54"/>
        <v/>
      </c>
      <c r="R664" s="24" t="str">
        <f t="shared" si="57"/>
        <v/>
      </c>
      <c r="S664" s="24" t="str">
        <f t="shared" si="58"/>
        <v/>
      </c>
      <c r="T664" t="str">
        <f t="shared" si="55"/>
        <v/>
      </c>
    </row>
    <row r="665" spans="1:20">
      <c r="A665" s="22" t="s">
        <v>759</v>
      </c>
      <c r="H665" s="22" t="str">
        <f t="shared" si="56"/>
        <v/>
      </c>
      <c r="J665" s="32"/>
      <c r="K665" s="24" t="str">
        <f t="shared" si="54"/>
        <v/>
      </c>
      <c r="R665" s="24" t="str">
        <f t="shared" si="57"/>
        <v/>
      </c>
      <c r="S665" s="24" t="str">
        <f t="shared" si="58"/>
        <v/>
      </c>
      <c r="T665" t="str">
        <f t="shared" si="55"/>
        <v/>
      </c>
    </row>
    <row r="666" spans="1:20">
      <c r="A666" s="22" t="s">
        <v>760</v>
      </c>
      <c r="H666" s="22" t="str">
        <f t="shared" si="56"/>
        <v/>
      </c>
      <c r="J666" s="32"/>
      <c r="K666" s="24" t="str">
        <f t="shared" si="54"/>
        <v/>
      </c>
      <c r="R666" s="24" t="str">
        <f t="shared" si="57"/>
        <v/>
      </c>
      <c r="S666" s="24" t="str">
        <f t="shared" si="58"/>
        <v/>
      </c>
      <c r="T666" t="str">
        <f t="shared" si="55"/>
        <v/>
      </c>
    </row>
    <row r="667" spans="1:20">
      <c r="A667" s="22" t="s">
        <v>761</v>
      </c>
      <c r="H667" s="22" t="str">
        <f t="shared" si="56"/>
        <v/>
      </c>
      <c r="J667" s="32"/>
      <c r="K667" s="24" t="str">
        <f t="shared" si="54"/>
        <v/>
      </c>
      <c r="R667" s="24" t="str">
        <f t="shared" si="57"/>
        <v/>
      </c>
      <c r="S667" s="24" t="str">
        <f t="shared" si="58"/>
        <v/>
      </c>
      <c r="T667" t="str">
        <f t="shared" si="55"/>
        <v/>
      </c>
    </row>
    <row r="668" spans="1:20">
      <c r="A668" s="22" t="s">
        <v>762</v>
      </c>
      <c r="H668" s="22" t="str">
        <f t="shared" si="56"/>
        <v/>
      </c>
      <c r="J668" s="32"/>
      <c r="K668" s="24" t="str">
        <f t="shared" si="54"/>
        <v/>
      </c>
      <c r="R668" s="24" t="str">
        <f t="shared" si="57"/>
        <v/>
      </c>
      <c r="S668" s="24" t="str">
        <f t="shared" si="58"/>
        <v/>
      </c>
      <c r="T668" t="str">
        <f t="shared" si="55"/>
        <v/>
      </c>
    </row>
    <row r="669" spans="1:20">
      <c r="A669" s="22" t="s">
        <v>763</v>
      </c>
      <c r="H669" s="22" t="str">
        <f t="shared" si="56"/>
        <v/>
      </c>
      <c r="J669" s="32"/>
      <c r="K669" s="24" t="str">
        <f t="shared" si="54"/>
        <v/>
      </c>
      <c r="R669" s="24" t="str">
        <f t="shared" si="57"/>
        <v/>
      </c>
      <c r="S669" s="24" t="str">
        <f t="shared" si="58"/>
        <v/>
      </c>
      <c r="T669" t="str">
        <f t="shared" si="55"/>
        <v/>
      </c>
    </row>
    <row r="670" spans="1:20">
      <c r="A670" s="22" t="s">
        <v>764</v>
      </c>
      <c r="H670" s="22" t="str">
        <f t="shared" si="56"/>
        <v/>
      </c>
      <c r="J670" s="32"/>
      <c r="K670" s="24" t="str">
        <f t="shared" si="54"/>
        <v/>
      </c>
      <c r="R670" s="24" t="str">
        <f t="shared" si="57"/>
        <v/>
      </c>
      <c r="S670" s="24" t="str">
        <f t="shared" si="58"/>
        <v/>
      </c>
      <c r="T670" t="str">
        <f t="shared" si="55"/>
        <v/>
      </c>
    </row>
    <row r="671" spans="1:20">
      <c r="A671" s="22" t="s">
        <v>765</v>
      </c>
      <c r="H671" s="22" t="str">
        <f t="shared" si="56"/>
        <v/>
      </c>
      <c r="J671" s="32"/>
      <c r="K671" s="24" t="str">
        <f t="shared" si="54"/>
        <v/>
      </c>
      <c r="R671" s="24" t="str">
        <f t="shared" si="57"/>
        <v/>
      </c>
      <c r="S671" s="24" t="str">
        <f t="shared" si="58"/>
        <v/>
      </c>
      <c r="T671" t="str">
        <f t="shared" si="55"/>
        <v/>
      </c>
    </row>
    <row r="672" spans="1:20">
      <c r="A672" s="22" t="s">
        <v>766</v>
      </c>
      <c r="H672" s="22" t="str">
        <f t="shared" si="56"/>
        <v/>
      </c>
      <c r="J672" s="32"/>
      <c r="K672" s="24" t="str">
        <f t="shared" si="54"/>
        <v/>
      </c>
      <c r="R672" s="24" t="str">
        <f t="shared" si="57"/>
        <v/>
      </c>
      <c r="S672" s="24" t="str">
        <f t="shared" si="58"/>
        <v/>
      </c>
      <c r="T672" t="str">
        <f t="shared" si="55"/>
        <v/>
      </c>
    </row>
    <row r="673" spans="1:20">
      <c r="A673" s="22" t="s">
        <v>767</v>
      </c>
      <c r="H673" s="22" t="str">
        <f t="shared" si="56"/>
        <v/>
      </c>
      <c r="J673" s="32"/>
      <c r="K673" s="24" t="str">
        <f t="shared" si="54"/>
        <v/>
      </c>
      <c r="R673" s="24" t="str">
        <f t="shared" si="57"/>
        <v/>
      </c>
      <c r="S673" s="24" t="str">
        <f t="shared" si="58"/>
        <v/>
      </c>
      <c r="T673" t="str">
        <f t="shared" si="55"/>
        <v/>
      </c>
    </row>
    <row r="674" spans="1:20">
      <c r="A674" s="22" t="s">
        <v>768</v>
      </c>
      <c r="H674" s="22" t="str">
        <f t="shared" si="56"/>
        <v/>
      </c>
      <c r="J674" s="32"/>
      <c r="K674" s="24" t="str">
        <f t="shared" si="54"/>
        <v/>
      </c>
      <c r="R674" s="24" t="str">
        <f t="shared" si="57"/>
        <v/>
      </c>
      <c r="S674" s="24" t="str">
        <f t="shared" si="58"/>
        <v/>
      </c>
      <c r="T674" t="str">
        <f t="shared" si="55"/>
        <v/>
      </c>
    </row>
    <row r="675" spans="1:20">
      <c r="A675" s="22" t="s">
        <v>769</v>
      </c>
      <c r="H675" s="22" t="str">
        <f t="shared" si="56"/>
        <v/>
      </c>
      <c r="J675" s="32"/>
      <c r="K675" s="24" t="str">
        <f t="shared" si="54"/>
        <v/>
      </c>
      <c r="R675" s="24" t="str">
        <f t="shared" si="57"/>
        <v/>
      </c>
      <c r="S675" s="24" t="str">
        <f t="shared" si="58"/>
        <v/>
      </c>
      <c r="T675" t="str">
        <f t="shared" si="55"/>
        <v/>
      </c>
    </row>
    <row r="676" spans="1:20">
      <c r="A676" s="22" t="s">
        <v>770</v>
      </c>
      <c r="H676" s="22" t="str">
        <f t="shared" si="56"/>
        <v/>
      </c>
      <c r="J676" s="32"/>
      <c r="K676" s="24" t="str">
        <f t="shared" si="54"/>
        <v/>
      </c>
      <c r="R676" s="24" t="str">
        <f t="shared" si="57"/>
        <v/>
      </c>
      <c r="S676" s="24" t="str">
        <f t="shared" si="58"/>
        <v/>
      </c>
      <c r="T676" t="str">
        <f t="shared" si="55"/>
        <v/>
      </c>
    </row>
    <row r="677" spans="1:20">
      <c r="A677" s="22" t="s">
        <v>771</v>
      </c>
      <c r="H677" s="22" t="str">
        <f t="shared" si="56"/>
        <v/>
      </c>
      <c r="J677" s="32"/>
      <c r="K677" s="24" t="str">
        <f t="shared" si="54"/>
        <v/>
      </c>
      <c r="R677" s="24" t="str">
        <f t="shared" si="57"/>
        <v/>
      </c>
      <c r="S677" s="24" t="str">
        <f t="shared" si="58"/>
        <v/>
      </c>
      <c r="T677" t="str">
        <f t="shared" si="55"/>
        <v/>
      </c>
    </row>
    <row r="678" spans="1:20">
      <c r="A678" s="22" t="s">
        <v>772</v>
      </c>
      <c r="H678" s="22" t="str">
        <f t="shared" si="56"/>
        <v/>
      </c>
      <c r="J678" s="32"/>
      <c r="K678" s="24" t="str">
        <f t="shared" si="54"/>
        <v/>
      </c>
      <c r="R678" s="24" t="str">
        <f t="shared" si="57"/>
        <v/>
      </c>
      <c r="S678" s="24" t="str">
        <f t="shared" si="58"/>
        <v/>
      </c>
      <c r="T678" t="str">
        <f t="shared" si="55"/>
        <v/>
      </c>
    </row>
    <row r="679" spans="1:20">
      <c r="A679" s="22" t="s">
        <v>773</v>
      </c>
      <c r="H679" s="22" t="str">
        <f t="shared" si="56"/>
        <v/>
      </c>
      <c r="J679" s="32"/>
      <c r="K679" s="24" t="str">
        <f t="shared" si="54"/>
        <v/>
      </c>
      <c r="R679" s="24" t="str">
        <f t="shared" si="57"/>
        <v/>
      </c>
      <c r="S679" s="24" t="str">
        <f t="shared" si="58"/>
        <v/>
      </c>
      <c r="T679" t="str">
        <f t="shared" si="55"/>
        <v/>
      </c>
    </row>
    <row r="680" spans="1:20">
      <c r="A680" s="22" t="s">
        <v>774</v>
      </c>
      <c r="H680" s="22" t="str">
        <f t="shared" si="56"/>
        <v/>
      </c>
      <c r="J680" s="32"/>
      <c r="K680" s="24" t="str">
        <f t="shared" si="54"/>
        <v/>
      </c>
      <c r="R680" s="24" t="str">
        <f t="shared" si="57"/>
        <v/>
      </c>
      <c r="S680" s="24" t="str">
        <f t="shared" si="58"/>
        <v/>
      </c>
      <c r="T680" t="str">
        <f t="shared" si="55"/>
        <v/>
      </c>
    </row>
    <row r="681" spans="1:20">
      <c r="A681" s="22" t="s">
        <v>775</v>
      </c>
      <c r="H681" s="22" t="str">
        <f t="shared" si="56"/>
        <v/>
      </c>
      <c r="J681" s="32"/>
      <c r="K681" s="24" t="str">
        <f t="shared" si="54"/>
        <v/>
      </c>
      <c r="R681" s="24" t="str">
        <f t="shared" si="57"/>
        <v/>
      </c>
      <c r="S681" s="24" t="str">
        <f t="shared" si="58"/>
        <v/>
      </c>
      <c r="T681" t="str">
        <f t="shared" si="55"/>
        <v/>
      </c>
    </row>
    <row r="682" spans="1:20">
      <c r="A682" s="22" t="s">
        <v>776</v>
      </c>
      <c r="H682" s="22" t="str">
        <f t="shared" si="56"/>
        <v/>
      </c>
      <c r="J682" s="32"/>
      <c r="K682" s="24" t="str">
        <f t="shared" si="54"/>
        <v/>
      </c>
      <c r="R682" s="24" t="str">
        <f t="shared" si="57"/>
        <v/>
      </c>
      <c r="S682" s="24" t="str">
        <f t="shared" si="58"/>
        <v/>
      </c>
      <c r="T682" t="str">
        <f t="shared" si="55"/>
        <v/>
      </c>
    </row>
    <row r="683" spans="1:20">
      <c r="A683" s="22" t="s">
        <v>777</v>
      </c>
      <c r="H683" s="22" t="str">
        <f t="shared" si="56"/>
        <v/>
      </c>
      <c r="J683" s="32"/>
      <c r="K683" s="24" t="str">
        <f t="shared" si="54"/>
        <v/>
      </c>
      <c r="R683" s="24" t="str">
        <f t="shared" si="57"/>
        <v/>
      </c>
      <c r="S683" s="24" t="str">
        <f t="shared" si="58"/>
        <v/>
      </c>
      <c r="T683" t="str">
        <f t="shared" si="55"/>
        <v/>
      </c>
    </row>
    <row r="684" spans="1:20">
      <c r="A684" s="22" t="s">
        <v>778</v>
      </c>
      <c r="H684" s="22" t="str">
        <f t="shared" si="56"/>
        <v/>
      </c>
      <c r="J684" s="32"/>
      <c r="K684" s="24" t="str">
        <f t="shared" si="54"/>
        <v/>
      </c>
      <c r="R684" s="24" t="str">
        <f t="shared" si="57"/>
        <v/>
      </c>
      <c r="S684" s="24" t="str">
        <f t="shared" si="58"/>
        <v/>
      </c>
      <c r="T684" t="str">
        <f t="shared" si="55"/>
        <v/>
      </c>
    </row>
    <row r="685" spans="1:20">
      <c r="A685" s="22" t="s">
        <v>779</v>
      </c>
      <c r="H685" s="22" t="str">
        <f t="shared" si="56"/>
        <v/>
      </c>
      <c r="J685" s="32"/>
      <c r="K685" s="24" t="str">
        <f t="shared" si="54"/>
        <v/>
      </c>
      <c r="R685" s="24" t="str">
        <f t="shared" si="57"/>
        <v/>
      </c>
      <c r="S685" s="24" t="str">
        <f t="shared" si="58"/>
        <v/>
      </c>
      <c r="T685" t="str">
        <f t="shared" si="55"/>
        <v/>
      </c>
    </row>
    <row r="686" spans="1:20">
      <c r="A686" s="22" t="s">
        <v>780</v>
      </c>
      <c r="H686" s="22" t="str">
        <f t="shared" si="56"/>
        <v/>
      </c>
      <c r="J686" s="32"/>
      <c r="K686" s="24" t="str">
        <f t="shared" si="54"/>
        <v/>
      </c>
      <c r="R686" s="24" t="str">
        <f t="shared" si="57"/>
        <v/>
      </c>
      <c r="S686" s="24" t="str">
        <f t="shared" si="58"/>
        <v/>
      </c>
      <c r="T686" t="str">
        <f t="shared" si="55"/>
        <v/>
      </c>
    </row>
    <row r="687" spans="1:20">
      <c r="A687" s="22" t="s">
        <v>781</v>
      </c>
      <c r="H687" s="22" t="str">
        <f t="shared" si="56"/>
        <v/>
      </c>
      <c r="J687" s="32"/>
      <c r="K687" s="24" t="str">
        <f t="shared" si="54"/>
        <v/>
      </c>
      <c r="R687" s="24" t="str">
        <f t="shared" si="57"/>
        <v/>
      </c>
      <c r="S687" s="24" t="str">
        <f t="shared" si="58"/>
        <v/>
      </c>
      <c r="T687" t="str">
        <f t="shared" si="55"/>
        <v/>
      </c>
    </row>
    <row r="688" spans="1:20">
      <c r="A688" s="22" t="s">
        <v>782</v>
      </c>
      <c r="H688" s="22" t="str">
        <f t="shared" si="56"/>
        <v/>
      </c>
      <c r="J688" s="32"/>
      <c r="K688" s="24" t="str">
        <f t="shared" si="54"/>
        <v/>
      </c>
      <c r="R688" s="24" t="str">
        <f t="shared" si="57"/>
        <v/>
      </c>
      <c r="S688" s="24" t="str">
        <f t="shared" si="58"/>
        <v/>
      </c>
      <c r="T688" t="str">
        <f t="shared" si="55"/>
        <v/>
      </c>
    </row>
    <row r="689" spans="1:20">
      <c r="A689" s="22" t="s">
        <v>783</v>
      </c>
      <c r="H689" s="22" t="str">
        <f t="shared" si="56"/>
        <v/>
      </c>
      <c r="J689" s="32"/>
      <c r="K689" s="24" t="str">
        <f t="shared" si="54"/>
        <v/>
      </c>
      <c r="R689" s="24" t="str">
        <f t="shared" si="57"/>
        <v/>
      </c>
      <c r="S689" s="24" t="str">
        <f t="shared" si="58"/>
        <v/>
      </c>
      <c r="T689" t="str">
        <f t="shared" si="55"/>
        <v/>
      </c>
    </row>
    <row r="690" spans="1:20">
      <c r="A690" s="22" t="s">
        <v>784</v>
      </c>
      <c r="H690" s="22" t="str">
        <f t="shared" si="56"/>
        <v/>
      </c>
      <c r="J690" s="32"/>
      <c r="K690" s="24" t="str">
        <f t="shared" si="54"/>
        <v/>
      </c>
      <c r="R690" s="24" t="str">
        <f t="shared" si="57"/>
        <v/>
      </c>
      <c r="S690" s="24" t="str">
        <f t="shared" si="58"/>
        <v/>
      </c>
      <c r="T690" t="str">
        <f t="shared" si="55"/>
        <v/>
      </c>
    </row>
    <row r="691" spans="1:20">
      <c r="A691" s="22" t="s">
        <v>785</v>
      </c>
      <c r="H691" s="22" t="str">
        <f t="shared" si="56"/>
        <v/>
      </c>
      <c r="J691" s="32"/>
      <c r="K691" s="24" t="str">
        <f t="shared" si="54"/>
        <v/>
      </c>
      <c r="R691" s="24" t="str">
        <f t="shared" si="57"/>
        <v/>
      </c>
      <c r="S691" s="24" t="str">
        <f t="shared" si="58"/>
        <v/>
      </c>
      <c r="T691" t="str">
        <f t="shared" si="55"/>
        <v/>
      </c>
    </row>
    <row r="692" spans="1:20">
      <c r="A692" s="22" t="s">
        <v>786</v>
      </c>
      <c r="H692" s="22" t="str">
        <f t="shared" si="56"/>
        <v/>
      </c>
      <c r="J692" s="32"/>
      <c r="K692" s="24" t="str">
        <f t="shared" si="54"/>
        <v/>
      </c>
      <c r="R692" s="24" t="str">
        <f t="shared" si="57"/>
        <v/>
      </c>
      <c r="S692" s="24" t="str">
        <f t="shared" si="58"/>
        <v/>
      </c>
      <c r="T692" t="str">
        <f t="shared" si="55"/>
        <v/>
      </c>
    </row>
    <row r="693" spans="1:20">
      <c r="A693" s="22" t="s">
        <v>787</v>
      </c>
      <c r="H693" s="22" t="str">
        <f t="shared" si="56"/>
        <v/>
      </c>
      <c r="J693" s="32"/>
      <c r="K693" s="24" t="str">
        <f t="shared" si="54"/>
        <v/>
      </c>
      <c r="R693" s="24" t="str">
        <f t="shared" si="57"/>
        <v/>
      </c>
      <c r="S693" s="24" t="str">
        <f t="shared" si="58"/>
        <v/>
      </c>
      <c r="T693" t="str">
        <f t="shared" si="55"/>
        <v/>
      </c>
    </row>
    <row r="694" spans="1:20">
      <c r="A694" s="22" t="s">
        <v>788</v>
      </c>
      <c r="H694" s="22" t="str">
        <f t="shared" si="56"/>
        <v/>
      </c>
      <c r="J694" s="32"/>
      <c r="K694" s="24" t="str">
        <f t="shared" si="54"/>
        <v/>
      </c>
      <c r="R694" s="24" t="str">
        <f t="shared" si="57"/>
        <v/>
      </c>
      <c r="S694" s="24" t="str">
        <f t="shared" si="58"/>
        <v/>
      </c>
      <c r="T694" t="str">
        <f t="shared" si="55"/>
        <v/>
      </c>
    </row>
    <row r="695" spans="1:20">
      <c r="A695" s="22" t="s">
        <v>789</v>
      </c>
      <c r="H695" s="22" t="str">
        <f t="shared" si="56"/>
        <v/>
      </c>
      <c r="J695" s="32"/>
      <c r="K695" s="24" t="str">
        <f t="shared" si="54"/>
        <v/>
      </c>
      <c r="R695" s="24" t="str">
        <f t="shared" si="57"/>
        <v/>
      </c>
      <c r="S695" s="24" t="str">
        <f t="shared" si="58"/>
        <v/>
      </c>
      <c r="T695" t="str">
        <f t="shared" si="55"/>
        <v/>
      </c>
    </row>
    <row r="696" spans="1:20">
      <c r="A696" s="22" t="s">
        <v>790</v>
      </c>
      <c r="H696" s="22" t="str">
        <f t="shared" si="56"/>
        <v/>
      </c>
      <c r="J696" s="32"/>
      <c r="K696" s="24" t="str">
        <f t="shared" si="54"/>
        <v/>
      </c>
      <c r="R696" s="24" t="str">
        <f t="shared" si="57"/>
        <v/>
      </c>
      <c r="S696" s="24" t="str">
        <f t="shared" si="58"/>
        <v/>
      </c>
      <c r="T696" t="str">
        <f t="shared" si="55"/>
        <v/>
      </c>
    </row>
    <row r="697" spans="1:20">
      <c r="A697" s="22" t="s">
        <v>791</v>
      </c>
      <c r="H697" s="22" t="str">
        <f t="shared" si="56"/>
        <v/>
      </c>
      <c r="J697" s="32"/>
      <c r="K697" s="24" t="str">
        <f t="shared" si="54"/>
        <v/>
      </c>
      <c r="R697" s="24" t="str">
        <f t="shared" si="57"/>
        <v/>
      </c>
      <c r="S697" s="24" t="str">
        <f t="shared" si="58"/>
        <v/>
      </c>
      <c r="T697" t="str">
        <f t="shared" si="55"/>
        <v/>
      </c>
    </row>
    <row r="698" spans="1:20">
      <c r="A698" s="22" t="s">
        <v>792</v>
      </c>
      <c r="H698" s="22" t="str">
        <f t="shared" si="56"/>
        <v/>
      </c>
      <c r="J698" s="32"/>
      <c r="K698" s="24" t="str">
        <f t="shared" si="54"/>
        <v/>
      </c>
      <c r="R698" s="24" t="str">
        <f t="shared" si="57"/>
        <v/>
      </c>
      <c r="S698" s="24" t="str">
        <f t="shared" si="58"/>
        <v/>
      </c>
      <c r="T698" t="str">
        <f t="shared" si="55"/>
        <v/>
      </c>
    </row>
    <row r="699" spans="1:20">
      <c r="A699" s="22" t="s">
        <v>793</v>
      </c>
      <c r="H699" s="22" t="str">
        <f t="shared" si="56"/>
        <v/>
      </c>
      <c r="J699" s="32"/>
      <c r="K699" s="24" t="str">
        <f t="shared" si="54"/>
        <v/>
      </c>
      <c r="R699" s="24" t="str">
        <f t="shared" si="57"/>
        <v/>
      </c>
      <c r="S699" s="24" t="str">
        <f t="shared" si="58"/>
        <v/>
      </c>
      <c r="T699" t="str">
        <f t="shared" si="55"/>
        <v/>
      </c>
    </row>
    <row r="700" spans="1:20">
      <c r="A700" s="22" t="s">
        <v>794</v>
      </c>
      <c r="H700" s="22" t="str">
        <f t="shared" si="56"/>
        <v/>
      </c>
      <c r="J700" s="32"/>
      <c r="K700" s="24" t="str">
        <f t="shared" si="54"/>
        <v/>
      </c>
      <c r="R700" s="24" t="str">
        <f t="shared" si="57"/>
        <v/>
      </c>
      <c r="S700" s="24" t="str">
        <f t="shared" si="58"/>
        <v/>
      </c>
      <c r="T700" t="str">
        <f t="shared" si="55"/>
        <v/>
      </c>
    </row>
    <row r="701" spans="1:20">
      <c r="A701" s="22" t="s">
        <v>795</v>
      </c>
      <c r="H701" s="22" t="str">
        <f t="shared" si="56"/>
        <v/>
      </c>
      <c r="J701" s="32"/>
      <c r="K701" s="24" t="str">
        <f t="shared" si="54"/>
        <v/>
      </c>
      <c r="R701" s="24" t="str">
        <f t="shared" si="57"/>
        <v/>
      </c>
      <c r="S701" s="24" t="str">
        <f t="shared" si="58"/>
        <v/>
      </c>
      <c r="T701" t="str">
        <f t="shared" si="55"/>
        <v/>
      </c>
    </row>
    <row r="702" spans="1:20">
      <c r="A702" s="22" t="s">
        <v>796</v>
      </c>
      <c r="H702" s="22" t="str">
        <f t="shared" si="56"/>
        <v/>
      </c>
      <c r="J702" s="32"/>
      <c r="K702" s="24" t="str">
        <f t="shared" si="54"/>
        <v/>
      </c>
      <c r="R702" s="24" t="str">
        <f t="shared" si="57"/>
        <v/>
      </c>
      <c r="S702" s="24" t="str">
        <f t="shared" si="58"/>
        <v/>
      </c>
      <c r="T702" t="str">
        <f t="shared" si="55"/>
        <v/>
      </c>
    </row>
    <row r="703" spans="1:20">
      <c r="A703" s="22" t="s">
        <v>797</v>
      </c>
      <c r="H703" s="22" t="str">
        <f t="shared" si="56"/>
        <v/>
      </c>
      <c r="J703" s="32"/>
      <c r="K703" s="24" t="str">
        <f t="shared" si="54"/>
        <v/>
      </c>
      <c r="R703" s="24" t="str">
        <f t="shared" si="57"/>
        <v/>
      </c>
      <c r="S703" s="24" t="str">
        <f t="shared" si="58"/>
        <v/>
      </c>
      <c r="T703" t="str">
        <f t="shared" si="55"/>
        <v/>
      </c>
    </row>
    <row r="704" spans="1:20">
      <c r="A704" s="22" t="s">
        <v>798</v>
      </c>
      <c r="H704" s="22" t="str">
        <f t="shared" si="56"/>
        <v/>
      </c>
      <c r="J704" s="32"/>
      <c r="K704" s="24" t="str">
        <f t="shared" si="54"/>
        <v/>
      </c>
      <c r="R704" s="24" t="str">
        <f t="shared" si="57"/>
        <v/>
      </c>
      <c r="S704" s="24" t="str">
        <f t="shared" si="58"/>
        <v/>
      </c>
      <c r="T704" t="str">
        <f t="shared" si="55"/>
        <v/>
      </c>
    </row>
    <row r="705" spans="1:20">
      <c r="A705" s="22" t="s">
        <v>799</v>
      </c>
      <c r="H705" s="22" t="str">
        <f t="shared" si="56"/>
        <v/>
      </c>
      <c r="J705" s="32"/>
      <c r="K705" s="24" t="str">
        <f t="shared" si="54"/>
        <v/>
      </c>
      <c r="R705" s="24" t="str">
        <f t="shared" si="57"/>
        <v/>
      </c>
      <c r="S705" s="24" t="str">
        <f t="shared" si="58"/>
        <v/>
      </c>
      <c r="T705" t="str">
        <f t="shared" si="55"/>
        <v/>
      </c>
    </row>
    <row r="706" spans="1:20">
      <c r="A706" s="22" t="s">
        <v>800</v>
      </c>
      <c r="H706" s="22" t="str">
        <f t="shared" si="56"/>
        <v/>
      </c>
      <c r="J706" s="32"/>
      <c r="K706" s="24" t="str">
        <f t="shared" si="54"/>
        <v/>
      </c>
      <c r="R706" s="24" t="str">
        <f t="shared" si="57"/>
        <v/>
      </c>
      <c r="S706" s="24" t="str">
        <f t="shared" si="58"/>
        <v/>
      </c>
      <c r="T706" t="str">
        <f t="shared" si="55"/>
        <v/>
      </c>
    </row>
    <row r="707" spans="1:20">
      <c r="A707" s="22" t="s">
        <v>801</v>
      </c>
      <c r="H707" s="22" t="str">
        <f t="shared" si="56"/>
        <v/>
      </c>
      <c r="J707" s="32"/>
      <c r="K707" s="24" t="str">
        <f t="shared" si="54"/>
        <v/>
      </c>
      <c r="R707" s="24" t="str">
        <f t="shared" si="57"/>
        <v/>
      </c>
      <c r="S707" s="24" t="str">
        <f t="shared" si="58"/>
        <v/>
      </c>
      <c r="T707" t="str">
        <f t="shared" si="55"/>
        <v/>
      </c>
    </row>
    <row r="708" spans="1:20">
      <c r="A708" s="22" t="s">
        <v>802</v>
      </c>
      <c r="H708" s="22" t="str">
        <f t="shared" si="56"/>
        <v/>
      </c>
      <c r="J708" s="32"/>
      <c r="K708" s="24" t="str">
        <f t="shared" si="54"/>
        <v/>
      </c>
      <c r="R708" s="24" t="str">
        <f t="shared" si="57"/>
        <v/>
      </c>
      <c r="S708" s="24" t="str">
        <f t="shared" si="58"/>
        <v/>
      </c>
      <c r="T708" t="str">
        <f t="shared" si="55"/>
        <v/>
      </c>
    </row>
    <row r="709" spans="1:20">
      <c r="A709" s="22" t="s">
        <v>803</v>
      </c>
      <c r="H709" s="22" t="str">
        <f t="shared" si="56"/>
        <v/>
      </c>
      <c r="J709" s="32"/>
      <c r="K709" s="24" t="str">
        <f t="shared" si="54"/>
        <v/>
      </c>
      <c r="R709" s="24" t="str">
        <f t="shared" si="57"/>
        <v/>
      </c>
      <c r="S709" s="24" t="str">
        <f t="shared" si="58"/>
        <v/>
      </c>
      <c r="T709" t="str">
        <f t="shared" si="55"/>
        <v/>
      </c>
    </row>
    <row r="710" spans="1:20">
      <c r="A710" s="22" t="s">
        <v>804</v>
      </c>
      <c r="H710" s="22" t="str">
        <f t="shared" si="56"/>
        <v/>
      </c>
      <c r="J710" s="32"/>
      <c r="K710" s="24" t="str">
        <f t="shared" si="54"/>
        <v/>
      </c>
      <c r="R710" s="24" t="str">
        <f t="shared" si="57"/>
        <v/>
      </c>
      <c r="S710" s="24" t="str">
        <f t="shared" si="58"/>
        <v/>
      </c>
      <c r="T710" t="str">
        <f t="shared" si="55"/>
        <v/>
      </c>
    </row>
    <row r="711" spans="1:20">
      <c r="A711" s="22" t="s">
        <v>805</v>
      </c>
      <c r="H711" s="22" t="str">
        <f t="shared" si="56"/>
        <v/>
      </c>
      <c r="J711" s="32"/>
      <c r="K711" s="24" t="str">
        <f t="shared" si="54"/>
        <v/>
      </c>
      <c r="R711" s="24" t="str">
        <f t="shared" si="57"/>
        <v/>
      </c>
      <c r="S711" s="24" t="str">
        <f t="shared" si="58"/>
        <v/>
      </c>
      <c r="T711" t="str">
        <f t="shared" si="55"/>
        <v/>
      </c>
    </row>
    <row r="712" spans="1:20">
      <c r="A712" s="22" t="s">
        <v>806</v>
      </c>
      <c r="H712" s="22" t="str">
        <f t="shared" si="56"/>
        <v/>
      </c>
      <c r="J712" s="32"/>
      <c r="K712" s="24" t="str">
        <f t="shared" si="54"/>
        <v/>
      </c>
      <c r="R712" s="24" t="str">
        <f t="shared" si="57"/>
        <v/>
      </c>
      <c r="S712" s="24" t="str">
        <f t="shared" si="58"/>
        <v/>
      </c>
      <c r="T712" t="str">
        <f t="shared" si="55"/>
        <v/>
      </c>
    </row>
    <row r="713" spans="1:20">
      <c r="A713" s="22" t="s">
        <v>807</v>
      </c>
      <c r="H713" s="22" t="str">
        <f t="shared" si="56"/>
        <v/>
      </c>
      <c r="J713" s="32"/>
      <c r="K713" s="24" t="str">
        <f t="shared" ref="K713:K776" si="59">IF(I713="","",IF(I713="ENTRADA",ABS(J713),-ABS(J713)))</f>
        <v/>
      </c>
      <c r="R713" s="24" t="str">
        <f t="shared" si="57"/>
        <v/>
      </c>
      <c r="S713" s="24" t="str">
        <f t="shared" si="58"/>
        <v/>
      </c>
      <c r="T713" t="str">
        <f t="shared" si="55"/>
        <v/>
      </c>
    </row>
    <row r="714" spans="1:20">
      <c r="A714" s="22" t="s">
        <v>808</v>
      </c>
      <c r="H714" s="22" t="str">
        <f t="shared" si="56"/>
        <v/>
      </c>
      <c r="J714" s="32"/>
      <c r="K714" s="24" t="str">
        <f t="shared" si="59"/>
        <v/>
      </c>
      <c r="R714" s="24" t="str">
        <f t="shared" si="57"/>
        <v/>
      </c>
      <c r="S714" s="24" t="str">
        <f t="shared" si="58"/>
        <v/>
      </c>
      <c r="T714" t="str">
        <f t="shared" si="55"/>
        <v/>
      </c>
    </row>
    <row r="715" spans="1:20">
      <c r="A715" s="22" t="s">
        <v>809</v>
      </c>
      <c r="H715" s="22" t="str">
        <f t="shared" si="56"/>
        <v/>
      </c>
      <c r="J715" s="32"/>
      <c r="K715" s="24" t="str">
        <f t="shared" si="59"/>
        <v/>
      </c>
      <c r="R715" s="24" t="str">
        <f t="shared" si="57"/>
        <v/>
      </c>
      <c r="S715" s="24" t="str">
        <f t="shared" si="58"/>
        <v/>
      </c>
      <c r="T715" t="str">
        <f t="shared" si="55"/>
        <v/>
      </c>
    </row>
    <row r="716" spans="1:20">
      <c r="A716" s="22" t="s">
        <v>810</v>
      </c>
      <c r="H716" s="22" t="str">
        <f t="shared" si="56"/>
        <v/>
      </c>
      <c r="J716" s="32"/>
      <c r="K716" s="24" t="str">
        <f t="shared" si="59"/>
        <v/>
      </c>
      <c r="R716" s="24" t="str">
        <f t="shared" si="57"/>
        <v/>
      </c>
      <c r="S716" s="24" t="str">
        <f t="shared" si="58"/>
        <v/>
      </c>
      <c r="T716" t="str">
        <f t="shared" si="55"/>
        <v/>
      </c>
    </row>
    <row r="717" spans="1:20">
      <c r="A717" s="22" t="s">
        <v>811</v>
      </c>
      <c r="H717" s="22" t="str">
        <f t="shared" si="56"/>
        <v/>
      </c>
      <c r="J717" s="32"/>
      <c r="K717" s="24" t="str">
        <f t="shared" si="59"/>
        <v/>
      </c>
      <c r="R717" s="24" t="str">
        <f t="shared" si="57"/>
        <v/>
      </c>
      <c r="S717" s="24" t="str">
        <f t="shared" si="58"/>
        <v/>
      </c>
      <c r="T717" t="str">
        <f t="shared" si="55"/>
        <v/>
      </c>
    </row>
    <row r="718" spans="1:20">
      <c r="A718" s="22" t="s">
        <v>812</v>
      </c>
      <c r="H718" s="22" t="str">
        <f t="shared" si="56"/>
        <v/>
      </c>
      <c r="J718" s="32"/>
      <c r="K718" s="24" t="str">
        <f t="shared" si="59"/>
        <v/>
      </c>
      <c r="R718" s="24" t="str">
        <f t="shared" si="57"/>
        <v/>
      </c>
      <c r="S718" s="24" t="str">
        <f t="shared" si="58"/>
        <v/>
      </c>
      <c r="T718" t="str">
        <f t="shared" si="55"/>
        <v/>
      </c>
    </row>
    <row r="719" spans="1:20">
      <c r="A719" s="22" t="s">
        <v>813</v>
      </c>
      <c r="H719" s="22" t="str">
        <f t="shared" si="56"/>
        <v/>
      </c>
      <c r="J719" s="32"/>
      <c r="K719" s="24" t="str">
        <f t="shared" si="59"/>
        <v/>
      </c>
      <c r="R719" s="24" t="str">
        <f t="shared" si="57"/>
        <v/>
      </c>
      <c r="S719" s="24" t="str">
        <f t="shared" si="58"/>
        <v/>
      </c>
      <c r="T719" t="str">
        <f t="shared" ref="T719:T782" si="60">IF(OR(C719="",I719&lt;&gt;"ENTRADA"),"",TEXT(B719,"AAMMDD")&amp;"-"&amp;TEXT(VALUE(SUBSTITUTE(A719,"MOV-","")),"000"))</f>
        <v/>
      </c>
    </row>
    <row r="720" spans="1:20">
      <c r="A720" s="22" t="s">
        <v>814</v>
      </c>
      <c r="H720" s="22" t="str">
        <f t="shared" ref="H720:H783" si="61">+T720</f>
        <v/>
      </c>
      <c r="J720" s="32"/>
      <c r="K720" s="24" t="str">
        <f t="shared" si="59"/>
        <v/>
      </c>
      <c r="R720" s="24" t="str">
        <f t="shared" ref="R720:R783" si="62">IF(H720="","",H720&amp;I720)</f>
        <v/>
      </c>
      <c r="S720" s="24" t="str">
        <f t="shared" ref="S720:S783" si="63">IF(C720="","",C720&amp;I720)</f>
        <v/>
      </c>
      <c r="T720" t="str">
        <f t="shared" si="60"/>
        <v/>
      </c>
    </row>
    <row r="721" spans="1:20">
      <c r="A721" s="22" t="s">
        <v>815</v>
      </c>
      <c r="H721" s="22" t="str">
        <f t="shared" si="61"/>
        <v/>
      </c>
      <c r="J721" s="32"/>
      <c r="K721" s="24" t="str">
        <f t="shared" si="59"/>
        <v/>
      </c>
      <c r="R721" s="24" t="str">
        <f t="shared" si="62"/>
        <v/>
      </c>
      <c r="S721" s="24" t="str">
        <f t="shared" si="63"/>
        <v/>
      </c>
      <c r="T721" t="str">
        <f t="shared" si="60"/>
        <v/>
      </c>
    </row>
    <row r="722" spans="1:20">
      <c r="A722" s="22" t="s">
        <v>816</v>
      </c>
      <c r="H722" s="22" t="str">
        <f t="shared" si="61"/>
        <v/>
      </c>
      <c r="J722" s="32"/>
      <c r="K722" s="24" t="str">
        <f t="shared" si="59"/>
        <v/>
      </c>
      <c r="R722" s="24" t="str">
        <f t="shared" si="62"/>
        <v/>
      </c>
      <c r="S722" s="24" t="str">
        <f t="shared" si="63"/>
        <v/>
      </c>
      <c r="T722" t="str">
        <f t="shared" si="60"/>
        <v/>
      </c>
    </row>
    <row r="723" spans="1:20">
      <c r="A723" s="22" t="s">
        <v>817</v>
      </c>
      <c r="H723" s="22" t="str">
        <f t="shared" si="61"/>
        <v/>
      </c>
      <c r="J723" s="32"/>
      <c r="K723" s="24" t="str">
        <f t="shared" si="59"/>
        <v/>
      </c>
      <c r="R723" s="24" t="str">
        <f t="shared" si="62"/>
        <v/>
      </c>
      <c r="S723" s="24" t="str">
        <f t="shared" si="63"/>
        <v/>
      </c>
      <c r="T723" t="str">
        <f t="shared" si="60"/>
        <v/>
      </c>
    </row>
    <row r="724" spans="1:20">
      <c r="A724" s="22" t="s">
        <v>818</v>
      </c>
      <c r="H724" s="22" t="str">
        <f t="shared" si="61"/>
        <v/>
      </c>
      <c r="J724" s="32"/>
      <c r="K724" s="24" t="str">
        <f t="shared" si="59"/>
        <v/>
      </c>
      <c r="R724" s="24" t="str">
        <f t="shared" si="62"/>
        <v/>
      </c>
      <c r="S724" s="24" t="str">
        <f t="shared" si="63"/>
        <v/>
      </c>
      <c r="T724" t="str">
        <f t="shared" si="60"/>
        <v/>
      </c>
    </row>
    <row r="725" spans="1:20">
      <c r="A725" s="22" t="s">
        <v>819</v>
      </c>
      <c r="H725" s="22" t="str">
        <f t="shared" si="61"/>
        <v/>
      </c>
      <c r="J725" s="32"/>
      <c r="K725" s="24" t="str">
        <f t="shared" si="59"/>
        <v/>
      </c>
      <c r="R725" s="24" t="str">
        <f t="shared" si="62"/>
        <v/>
      </c>
      <c r="S725" s="24" t="str">
        <f t="shared" si="63"/>
        <v/>
      </c>
      <c r="T725" t="str">
        <f t="shared" si="60"/>
        <v/>
      </c>
    </row>
    <row r="726" spans="1:20">
      <c r="A726" s="22" t="s">
        <v>820</v>
      </c>
      <c r="H726" s="22" t="str">
        <f t="shared" si="61"/>
        <v/>
      </c>
      <c r="J726" s="32"/>
      <c r="K726" s="24" t="str">
        <f t="shared" si="59"/>
        <v/>
      </c>
      <c r="R726" s="24" t="str">
        <f t="shared" si="62"/>
        <v/>
      </c>
      <c r="S726" s="24" t="str">
        <f t="shared" si="63"/>
        <v/>
      </c>
      <c r="T726" t="str">
        <f t="shared" si="60"/>
        <v/>
      </c>
    </row>
    <row r="727" spans="1:20">
      <c r="A727" s="22" t="s">
        <v>821</v>
      </c>
      <c r="H727" s="22" t="str">
        <f t="shared" si="61"/>
        <v/>
      </c>
      <c r="J727" s="32"/>
      <c r="K727" s="24" t="str">
        <f t="shared" si="59"/>
        <v/>
      </c>
      <c r="R727" s="24" t="str">
        <f t="shared" si="62"/>
        <v/>
      </c>
      <c r="S727" s="24" t="str">
        <f t="shared" si="63"/>
        <v/>
      </c>
      <c r="T727" t="str">
        <f t="shared" si="60"/>
        <v/>
      </c>
    </row>
    <row r="728" spans="1:20">
      <c r="A728" s="22" t="s">
        <v>822</v>
      </c>
      <c r="H728" s="22" t="str">
        <f t="shared" si="61"/>
        <v/>
      </c>
      <c r="J728" s="32"/>
      <c r="K728" s="24" t="str">
        <f t="shared" si="59"/>
        <v/>
      </c>
      <c r="R728" s="24" t="str">
        <f t="shared" si="62"/>
        <v/>
      </c>
      <c r="S728" s="24" t="str">
        <f t="shared" si="63"/>
        <v/>
      </c>
      <c r="T728" t="str">
        <f t="shared" si="60"/>
        <v/>
      </c>
    </row>
    <row r="729" spans="1:20">
      <c r="A729" s="22" t="s">
        <v>823</v>
      </c>
      <c r="H729" s="22" t="str">
        <f t="shared" si="61"/>
        <v/>
      </c>
      <c r="J729" s="32"/>
      <c r="K729" s="24" t="str">
        <f t="shared" si="59"/>
        <v/>
      </c>
      <c r="R729" s="24" t="str">
        <f t="shared" si="62"/>
        <v/>
      </c>
      <c r="S729" s="24" t="str">
        <f t="shared" si="63"/>
        <v/>
      </c>
      <c r="T729" t="str">
        <f t="shared" si="60"/>
        <v/>
      </c>
    </row>
    <row r="730" spans="1:20">
      <c r="A730" s="22" t="s">
        <v>824</v>
      </c>
      <c r="H730" s="22" t="str">
        <f t="shared" si="61"/>
        <v/>
      </c>
      <c r="J730" s="32"/>
      <c r="K730" s="24" t="str">
        <f t="shared" si="59"/>
        <v/>
      </c>
      <c r="R730" s="24" t="str">
        <f t="shared" si="62"/>
        <v/>
      </c>
      <c r="S730" s="24" t="str">
        <f t="shared" si="63"/>
        <v/>
      </c>
      <c r="T730" t="str">
        <f t="shared" si="60"/>
        <v/>
      </c>
    </row>
    <row r="731" spans="1:20">
      <c r="A731" s="22" t="s">
        <v>825</v>
      </c>
      <c r="H731" s="22" t="str">
        <f t="shared" si="61"/>
        <v/>
      </c>
      <c r="J731" s="32"/>
      <c r="K731" s="24" t="str">
        <f t="shared" si="59"/>
        <v/>
      </c>
      <c r="R731" s="24" t="str">
        <f t="shared" si="62"/>
        <v/>
      </c>
      <c r="S731" s="24" t="str">
        <f t="shared" si="63"/>
        <v/>
      </c>
      <c r="T731" t="str">
        <f t="shared" si="60"/>
        <v/>
      </c>
    </row>
    <row r="732" spans="1:20">
      <c r="A732" s="22" t="s">
        <v>826</v>
      </c>
      <c r="H732" s="22" t="str">
        <f t="shared" si="61"/>
        <v/>
      </c>
      <c r="J732" s="32"/>
      <c r="K732" s="24" t="str">
        <f t="shared" si="59"/>
        <v/>
      </c>
      <c r="R732" s="24" t="str">
        <f t="shared" si="62"/>
        <v/>
      </c>
      <c r="S732" s="24" t="str">
        <f t="shared" si="63"/>
        <v/>
      </c>
      <c r="T732" t="str">
        <f t="shared" si="60"/>
        <v/>
      </c>
    </row>
    <row r="733" spans="1:20">
      <c r="A733" s="22" t="s">
        <v>827</v>
      </c>
      <c r="H733" s="22" t="str">
        <f t="shared" si="61"/>
        <v/>
      </c>
      <c r="J733" s="32"/>
      <c r="K733" s="24" t="str">
        <f t="shared" si="59"/>
        <v/>
      </c>
      <c r="R733" s="24" t="str">
        <f t="shared" si="62"/>
        <v/>
      </c>
      <c r="S733" s="24" t="str">
        <f t="shared" si="63"/>
        <v/>
      </c>
      <c r="T733" t="str">
        <f t="shared" si="60"/>
        <v/>
      </c>
    </row>
    <row r="734" spans="1:20">
      <c r="A734" s="22" t="s">
        <v>828</v>
      </c>
      <c r="H734" s="22" t="str">
        <f t="shared" si="61"/>
        <v/>
      </c>
      <c r="J734" s="32"/>
      <c r="K734" s="24" t="str">
        <f t="shared" si="59"/>
        <v/>
      </c>
      <c r="R734" s="24" t="str">
        <f t="shared" si="62"/>
        <v/>
      </c>
      <c r="S734" s="24" t="str">
        <f t="shared" si="63"/>
        <v/>
      </c>
      <c r="T734" t="str">
        <f t="shared" si="60"/>
        <v/>
      </c>
    </row>
    <row r="735" spans="1:20">
      <c r="A735" s="22" t="s">
        <v>829</v>
      </c>
      <c r="H735" s="22" t="str">
        <f t="shared" si="61"/>
        <v/>
      </c>
      <c r="J735" s="32"/>
      <c r="K735" s="24" t="str">
        <f t="shared" si="59"/>
        <v/>
      </c>
      <c r="R735" s="24" t="str">
        <f t="shared" si="62"/>
        <v/>
      </c>
      <c r="S735" s="24" t="str">
        <f t="shared" si="63"/>
        <v/>
      </c>
      <c r="T735" t="str">
        <f t="shared" si="60"/>
        <v/>
      </c>
    </row>
    <row r="736" spans="1:20">
      <c r="A736" s="22" t="s">
        <v>830</v>
      </c>
      <c r="H736" s="22" t="str">
        <f t="shared" si="61"/>
        <v/>
      </c>
      <c r="J736" s="32"/>
      <c r="K736" s="24" t="str">
        <f t="shared" si="59"/>
        <v/>
      </c>
      <c r="R736" s="24" t="str">
        <f t="shared" si="62"/>
        <v/>
      </c>
      <c r="S736" s="24" t="str">
        <f t="shared" si="63"/>
        <v/>
      </c>
      <c r="T736" t="str">
        <f t="shared" si="60"/>
        <v/>
      </c>
    </row>
    <row r="737" spans="1:20">
      <c r="A737" s="22" t="s">
        <v>831</v>
      </c>
      <c r="H737" s="22" t="str">
        <f t="shared" si="61"/>
        <v/>
      </c>
      <c r="J737" s="32"/>
      <c r="K737" s="24" t="str">
        <f t="shared" si="59"/>
        <v/>
      </c>
      <c r="R737" s="24" t="str">
        <f t="shared" si="62"/>
        <v/>
      </c>
      <c r="S737" s="24" t="str">
        <f t="shared" si="63"/>
        <v/>
      </c>
      <c r="T737" t="str">
        <f t="shared" si="60"/>
        <v/>
      </c>
    </row>
    <row r="738" spans="1:20">
      <c r="A738" s="22" t="s">
        <v>832</v>
      </c>
      <c r="H738" s="22" t="str">
        <f t="shared" si="61"/>
        <v/>
      </c>
      <c r="J738" s="32"/>
      <c r="K738" s="24" t="str">
        <f t="shared" si="59"/>
        <v/>
      </c>
      <c r="R738" s="24" t="str">
        <f t="shared" si="62"/>
        <v/>
      </c>
      <c r="S738" s="24" t="str">
        <f t="shared" si="63"/>
        <v/>
      </c>
      <c r="T738" t="str">
        <f t="shared" si="60"/>
        <v/>
      </c>
    </row>
    <row r="739" spans="1:20">
      <c r="A739" s="22" t="s">
        <v>833</v>
      </c>
      <c r="H739" s="22" t="str">
        <f t="shared" si="61"/>
        <v/>
      </c>
      <c r="J739" s="32"/>
      <c r="K739" s="24" t="str">
        <f t="shared" si="59"/>
        <v/>
      </c>
      <c r="R739" s="24" t="str">
        <f t="shared" si="62"/>
        <v/>
      </c>
      <c r="S739" s="24" t="str">
        <f t="shared" si="63"/>
        <v/>
      </c>
      <c r="T739" t="str">
        <f t="shared" si="60"/>
        <v/>
      </c>
    </row>
    <row r="740" spans="1:20">
      <c r="A740" s="22" t="s">
        <v>834</v>
      </c>
      <c r="H740" s="22" t="str">
        <f t="shared" si="61"/>
        <v/>
      </c>
      <c r="J740" s="32"/>
      <c r="K740" s="24" t="str">
        <f t="shared" si="59"/>
        <v/>
      </c>
      <c r="R740" s="24" t="str">
        <f t="shared" si="62"/>
        <v/>
      </c>
      <c r="S740" s="24" t="str">
        <f t="shared" si="63"/>
        <v/>
      </c>
      <c r="T740" t="str">
        <f t="shared" si="60"/>
        <v/>
      </c>
    </row>
    <row r="741" spans="1:20">
      <c r="A741" s="22" t="s">
        <v>835</v>
      </c>
      <c r="H741" s="22" t="str">
        <f t="shared" si="61"/>
        <v/>
      </c>
      <c r="J741" s="32"/>
      <c r="K741" s="24" t="str">
        <f t="shared" si="59"/>
        <v/>
      </c>
      <c r="R741" s="24" t="str">
        <f t="shared" si="62"/>
        <v/>
      </c>
      <c r="S741" s="24" t="str">
        <f t="shared" si="63"/>
        <v/>
      </c>
      <c r="T741" t="str">
        <f t="shared" si="60"/>
        <v/>
      </c>
    </row>
    <row r="742" spans="1:20">
      <c r="A742" s="22" t="s">
        <v>836</v>
      </c>
      <c r="H742" s="22" t="str">
        <f t="shared" si="61"/>
        <v/>
      </c>
      <c r="J742" s="32"/>
      <c r="K742" s="24" t="str">
        <f t="shared" si="59"/>
        <v/>
      </c>
      <c r="R742" s="24" t="str">
        <f t="shared" si="62"/>
        <v/>
      </c>
      <c r="S742" s="24" t="str">
        <f t="shared" si="63"/>
        <v/>
      </c>
      <c r="T742" t="str">
        <f t="shared" si="60"/>
        <v/>
      </c>
    </row>
    <row r="743" spans="1:20">
      <c r="A743" s="22" t="s">
        <v>837</v>
      </c>
      <c r="H743" s="22" t="str">
        <f t="shared" si="61"/>
        <v/>
      </c>
      <c r="J743" s="32"/>
      <c r="K743" s="24" t="str">
        <f t="shared" si="59"/>
        <v/>
      </c>
      <c r="R743" s="24" t="str">
        <f t="shared" si="62"/>
        <v/>
      </c>
      <c r="S743" s="24" t="str">
        <f t="shared" si="63"/>
        <v/>
      </c>
      <c r="T743" t="str">
        <f t="shared" si="60"/>
        <v/>
      </c>
    </row>
    <row r="744" spans="1:20">
      <c r="A744" s="22" t="s">
        <v>838</v>
      </c>
      <c r="H744" s="22" t="str">
        <f t="shared" si="61"/>
        <v/>
      </c>
      <c r="J744" s="32"/>
      <c r="K744" s="24" t="str">
        <f t="shared" si="59"/>
        <v/>
      </c>
      <c r="R744" s="24" t="str">
        <f t="shared" si="62"/>
        <v/>
      </c>
      <c r="S744" s="24" t="str">
        <f t="shared" si="63"/>
        <v/>
      </c>
      <c r="T744" t="str">
        <f t="shared" si="60"/>
        <v/>
      </c>
    </row>
    <row r="745" spans="1:20">
      <c r="A745" s="22" t="s">
        <v>839</v>
      </c>
      <c r="H745" s="22" t="str">
        <f t="shared" si="61"/>
        <v/>
      </c>
      <c r="J745" s="32"/>
      <c r="K745" s="24" t="str">
        <f t="shared" si="59"/>
        <v/>
      </c>
      <c r="R745" s="24" t="str">
        <f t="shared" si="62"/>
        <v/>
      </c>
      <c r="S745" s="24" t="str">
        <f t="shared" si="63"/>
        <v/>
      </c>
      <c r="T745" t="str">
        <f t="shared" si="60"/>
        <v/>
      </c>
    </row>
    <row r="746" spans="1:20">
      <c r="A746" s="22" t="s">
        <v>840</v>
      </c>
      <c r="H746" s="22" t="str">
        <f t="shared" si="61"/>
        <v/>
      </c>
      <c r="J746" s="32"/>
      <c r="K746" s="24" t="str">
        <f t="shared" si="59"/>
        <v/>
      </c>
      <c r="R746" s="24" t="str">
        <f t="shared" si="62"/>
        <v/>
      </c>
      <c r="S746" s="24" t="str">
        <f t="shared" si="63"/>
        <v/>
      </c>
      <c r="T746" t="str">
        <f t="shared" si="60"/>
        <v/>
      </c>
    </row>
    <row r="747" spans="1:20">
      <c r="A747" s="22" t="s">
        <v>841</v>
      </c>
      <c r="H747" s="22" t="str">
        <f t="shared" si="61"/>
        <v/>
      </c>
      <c r="J747" s="32"/>
      <c r="K747" s="24" t="str">
        <f t="shared" si="59"/>
        <v/>
      </c>
      <c r="R747" s="24" t="str">
        <f t="shared" si="62"/>
        <v/>
      </c>
      <c r="S747" s="24" t="str">
        <f t="shared" si="63"/>
        <v/>
      </c>
      <c r="T747" t="str">
        <f t="shared" si="60"/>
        <v/>
      </c>
    </row>
    <row r="748" spans="1:20">
      <c r="A748" s="22" t="s">
        <v>842</v>
      </c>
      <c r="H748" s="22" t="str">
        <f t="shared" si="61"/>
        <v/>
      </c>
      <c r="J748" s="32"/>
      <c r="K748" s="24" t="str">
        <f t="shared" si="59"/>
        <v/>
      </c>
      <c r="R748" s="24" t="str">
        <f t="shared" si="62"/>
        <v/>
      </c>
      <c r="S748" s="24" t="str">
        <f t="shared" si="63"/>
        <v/>
      </c>
      <c r="T748" t="str">
        <f t="shared" si="60"/>
        <v/>
      </c>
    </row>
    <row r="749" spans="1:20">
      <c r="A749" s="22" t="s">
        <v>843</v>
      </c>
      <c r="H749" s="22" t="str">
        <f t="shared" si="61"/>
        <v/>
      </c>
      <c r="J749" s="32"/>
      <c r="K749" s="24" t="str">
        <f t="shared" si="59"/>
        <v/>
      </c>
      <c r="R749" s="24" t="str">
        <f t="shared" si="62"/>
        <v/>
      </c>
      <c r="S749" s="24" t="str">
        <f t="shared" si="63"/>
        <v/>
      </c>
      <c r="T749" t="str">
        <f t="shared" si="60"/>
        <v/>
      </c>
    </row>
    <row r="750" spans="1:20">
      <c r="A750" s="22" t="s">
        <v>844</v>
      </c>
      <c r="H750" s="22" t="str">
        <f t="shared" si="61"/>
        <v/>
      </c>
      <c r="J750" s="32"/>
      <c r="K750" s="24" t="str">
        <f t="shared" si="59"/>
        <v/>
      </c>
      <c r="R750" s="24" t="str">
        <f t="shared" si="62"/>
        <v/>
      </c>
      <c r="S750" s="24" t="str">
        <f t="shared" si="63"/>
        <v/>
      </c>
      <c r="T750" t="str">
        <f t="shared" si="60"/>
        <v/>
      </c>
    </row>
    <row r="751" spans="1:20">
      <c r="A751" s="22" t="s">
        <v>845</v>
      </c>
      <c r="H751" s="22" t="str">
        <f t="shared" si="61"/>
        <v/>
      </c>
      <c r="J751" s="32"/>
      <c r="K751" s="24" t="str">
        <f t="shared" si="59"/>
        <v/>
      </c>
      <c r="R751" s="24" t="str">
        <f t="shared" si="62"/>
        <v/>
      </c>
      <c r="S751" s="24" t="str">
        <f t="shared" si="63"/>
        <v/>
      </c>
      <c r="T751" t="str">
        <f t="shared" si="60"/>
        <v/>
      </c>
    </row>
    <row r="752" spans="1:20">
      <c r="A752" s="22" t="s">
        <v>846</v>
      </c>
      <c r="H752" s="22" t="str">
        <f t="shared" si="61"/>
        <v/>
      </c>
      <c r="J752" s="32"/>
      <c r="K752" s="24" t="str">
        <f t="shared" si="59"/>
        <v/>
      </c>
      <c r="R752" s="24" t="str">
        <f t="shared" si="62"/>
        <v/>
      </c>
      <c r="S752" s="24" t="str">
        <f t="shared" si="63"/>
        <v/>
      </c>
      <c r="T752" t="str">
        <f t="shared" si="60"/>
        <v/>
      </c>
    </row>
    <row r="753" spans="1:20">
      <c r="A753" s="22" t="s">
        <v>847</v>
      </c>
      <c r="H753" s="22" t="str">
        <f t="shared" si="61"/>
        <v/>
      </c>
      <c r="J753" s="32"/>
      <c r="K753" s="24" t="str">
        <f t="shared" si="59"/>
        <v/>
      </c>
      <c r="R753" s="24" t="str">
        <f t="shared" si="62"/>
        <v/>
      </c>
      <c r="S753" s="24" t="str">
        <f t="shared" si="63"/>
        <v/>
      </c>
      <c r="T753" t="str">
        <f t="shared" si="60"/>
        <v/>
      </c>
    </row>
    <row r="754" spans="1:20">
      <c r="A754" s="22" t="s">
        <v>848</v>
      </c>
      <c r="H754" s="22" t="str">
        <f t="shared" si="61"/>
        <v/>
      </c>
      <c r="J754" s="32"/>
      <c r="K754" s="24" t="str">
        <f t="shared" si="59"/>
        <v/>
      </c>
      <c r="R754" s="24" t="str">
        <f t="shared" si="62"/>
        <v/>
      </c>
      <c r="S754" s="24" t="str">
        <f t="shared" si="63"/>
        <v/>
      </c>
      <c r="T754" t="str">
        <f t="shared" si="60"/>
        <v/>
      </c>
    </row>
    <row r="755" spans="1:20">
      <c r="A755" s="22" t="s">
        <v>849</v>
      </c>
      <c r="H755" s="22" t="str">
        <f t="shared" si="61"/>
        <v/>
      </c>
      <c r="J755" s="32"/>
      <c r="K755" s="24" t="str">
        <f t="shared" si="59"/>
        <v/>
      </c>
      <c r="R755" s="24" t="str">
        <f t="shared" si="62"/>
        <v/>
      </c>
      <c r="S755" s="24" t="str">
        <f t="shared" si="63"/>
        <v/>
      </c>
      <c r="T755" t="str">
        <f t="shared" si="60"/>
        <v/>
      </c>
    </row>
    <row r="756" spans="1:20">
      <c r="A756" s="22" t="s">
        <v>850</v>
      </c>
      <c r="H756" s="22" t="str">
        <f t="shared" si="61"/>
        <v/>
      </c>
      <c r="J756" s="32"/>
      <c r="K756" s="24" t="str">
        <f t="shared" si="59"/>
        <v/>
      </c>
      <c r="R756" s="24" t="str">
        <f t="shared" si="62"/>
        <v/>
      </c>
      <c r="S756" s="24" t="str">
        <f t="shared" si="63"/>
        <v/>
      </c>
      <c r="T756" t="str">
        <f t="shared" si="60"/>
        <v/>
      </c>
    </row>
    <row r="757" spans="1:20">
      <c r="A757" s="22" t="s">
        <v>851</v>
      </c>
      <c r="H757" s="22" t="str">
        <f t="shared" si="61"/>
        <v/>
      </c>
      <c r="J757" s="32"/>
      <c r="K757" s="24" t="str">
        <f t="shared" si="59"/>
        <v/>
      </c>
      <c r="R757" s="24" t="str">
        <f t="shared" si="62"/>
        <v/>
      </c>
      <c r="S757" s="24" t="str">
        <f t="shared" si="63"/>
        <v/>
      </c>
      <c r="T757" t="str">
        <f t="shared" si="60"/>
        <v/>
      </c>
    </row>
    <row r="758" spans="1:20">
      <c r="A758" s="22" t="s">
        <v>852</v>
      </c>
      <c r="H758" s="22" t="str">
        <f t="shared" si="61"/>
        <v/>
      </c>
      <c r="J758" s="32"/>
      <c r="K758" s="24" t="str">
        <f t="shared" si="59"/>
        <v/>
      </c>
      <c r="R758" s="24" t="str">
        <f t="shared" si="62"/>
        <v/>
      </c>
      <c r="S758" s="24" t="str">
        <f t="shared" si="63"/>
        <v/>
      </c>
      <c r="T758" t="str">
        <f t="shared" si="60"/>
        <v/>
      </c>
    </row>
    <row r="759" spans="1:20">
      <c r="A759" s="22" t="s">
        <v>853</v>
      </c>
      <c r="H759" s="22" t="str">
        <f t="shared" si="61"/>
        <v/>
      </c>
      <c r="J759" s="32"/>
      <c r="K759" s="24" t="str">
        <f t="shared" si="59"/>
        <v/>
      </c>
      <c r="R759" s="24" t="str">
        <f t="shared" si="62"/>
        <v/>
      </c>
      <c r="S759" s="24" t="str">
        <f t="shared" si="63"/>
        <v/>
      </c>
      <c r="T759" t="str">
        <f t="shared" si="60"/>
        <v/>
      </c>
    </row>
    <row r="760" spans="1:20">
      <c r="A760" s="22" t="s">
        <v>854</v>
      </c>
      <c r="H760" s="22" t="str">
        <f t="shared" si="61"/>
        <v/>
      </c>
      <c r="J760" s="32"/>
      <c r="K760" s="24" t="str">
        <f t="shared" si="59"/>
        <v/>
      </c>
      <c r="R760" s="24" t="str">
        <f t="shared" si="62"/>
        <v/>
      </c>
      <c r="S760" s="24" t="str">
        <f t="shared" si="63"/>
        <v/>
      </c>
      <c r="T760" t="str">
        <f t="shared" si="60"/>
        <v/>
      </c>
    </row>
    <row r="761" spans="1:20">
      <c r="A761" s="22" t="s">
        <v>855</v>
      </c>
      <c r="H761" s="22" t="str">
        <f t="shared" si="61"/>
        <v/>
      </c>
      <c r="J761" s="32"/>
      <c r="K761" s="24" t="str">
        <f t="shared" si="59"/>
        <v/>
      </c>
      <c r="R761" s="24" t="str">
        <f t="shared" si="62"/>
        <v/>
      </c>
      <c r="S761" s="24" t="str">
        <f t="shared" si="63"/>
        <v/>
      </c>
      <c r="T761" t="str">
        <f t="shared" si="60"/>
        <v/>
      </c>
    </row>
    <row r="762" spans="1:20">
      <c r="A762" s="22" t="s">
        <v>856</v>
      </c>
      <c r="H762" s="22" t="str">
        <f t="shared" si="61"/>
        <v/>
      </c>
      <c r="J762" s="32"/>
      <c r="K762" s="24" t="str">
        <f t="shared" si="59"/>
        <v/>
      </c>
      <c r="R762" s="24" t="str">
        <f t="shared" si="62"/>
        <v/>
      </c>
      <c r="S762" s="24" t="str">
        <f t="shared" si="63"/>
        <v/>
      </c>
      <c r="T762" t="str">
        <f t="shared" si="60"/>
        <v/>
      </c>
    </row>
    <row r="763" spans="1:20">
      <c r="A763" s="22" t="s">
        <v>857</v>
      </c>
      <c r="H763" s="22" t="str">
        <f t="shared" si="61"/>
        <v/>
      </c>
      <c r="J763" s="32"/>
      <c r="K763" s="24" t="str">
        <f t="shared" si="59"/>
        <v/>
      </c>
      <c r="R763" s="24" t="str">
        <f t="shared" si="62"/>
        <v/>
      </c>
      <c r="S763" s="24" t="str">
        <f t="shared" si="63"/>
        <v/>
      </c>
      <c r="T763" t="str">
        <f t="shared" si="60"/>
        <v/>
      </c>
    </row>
    <row r="764" spans="1:20">
      <c r="A764" s="22" t="s">
        <v>858</v>
      </c>
      <c r="H764" s="22" t="str">
        <f t="shared" si="61"/>
        <v/>
      </c>
      <c r="J764" s="32"/>
      <c r="K764" s="24" t="str">
        <f t="shared" si="59"/>
        <v/>
      </c>
      <c r="R764" s="24" t="str">
        <f t="shared" si="62"/>
        <v/>
      </c>
      <c r="S764" s="24" t="str">
        <f t="shared" si="63"/>
        <v/>
      </c>
      <c r="T764" t="str">
        <f t="shared" si="60"/>
        <v/>
      </c>
    </row>
    <row r="765" spans="1:20">
      <c r="A765" s="22" t="s">
        <v>859</v>
      </c>
      <c r="H765" s="22" t="str">
        <f t="shared" si="61"/>
        <v/>
      </c>
      <c r="J765" s="32"/>
      <c r="K765" s="24" t="str">
        <f t="shared" si="59"/>
        <v/>
      </c>
      <c r="R765" s="24" t="str">
        <f t="shared" si="62"/>
        <v/>
      </c>
      <c r="S765" s="24" t="str">
        <f t="shared" si="63"/>
        <v/>
      </c>
      <c r="T765" t="str">
        <f t="shared" si="60"/>
        <v/>
      </c>
    </row>
    <row r="766" spans="1:20">
      <c r="A766" s="22" t="s">
        <v>860</v>
      </c>
      <c r="H766" s="22" t="str">
        <f t="shared" si="61"/>
        <v/>
      </c>
      <c r="J766" s="32"/>
      <c r="K766" s="24" t="str">
        <f t="shared" si="59"/>
        <v/>
      </c>
      <c r="R766" s="24" t="str">
        <f t="shared" si="62"/>
        <v/>
      </c>
      <c r="S766" s="24" t="str">
        <f t="shared" si="63"/>
        <v/>
      </c>
      <c r="T766" t="str">
        <f t="shared" si="60"/>
        <v/>
      </c>
    </row>
    <row r="767" spans="1:20">
      <c r="A767" s="22" t="s">
        <v>861</v>
      </c>
      <c r="H767" s="22" t="str">
        <f t="shared" si="61"/>
        <v/>
      </c>
      <c r="J767" s="32"/>
      <c r="K767" s="24" t="str">
        <f t="shared" si="59"/>
        <v/>
      </c>
      <c r="R767" s="24" t="str">
        <f t="shared" si="62"/>
        <v/>
      </c>
      <c r="S767" s="24" t="str">
        <f t="shared" si="63"/>
        <v/>
      </c>
      <c r="T767" t="str">
        <f t="shared" si="60"/>
        <v/>
      </c>
    </row>
    <row r="768" spans="1:20">
      <c r="A768" s="22" t="s">
        <v>862</v>
      </c>
      <c r="H768" s="22" t="str">
        <f t="shared" si="61"/>
        <v/>
      </c>
      <c r="J768" s="32"/>
      <c r="K768" s="24" t="str">
        <f t="shared" si="59"/>
        <v/>
      </c>
      <c r="R768" s="24" t="str">
        <f t="shared" si="62"/>
        <v/>
      </c>
      <c r="S768" s="24" t="str">
        <f t="shared" si="63"/>
        <v/>
      </c>
      <c r="T768" t="str">
        <f t="shared" si="60"/>
        <v/>
      </c>
    </row>
    <row r="769" spans="1:20">
      <c r="A769" s="22" t="s">
        <v>863</v>
      </c>
      <c r="H769" s="22" t="str">
        <f t="shared" si="61"/>
        <v/>
      </c>
      <c r="J769" s="32"/>
      <c r="K769" s="24" t="str">
        <f t="shared" si="59"/>
        <v/>
      </c>
      <c r="R769" s="24" t="str">
        <f t="shared" si="62"/>
        <v/>
      </c>
      <c r="S769" s="24" t="str">
        <f t="shared" si="63"/>
        <v/>
      </c>
      <c r="T769" t="str">
        <f t="shared" si="60"/>
        <v/>
      </c>
    </row>
    <row r="770" spans="1:20">
      <c r="A770" s="22" t="s">
        <v>864</v>
      </c>
      <c r="H770" s="22" t="str">
        <f t="shared" si="61"/>
        <v/>
      </c>
      <c r="J770" s="32"/>
      <c r="K770" s="24" t="str">
        <f t="shared" si="59"/>
        <v/>
      </c>
      <c r="R770" s="24" t="str">
        <f t="shared" si="62"/>
        <v/>
      </c>
      <c r="S770" s="24" t="str">
        <f t="shared" si="63"/>
        <v/>
      </c>
      <c r="T770" t="str">
        <f t="shared" si="60"/>
        <v/>
      </c>
    </row>
    <row r="771" spans="1:20">
      <c r="A771" s="22" t="s">
        <v>865</v>
      </c>
      <c r="H771" s="22" t="str">
        <f t="shared" si="61"/>
        <v/>
      </c>
      <c r="J771" s="32"/>
      <c r="K771" s="24" t="str">
        <f t="shared" si="59"/>
        <v/>
      </c>
      <c r="R771" s="24" t="str">
        <f t="shared" si="62"/>
        <v/>
      </c>
      <c r="S771" s="24" t="str">
        <f t="shared" si="63"/>
        <v/>
      </c>
      <c r="T771" t="str">
        <f t="shared" si="60"/>
        <v/>
      </c>
    </row>
    <row r="772" spans="1:20">
      <c r="A772" s="22" t="s">
        <v>866</v>
      </c>
      <c r="H772" s="22" t="str">
        <f t="shared" si="61"/>
        <v/>
      </c>
      <c r="J772" s="32"/>
      <c r="K772" s="24" t="str">
        <f t="shared" si="59"/>
        <v/>
      </c>
      <c r="R772" s="24" t="str">
        <f t="shared" si="62"/>
        <v/>
      </c>
      <c r="S772" s="24" t="str">
        <f t="shared" si="63"/>
        <v/>
      </c>
      <c r="T772" t="str">
        <f t="shared" si="60"/>
        <v/>
      </c>
    </row>
    <row r="773" spans="1:20">
      <c r="A773" s="22" t="s">
        <v>867</v>
      </c>
      <c r="H773" s="22" t="str">
        <f t="shared" si="61"/>
        <v/>
      </c>
      <c r="J773" s="32"/>
      <c r="K773" s="24" t="str">
        <f t="shared" si="59"/>
        <v/>
      </c>
      <c r="R773" s="24" t="str">
        <f t="shared" si="62"/>
        <v/>
      </c>
      <c r="S773" s="24" t="str">
        <f t="shared" si="63"/>
        <v/>
      </c>
      <c r="T773" t="str">
        <f t="shared" si="60"/>
        <v/>
      </c>
    </row>
    <row r="774" spans="1:20">
      <c r="A774" s="22" t="s">
        <v>868</v>
      </c>
      <c r="H774" s="22" t="str">
        <f t="shared" si="61"/>
        <v/>
      </c>
      <c r="J774" s="32"/>
      <c r="K774" s="24" t="str">
        <f t="shared" si="59"/>
        <v/>
      </c>
      <c r="R774" s="24" t="str">
        <f t="shared" si="62"/>
        <v/>
      </c>
      <c r="S774" s="24" t="str">
        <f t="shared" si="63"/>
        <v/>
      </c>
      <c r="T774" t="str">
        <f t="shared" si="60"/>
        <v/>
      </c>
    </row>
    <row r="775" spans="1:20">
      <c r="A775" s="22" t="s">
        <v>869</v>
      </c>
      <c r="H775" s="22" t="str">
        <f t="shared" si="61"/>
        <v/>
      </c>
      <c r="J775" s="32"/>
      <c r="K775" s="24" t="str">
        <f t="shared" si="59"/>
        <v/>
      </c>
      <c r="R775" s="24" t="str">
        <f t="shared" si="62"/>
        <v/>
      </c>
      <c r="S775" s="24" t="str">
        <f t="shared" si="63"/>
        <v/>
      </c>
      <c r="T775" t="str">
        <f t="shared" si="60"/>
        <v/>
      </c>
    </row>
    <row r="776" spans="1:20">
      <c r="A776" s="22" t="s">
        <v>870</v>
      </c>
      <c r="H776" s="22" t="str">
        <f t="shared" si="61"/>
        <v/>
      </c>
      <c r="J776" s="32"/>
      <c r="K776" s="24" t="str">
        <f t="shared" si="59"/>
        <v/>
      </c>
      <c r="R776" s="24" t="str">
        <f t="shared" si="62"/>
        <v/>
      </c>
      <c r="S776" s="24" t="str">
        <f t="shared" si="63"/>
        <v/>
      </c>
      <c r="T776" t="str">
        <f t="shared" si="60"/>
        <v/>
      </c>
    </row>
    <row r="777" spans="1:20">
      <c r="A777" s="22" t="s">
        <v>871</v>
      </c>
      <c r="H777" s="22" t="str">
        <f t="shared" si="61"/>
        <v/>
      </c>
      <c r="J777" s="32"/>
      <c r="K777" s="24" t="str">
        <f t="shared" ref="K777:K840" si="64">IF(I777="","",IF(I777="ENTRADA",ABS(J777),-ABS(J777)))</f>
        <v/>
      </c>
      <c r="R777" s="24" t="str">
        <f t="shared" si="62"/>
        <v/>
      </c>
      <c r="S777" s="24" t="str">
        <f t="shared" si="63"/>
        <v/>
      </c>
      <c r="T777" t="str">
        <f t="shared" si="60"/>
        <v/>
      </c>
    </row>
    <row r="778" spans="1:20">
      <c r="A778" s="22" t="s">
        <v>872</v>
      </c>
      <c r="H778" s="22" t="str">
        <f t="shared" si="61"/>
        <v/>
      </c>
      <c r="J778" s="32"/>
      <c r="K778" s="24" t="str">
        <f t="shared" si="64"/>
        <v/>
      </c>
      <c r="R778" s="24" t="str">
        <f t="shared" si="62"/>
        <v/>
      </c>
      <c r="S778" s="24" t="str">
        <f t="shared" si="63"/>
        <v/>
      </c>
      <c r="T778" t="str">
        <f t="shared" si="60"/>
        <v/>
      </c>
    </row>
    <row r="779" spans="1:20">
      <c r="A779" s="22" t="s">
        <v>873</v>
      </c>
      <c r="H779" s="22" t="str">
        <f t="shared" si="61"/>
        <v/>
      </c>
      <c r="J779" s="32"/>
      <c r="K779" s="24" t="str">
        <f t="shared" si="64"/>
        <v/>
      </c>
      <c r="R779" s="24" t="str">
        <f t="shared" si="62"/>
        <v/>
      </c>
      <c r="S779" s="24" t="str">
        <f t="shared" si="63"/>
        <v/>
      </c>
      <c r="T779" t="str">
        <f t="shared" si="60"/>
        <v/>
      </c>
    </row>
    <row r="780" spans="1:20">
      <c r="A780" s="22" t="s">
        <v>874</v>
      </c>
      <c r="H780" s="22" t="str">
        <f t="shared" si="61"/>
        <v/>
      </c>
      <c r="J780" s="32"/>
      <c r="K780" s="24" t="str">
        <f t="shared" si="64"/>
        <v/>
      </c>
      <c r="R780" s="24" t="str">
        <f t="shared" si="62"/>
        <v/>
      </c>
      <c r="S780" s="24" t="str">
        <f t="shared" si="63"/>
        <v/>
      </c>
      <c r="T780" t="str">
        <f t="shared" si="60"/>
        <v/>
      </c>
    </row>
    <row r="781" spans="1:20">
      <c r="A781" s="22" t="s">
        <v>875</v>
      </c>
      <c r="H781" s="22" t="str">
        <f t="shared" si="61"/>
        <v/>
      </c>
      <c r="J781" s="32"/>
      <c r="K781" s="24" t="str">
        <f t="shared" si="64"/>
        <v/>
      </c>
      <c r="R781" s="24" t="str">
        <f t="shared" si="62"/>
        <v/>
      </c>
      <c r="S781" s="24" t="str">
        <f t="shared" si="63"/>
        <v/>
      </c>
      <c r="T781" t="str">
        <f t="shared" si="60"/>
        <v/>
      </c>
    </row>
    <row r="782" spans="1:20">
      <c r="A782" s="22" t="s">
        <v>876</v>
      </c>
      <c r="H782" s="22" t="str">
        <f t="shared" si="61"/>
        <v/>
      </c>
      <c r="J782" s="32"/>
      <c r="K782" s="24" t="str">
        <f t="shared" si="64"/>
        <v/>
      </c>
      <c r="R782" s="24" t="str">
        <f t="shared" si="62"/>
        <v/>
      </c>
      <c r="S782" s="24" t="str">
        <f t="shared" si="63"/>
        <v/>
      </c>
      <c r="T782" t="str">
        <f t="shared" si="60"/>
        <v/>
      </c>
    </row>
    <row r="783" spans="1:20">
      <c r="A783" s="22" t="s">
        <v>877</v>
      </c>
      <c r="H783" s="22" t="str">
        <f t="shared" si="61"/>
        <v/>
      </c>
      <c r="J783" s="32"/>
      <c r="K783" s="24" t="str">
        <f t="shared" si="64"/>
        <v/>
      </c>
      <c r="R783" s="24" t="str">
        <f t="shared" si="62"/>
        <v/>
      </c>
      <c r="S783" s="24" t="str">
        <f t="shared" si="63"/>
        <v/>
      </c>
      <c r="T783" t="str">
        <f t="shared" ref="T783:T846" si="65">IF(OR(C783="",I783&lt;&gt;"ENTRADA"),"",TEXT(B783,"AAMMDD")&amp;"-"&amp;TEXT(VALUE(SUBSTITUTE(A783,"MOV-","")),"000"))</f>
        <v/>
      </c>
    </row>
    <row r="784" spans="1:20">
      <c r="A784" s="22" t="s">
        <v>878</v>
      </c>
      <c r="H784" s="22" t="str">
        <f t="shared" ref="H784:H847" si="66">+T784</f>
        <v/>
      </c>
      <c r="J784" s="32"/>
      <c r="K784" s="24" t="str">
        <f t="shared" si="64"/>
        <v/>
      </c>
      <c r="R784" s="24" t="str">
        <f t="shared" ref="R784:R847" si="67">IF(H784="","",H784&amp;I784)</f>
        <v/>
      </c>
      <c r="S784" s="24" t="str">
        <f t="shared" ref="S784:S847" si="68">IF(C784="","",C784&amp;I784)</f>
        <v/>
      </c>
      <c r="T784" t="str">
        <f t="shared" si="65"/>
        <v/>
      </c>
    </row>
    <row r="785" spans="1:20">
      <c r="A785" s="22" t="s">
        <v>879</v>
      </c>
      <c r="H785" s="22" t="str">
        <f t="shared" si="66"/>
        <v/>
      </c>
      <c r="J785" s="32"/>
      <c r="K785" s="24" t="str">
        <f t="shared" si="64"/>
        <v/>
      </c>
      <c r="R785" s="24" t="str">
        <f t="shared" si="67"/>
        <v/>
      </c>
      <c r="S785" s="24" t="str">
        <f t="shared" si="68"/>
        <v/>
      </c>
      <c r="T785" t="str">
        <f t="shared" si="65"/>
        <v/>
      </c>
    </row>
    <row r="786" spans="1:20">
      <c r="A786" s="22" t="s">
        <v>880</v>
      </c>
      <c r="H786" s="22" t="str">
        <f t="shared" si="66"/>
        <v/>
      </c>
      <c r="J786" s="32"/>
      <c r="K786" s="24" t="str">
        <f t="shared" si="64"/>
        <v/>
      </c>
      <c r="R786" s="24" t="str">
        <f t="shared" si="67"/>
        <v/>
      </c>
      <c r="S786" s="24" t="str">
        <f t="shared" si="68"/>
        <v/>
      </c>
      <c r="T786" t="str">
        <f t="shared" si="65"/>
        <v/>
      </c>
    </row>
    <row r="787" spans="1:20">
      <c r="A787" s="22" t="s">
        <v>881</v>
      </c>
      <c r="H787" s="22" t="str">
        <f t="shared" si="66"/>
        <v/>
      </c>
      <c r="J787" s="32"/>
      <c r="K787" s="24" t="str">
        <f t="shared" si="64"/>
        <v/>
      </c>
      <c r="R787" s="24" t="str">
        <f t="shared" si="67"/>
        <v/>
      </c>
      <c r="S787" s="24" t="str">
        <f t="shared" si="68"/>
        <v/>
      </c>
      <c r="T787" t="str">
        <f t="shared" si="65"/>
        <v/>
      </c>
    </row>
    <row r="788" spans="1:20">
      <c r="A788" s="22" t="s">
        <v>882</v>
      </c>
      <c r="H788" s="22" t="str">
        <f t="shared" si="66"/>
        <v/>
      </c>
      <c r="J788" s="32"/>
      <c r="K788" s="24" t="str">
        <f t="shared" si="64"/>
        <v/>
      </c>
      <c r="R788" s="24" t="str">
        <f t="shared" si="67"/>
        <v/>
      </c>
      <c r="S788" s="24" t="str">
        <f t="shared" si="68"/>
        <v/>
      </c>
      <c r="T788" t="str">
        <f t="shared" si="65"/>
        <v/>
      </c>
    </row>
    <row r="789" spans="1:20">
      <c r="A789" s="22" t="s">
        <v>883</v>
      </c>
      <c r="H789" s="22" t="str">
        <f t="shared" si="66"/>
        <v/>
      </c>
      <c r="J789" s="32"/>
      <c r="K789" s="24" t="str">
        <f t="shared" si="64"/>
        <v/>
      </c>
      <c r="R789" s="24" t="str">
        <f t="shared" si="67"/>
        <v/>
      </c>
      <c r="S789" s="24" t="str">
        <f t="shared" si="68"/>
        <v/>
      </c>
      <c r="T789" t="str">
        <f t="shared" si="65"/>
        <v/>
      </c>
    </row>
    <row r="790" spans="1:20">
      <c r="A790" s="22" t="s">
        <v>884</v>
      </c>
      <c r="H790" s="22" t="str">
        <f t="shared" si="66"/>
        <v/>
      </c>
      <c r="J790" s="32"/>
      <c r="K790" s="24" t="str">
        <f t="shared" si="64"/>
        <v/>
      </c>
      <c r="R790" s="24" t="str">
        <f t="shared" si="67"/>
        <v/>
      </c>
      <c r="S790" s="24" t="str">
        <f t="shared" si="68"/>
        <v/>
      </c>
      <c r="T790" t="str">
        <f t="shared" si="65"/>
        <v/>
      </c>
    </row>
    <row r="791" spans="1:20">
      <c r="A791" s="22" t="s">
        <v>885</v>
      </c>
      <c r="H791" s="22" t="str">
        <f t="shared" si="66"/>
        <v/>
      </c>
      <c r="J791" s="32"/>
      <c r="K791" s="24" t="str">
        <f t="shared" si="64"/>
        <v/>
      </c>
      <c r="R791" s="24" t="str">
        <f t="shared" si="67"/>
        <v/>
      </c>
      <c r="S791" s="24" t="str">
        <f t="shared" si="68"/>
        <v/>
      </c>
      <c r="T791" t="str">
        <f t="shared" si="65"/>
        <v/>
      </c>
    </row>
    <row r="792" spans="1:20">
      <c r="A792" s="22" t="s">
        <v>886</v>
      </c>
      <c r="H792" s="22" t="str">
        <f t="shared" si="66"/>
        <v/>
      </c>
      <c r="J792" s="32"/>
      <c r="K792" s="24" t="str">
        <f t="shared" si="64"/>
        <v/>
      </c>
      <c r="R792" s="24" t="str">
        <f t="shared" si="67"/>
        <v/>
      </c>
      <c r="S792" s="24" t="str">
        <f t="shared" si="68"/>
        <v/>
      </c>
      <c r="T792" t="str">
        <f t="shared" si="65"/>
        <v/>
      </c>
    </row>
    <row r="793" spans="1:20">
      <c r="A793" s="22" t="s">
        <v>887</v>
      </c>
      <c r="H793" s="22" t="str">
        <f t="shared" si="66"/>
        <v/>
      </c>
      <c r="J793" s="32"/>
      <c r="K793" s="24" t="str">
        <f t="shared" si="64"/>
        <v/>
      </c>
      <c r="R793" s="24" t="str">
        <f t="shared" si="67"/>
        <v/>
      </c>
      <c r="S793" s="24" t="str">
        <f t="shared" si="68"/>
        <v/>
      </c>
      <c r="T793" t="str">
        <f t="shared" si="65"/>
        <v/>
      </c>
    </row>
    <row r="794" spans="1:20">
      <c r="A794" s="22" t="s">
        <v>888</v>
      </c>
      <c r="H794" s="22" t="str">
        <f t="shared" si="66"/>
        <v/>
      </c>
      <c r="J794" s="32"/>
      <c r="K794" s="24" t="str">
        <f t="shared" si="64"/>
        <v/>
      </c>
      <c r="R794" s="24" t="str">
        <f t="shared" si="67"/>
        <v/>
      </c>
      <c r="S794" s="24" t="str">
        <f t="shared" si="68"/>
        <v/>
      </c>
      <c r="T794" t="str">
        <f t="shared" si="65"/>
        <v/>
      </c>
    </row>
    <row r="795" spans="1:20">
      <c r="A795" s="22" t="s">
        <v>889</v>
      </c>
      <c r="H795" s="22" t="str">
        <f t="shared" si="66"/>
        <v/>
      </c>
      <c r="J795" s="32"/>
      <c r="K795" s="24" t="str">
        <f t="shared" si="64"/>
        <v/>
      </c>
      <c r="R795" s="24" t="str">
        <f t="shared" si="67"/>
        <v/>
      </c>
      <c r="S795" s="24" t="str">
        <f t="shared" si="68"/>
        <v/>
      </c>
      <c r="T795" t="str">
        <f t="shared" si="65"/>
        <v/>
      </c>
    </row>
    <row r="796" spans="1:20">
      <c r="A796" s="22" t="s">
        <v>890</v>
      </c>
      <c r="H796" s="22" t="str">
        <f t="shared" si="66"/>
        <v/>
      </c>
      <c r="J796" s="32"/>
      <c r="K796" s="24" t="str">
        <f t="shared" si="64"/>
        <v/>
      </c>
      <c r="R796" s="24" t="str">
        <f t="shared" si="67"/>
        <v/>
      </c>
      <c r="S796" s="24" t="str">
        <f t="shared" si="68"/>
        <v/>
      </c>
      <c r="T796" t="str">
        <f t="shared" si="65"/>
        <v/>
      </c>
    </row>
    <row r="797" spans="1:20">
      <c r="A797" s="22" t="s">
        <v>891</v>
      </c>
      <c r="H797" s="22" t="str">
        <f t="shared" si="66"/>
        <v/>
      </c>
      <c r="J797" s="32"/>
      <c r="K797" s="24" t="str">
        <f t="shared" si="64"/>
        <v/>
      </c>
      <c r="R797" s="24" t="str">
        <f t="shared" si="67"/>
        <v/>
      </c>
      <c r="S797" s="24" t="str">
        <f t="shared" si="68"/>
        <v/>
      </c>
      <c r="T797" t="str">
        <f t="shared" si="65"/>
        <v/>
      </c>
    </row>
    <row r="798" spans="1:20">
      <c r="A798" s="22" t="s">
        <v>892</v>
      </c>
      <c r="H798" s="22" t="str">
        <f t="shared" si="66"/>
        <v/>
      </c>
      <c r="J798" s="32"/>
      <c r="K798" s="24" t="str">
        <f t="shared" si="64"/>
        <v/>
      </c>
      <c r="R798" s="24" t="str">
        <f t="shared" si="67"/>
        <v/>
      </c>
      <c r="S798" s="24" t="str">
        <f t="shared" si="68"/>
        <v/>
      </c>
      <c r="T798" t="str">
        <f t="shared" si="65"/>
        <v/>
      </c>
    </row>
    <row r="799" spans="1:20">
      <c r="A799" s="22" t="s">
        <v>893</v>
      </c>
      <c r="H799" s="22" t="str">
        <f t="shared" si="66"/>
        <v/>
      </c>
      <c r="J799" s="32"/>
      <c r="K799" s="24" t="str">
        <f t="shared" si="64"/>
        <v/>
      </c>
      <c r="R799" s="24" t="str">
        <f t="shared" si="67"/>
        <v/>
      </c>
      <c r="S799" s="24" t="str">
        <f t="shared" si="68"/>
        <v/>
      </c>
      <c r="T799" t="str">
        <f t="shared" si="65"/>
        <v/>
      </c>
    </row>
    <row r="800" spans="1:20">
      <c r="A800" s="22" t="s">
        <v>894</v>
      </c>
      <c r="H800" s="22" t="str">
        <f t="shared" si="66"/>
        <v/>
      </c>
      <c r="J800" s="32"/>
      <c r="K800" s="24" t="str">
        <f t="shared" si="64"/>
        <v/>
      </c>
      <c r="R800" s="24" t="str">
        <f t="shared" si="67"/>
        <v/>
      </c>
      <c r="S800" s="24" t="str">
        <f t="shared" si="68"/>
        <v/>
      </c>
      <c r="T800" t="str">
        <f t="shared" si="65"/>
        <v/>
      </c>
    </row>
    <row r="801" spans="1:20">
      <c r="A801" s="22" t="s">
        <v>895</v>
      </c>
      <c r="H801" s="22" t="str">
        <f t="shared" si="66"/>
        <v/>
      </c>
      <c r="J801" s="32"/>
      <c r="K801" s="24" t="str">
        <f t="shared" si="64"/>
        <v/>
      </c>
      <c r="R801" s="24" t="str">
        <f t="shared" si="67"/>
        <v/>
      </c>
      <c r="S801" s="24" t="str">
        <f t="shared" si="68"/>
        <v/>
      </c>
      <c r="T801" t="str">
        <f t="shared" si="65"/>
        <v/>
      </c>
    </row>
    <row r="802" spans="1:20">
      <c r="A802" s="22" t="s">
        <v>896</v>
      </c>
      <c r="H802" s="22" t="str">
        <f t="shared" si="66"/>
        <v/>
      </c>
      <c r="J802" s="32"/>
      <c r="K802" s="24" t="str">
        <f t="shared" si="64"/>
        <v/>
      </c>
      <c r="R802" s="24" t="str">
        <f t="shared" si="67"/>
        <v/>
      </c>
      <c r="S802" s="24" t="str">
        <f t="shared" si="68"/>
        <v/>
      </c>
      <c r="T802" t="str">
        <f t="shared" si="65"/>
        <v/>
      </c>
    </row>
    <row r="803" spans="1:20">
      <c r="A803" s="22" t="s">
        <v>897</v>
      </c>
      <c r="H803" s="22" t="str">
        <f t="shared" si="66"/>
        <v/>
      </c>
      <c r="J803" s="32"/>
      <c r="K803" s="24" t="str">
        <f t="shared" si="64"/>
        <v/>
      </c>
      <c r="R803" s="24" t="str">
        <f t="shared" si="67"/>
        <v/>
      </c>
      <c r="S803" s="24" t="str">
        <f t="shared" si="68"/>
        <v/>
      </c>
      <c r="T803" t="str">
        <f t="shared" si="65"/>
        <v/>
      </c>
    </row>
    <row r="804" spans="1:20">
      <c r="A804" s="22" t="s">
        <v>898</v>
      </c>
      <c r="H804" s="22" t="str">
        <f t="shared" si="66"/>
        <v/>
      </c>
      <c r="J804" s="32"/>
      <c r="K804" s="24" t="str">
        <f t="shared" si="64"/>
        <v/>
      </c>
      <c r="R804" s="24" t="str">
        <f t="shared" si="67"/>
        <v/>
      </c>
      <c r="S804" s="24" t="str">
        <f t="shared" si="68"/>
        <v/>
      </c>
      <c r="T804" t="str">
        <f t="shared" si="65"/>
        <v/>
      </c>
    </row>
    <row r="805" spans="1:20">
      <c r="A805" s="22" t="s">
        <v>899</v>
      </c>
      <c r="H805" s="22" t="str">
        <f t="shared" si="66"/>
        <v/>
      </c>
      <c r="J805" s="32"/>
      <c r="K805" s="24" t="str">
        <f t="shared" si="64"/>
        <v/>
      </c>
      <c r="R805" s="24" t="str">
        <f t="shared" si="67"/>
        <v/>
      </c>
      <c r="S805" s="24" t="str">
        <f t="shared" si="68"/>
        <v/>
      </c>
      <c r="T805" t="str">
        <f t="shared" si="65"/>
        <v/>
      </c>
    </row>
    <row r="806" spans="1:20">
      <c r="A806" s="22" t="s">
        <v>900</v>
      </c>
      <c r="H806" s="22" t="str">
        <f t="shared" si="66"/>
        <v/>
      </c>
      <c r="J806" s="32"/>
      <c r="K806" s="24" t="str">
        <f t="shared" si="64"/>
        <v/>
      </c>
      <c r="R806" s="24" t="str">
        <f t="shared" si="67"/>
        <v/>
      </c>
      <c r="S806" s="24" t="str">
        <f t="shared" si="68"/>
        <v/>
      </c>
      <c r="T806" t="str">
        <f t="shared" si="65"/>
        <v/>
      </c>
    </row>
    <row r="807" spans="1:20">
      <c r="A807" s="22" t="s">
        <v>901</v>
      </c>
      <c r="H807" s="22" t="str">
        <f t="shared" si="66"/>
        <v/>
      </c>
      <c r="J807" s="32"/>
      <c r="K807" s="24" t="str">
        <f t="shared" si="64"/>
        <v/>
      </c>
      <c r="R807" s="24" t="str">
        <f t="shared" si="67"/>
        <v/>
      </c>
      <c r="S807" s="24" t="str">
        <f t="shared" si="68"/>
        <v/>
      </c>
      <c r="T807" t="str">
        <f t="shared" si="65"/>
        <v/>
      </c>
    </row>
    <row r="808" spans="1:20">
      <c r="A808" s="22" t="s">
        <v>902</v>
      </c>
      <c r="H808" s="22" t="str">
        <f t="shared" si="66"/>
        <v/>
      </c>
      <c r="J808" s="32"/>
      <c r="K808" s="24" t="str">
        <f t="shared" si="64"/>
        <v/>
      </c>
      <c r="R808" s="24" t="str">
        <f t="shared" si="67"/>
        <v/>
      </c>
      <c r="S808" s="24" t="str">
        <f t="shared" si="68"/>
        <v/>
      </c>
      <c r="T808" t="str">
        <f t="shared" si="65"/>
        <v/>
      </c>
    </row>
    <row r="809" spans="1:20">
      <c r="A809" s="22" t="s">
        <v>903</v>
      </c>
      <c r="H809" s="22" t="str">
        <f t="shared" si="66"/>
        <v/>
      </c>
      <c r="J809" s="32"/>
      <c r="K809" s="24" t="str">
        <f t="shared" si="64"/>
        <v/>
      </c>
      <c r="R809" s="24" t="str">
        <f t="shared" si="67"/>
        <v/>
      </c>
      <c r="S809" s="24" t="str">
        <f t="shared" si="68"/>
        <v/>
      </c>
      <c r="T809" t="str">
        <f t="shared" si="65"/>
        <v/>
      </c>
    </row>
    <row r="810" spans="1:20">
      <c r="A810" s="22" t="s">
        <v>904</v>
      </c>
      <c r="H810" s="22" t="str">
        <f t="shared" si="66"/>
        <v/>
      </c>
      <c r="J810" s="32"/>
      <c r="K810" s="24" t="str">
        <f t="shared" si="64"/>
        <v/>
      </c>
      <c r="R810" s="24" t="str">
        <f t="shared" si="67"/>
        <v/>
      </c>
      <c r="S810" s="24" t="str">
        <f t="shared" si="68"/>
        <v/>
      </c>
      <c r="T810" t="str">
        <f t="shared" si="65"/>
        <v/>
      </c>
    </row>
    <row r="811" spans="1:20">
      <c r="A811" s="22" t="s">
        <v>905</v>
      </c>
      <c r="H811" s="22" t="str">
        <f t="shared" si="66"/>
        <v/>
      </c>
      <c r="J811" s="32"/>
      <c r="K811" s="24" t="str">
        <f t="shared" si="64"/>
        <v/>
      </c>
      <c r="R811" s="24" t="str">
        <f t="shared" si="67"/>
        <v/>
      </c>
      <c r="S811" s="24" t="str">
        <f t="shared" si="68"/>
        <v/>
      </c>
      <c r="T811" t="str">
        <f t="shared" si="65"/>
        <v/>
      </c>
    </row>
    <row r="812" spans="1:20">
      <c r="A812" s="22" t="s">
        <v>906</v>
      </c>
      <c r="H812" s="22" t="str">
        <f t="shared" si="66"/>
        <v/>
      </c>
      <c r="J812" s="32"/>
      <c r="K812" s="24" t="str">
        <f t="shared" si="64"/>
        <v/>
      </c>
      <c r="R812" s="24" t="str">
        <f t="shared" si="67"/>
        <v/>
      </c>
      <c r="S812" s="24" t="str">
        <f t="shared" si="68"/>
        <v/>
      </c>
      <c r="T812" t="str">
        <f t="shared" si="65"/>
        <v/>
      </c>
    </row>
    <row r="813" spans="1:20">
      <c r="A813" s="22" t="s">
        <v>907</v>
      </c>
      <c r="H813" s="22" t="str">
        <f t="shared" si="66"/>
        <v/>
      </c>
      <c r="J813" s="32"/>
      <c r="K813" s="24" t="str">
        <f t="shared" si="64"/>
        <v/>
      </c>
      <c r="R813" s="24" t="str">
        <f t="shared" si="67"/>
        <v/>
      </c>
      <c r="S813" s="24" t="str">
        <f t="shared" si="68"/>
        <v/>
      </c>
      <c r="T813" t="str">
        <f t="shared" si="65"/>
        <v/>
      </c>
    </row>
    <row r="814" spans="1:20">
      <c r="A814" s="22" t="s">
        <v>908</v>
      </c>
      <c r="H814" s="22" t="str">
        <f t="shared" si="66"/>
        <v/>
      </c>
      <c r="J814" s="32"/>
      <c r="K814" s="24" t="str">
        <f t="shared" si="64"/>
        <v/>
      </c>
      <c r="R814" s="24" t="str">
        <f t="shared" si="67"/>
        <v/>
      </c>
      <c r="S814" s="24" t="str">
        <f t="shared" si="68"/>
        <v/>
      </c>
      <c r="T814" t="str">
        <f t="shared" si="65"/>
        <v/>
      </c>
    </row>
    <row r="815" spans="1:20">
      <c r="A815" s="22" t="s">
        <v>909</v>
      </c>
      <c r="H815" s="22" t="str">
        <f t="shared" si="66"/>
        <v/>
      </c>
      <c r="J815" s="32"/>
      <c r="K815" s="24" t="str">
        <f t="shared" si="64"/>
        <v/>
      </c>
      <c r="R815" s="24" t="str">
        <f t="shared" si="67"/>
        <v/>
      </c>
      <c r="S815" s="24" t="str">
        <f t="shared" si="68"/>
        <v/>
      </c>
      <c r="T815" t="str">
        <f t="shared" si="65"/>
        <v/>
      </c>
    </row>
    <row r="816" spans="1:20">
      <c r="A816" s="22" t="s">
        <v>910</v>
      </c>
      <c r="H816" s="22" t="str">
        <f t="shared" si="66"/>
        <v/>
      </c>
      <c r="J816" s="32"/>
      <c r="K816" s="24" t="str">
        <f t="shared" si="64"/>
        <v/>
      </c>
      <c r="R816" s="24" t="str">
        <f t="shared" si="67"/>
        <v/>
      </c>
      <c r="S816" s="24" t="str">
        <f t="shared" si="68"/>
        <v/>
      </c>
      <c r="T816" t="str">
        <f t="shared" si="65"/>
        <v/>
      </c>
    </row>
    <row r="817" spans="1:20">
      <c r="A817" s="22" t="s">
        <v>911</v>
      </c>
      <c r="H817" s="22" t="str">
        <f t="shared" si="66"/>
        <v/>
      </c>
      <c r="J817" s="32"/>
      <c r="K817" s="24" t="str">
        <f t="shared" si="64"/>
        <v/>
      </c>
      <c r="R817" s="24" t="str">
        <f t="shared" si="67"/>
        <v/>
      </c>
      <c r="S817" s="24" t="str">
        <f t="shared" si="68"/>
        <v/>
      </c>
      <c r="T817" t="str">
        <f t="shared" si="65"/>
        <v/>
      </c>
    </row>
    <row r="818" spans="1:20">
      <c r="A818" s="22" t="s">
        <v>912</v>
      </c>
      <c r="H818" s="22" t="str">
        <f t="shared" si="66"/>
        <v/>
      </c>
      <c r="J818" s="32"/>
      <c r="K818" s="24" t="str">
        <f t="shared" si="64"/>
        <v/>
      </c>
      <c r="R818" s="24" t="str">
        <f t="shared" si="67"/>
        <v/>
      </c>
      <c r="S818" s="24" t="str">
        <f t="shared" si="68"/>
        <v/>
      </c>
      <c r="T818" t="str">
        <f t="shared" si="65"/>
        <v/>
      </c>
    </row>
    <row r="819" spans="1:20">
      <c r="A819" s="22" t="s">
        <v>913</v>
      </c>
      <c r="H819" s="22" t="str">
        <f t="shared" si="66"/>
        <v/>
      </c>
      <c r="J819" s="32"/>
      <c r="K819" s="24" t="str">
        <f t="shared" si="64"/>
        <v/>
      </c>
      <c r="R819" s="24" t="str">
        <f t="shared" si="67"/>
        <v/>
      </c>
      <c r="S819" s="24" t="str">
        <f t="shared" si="68"/>
        <v/>
      </c>
      <c r="T819" t="str">
        <f t="shared" si="65"/>
        <v/>
      </c>
    </row>
    <row r="820" spans="1:20">
      <c r="A820" s="22" t="s">
        <v>914</v>
      </c>
      <c r="H820" s="22" t="str">
        <f t="shared" si="66"/>
        <v/>
      </c>
      <c r="J820" s="32"/>
      <c r="K820" s="24" t="str">
        <f t="shared" si="64"/>
        <v/>
      </c>
      <c r="R820" s="24" t="str">
        <f t="shared" si="67"/>
        <v/>
      </c>
      <c r="S820" s="24" t="str">
        <f t="shared" si="68"/>
        <v/>
      </c>
      <c r="T820" t="str">
        <f t="shared" si="65"/>
        <v/>
      </c>
    </row>
    <row r="821" spans="1:20">
      <c r="A821" s="22" t="s">
        <v>915</v>
      </c>
      <c r="H821" s="22" t="str">
        <f t="shared" si="66"/>
        <v/>
      </c>
      <c r="J821" s="32"/>
      <c r="K821" s="24" t="str">
        <f t="shared" si="64"/>
        <v/>
      </c>
      <c r="R821" s="24" t="str">
        <f t="shared" si="67"/>
        <v/>
      </c>
      <c r="S821" s="24" t="str">
        <f t="shared" si="68"/>
        <v/>
      </c>
      <c r="T821" t="str">
        <f t="shared" si="65"/>
        <v/>
      </c>
    </row>
    <row r="822" spans="1:20">
      <c r="A822" s="22" t="s">
        <v>916</v>
      </c>
      <c r="H822" s="22" t="str">
        <f t="shared" si="66"/>
        <v/>
      </c>
      <c r="J822" s="32"/>
      <c r="K822" s="24" t="str">
        <f t="shared" si="64"/>
        <v/>
      </c>
      <c r="R822" s="24" t="str">
        <f t="shared" si="67"/>
        <v/>
      </c>
      <c r="S822" s="24" t="str">
        <f t="shared" si="68"/>
        <v/>
      </c>
      <c r="T822" t="str">
        <f t="shared" si="65"/>
        <v/>
      </c>
    </row>
    <row r="823" spans="1:20">
      <c r="A823" s="22" t="s">
        <v>917</v>
      </c>
      <c r="H823" s="22" t="str">
        <f t="shared" si="66"/>
        <v/>
      </c>
      <c r="J823" s="32"/>
      <c r="K823" s="24" t="str">
        <f t="shared" si="64"/>
        <v/>
      </c>
      <c r="R823" s="24" t="str">
        <f t="shared" si="67"/>
        <v/>
      </c>
      <c r="S823" s="24" t="str">
        <f t="shared" si="68"/>
        <v/>
      </c>
      <c r="T823" t="str">
        <f t="shared" si="65"/>
        <v/>
      </c>
    </row>
    <row r="824" spans="1:20">
      <c r="A824" s="22" t="s">
        <v>918</v>
      </c>
      <c r="H824" s="22" t="str">
        <f t="shared" si="66"/>
        <v/>
      </c>
      <c r="J824" s="32"/>
      <c r="K824" s="24" t="str">
        <f t="shared" si="64"/>
        <v/>
      </c>
      <c r="R824" s="24" t="str">
        <f t="shared" si="67"/>
        <v/>
      </c>
      <c r="S824" s="24" t="str">
        <f t="shared" si="68"/>
        <v/>
      </c>
      <c r="T824" t="str">
        <f t="shared" si="65"/>
        <v/>
      </c>
    </row>
    <row r="825" spans="1:20">
      <c r="A825" s="22" t="s">
        <v>919</v>
      </c>
      <c r="H825" s="22" t="str">
        <f t="shared" si="66"/>
        <v/>
      </c>
      <c r="J825" s="32"/>
      <c r="K825" s="24" t="str">
        <f t="shared" si="64"/>
        <v/>
      </c>
      <c r="R825" s="24" t="str">
        <f t="shared" si="67"/>
        <v/>
      </c>
      <c r="S825" s="24" t="str">
        <f t="shared" si="68"/>
        <v/>
      </c>
      <c r="T825" t="str">
        <f t="shared" si="65"/>
        <v/>
      </c>
    </row>
    <row r="826" spans="1:20">
      <c r="A826" s="22" t="s">
        <v>920</v>
      </c>
      <c r="H826" s="22" t="str">
        <f t="shared" si="66"/>
        <v/>
      </c>
      <c r="J826" s="32"/>
      <c r="K826" s="24" t="str">
        <f t="shared" si="64"/>
        <v/>
      </c>
      <c r="R826" s="24" t="str">
        <f t="shared" si="67"/>
        <v/>
      </c>
      <c r="S826" s="24" t="str">
        <f t="shared" si="68"/>
        <v/>
      </c>
      <c r="T826" t="str">
        <f t="shared" si="65"/>
        <v/>
      </c>
    </row>
    <row r="827" spans="1:20">
      <c r="A827" s="22" t="s">
        <v>921</v>
      </c>
      <c r="H827" s="22" t="str">
        <f t="shared" si="66"/>
        <v/>
      </c>
      <c r="J827" s="32"/>
      <c r="K827" s="24" t="str">
        <f t="shared" si="64"/>
        <v/>
      </c>
      <c r="R827" s="24" t="str">
        <f t="shared" si="67"/>
        <v/>
      </c>
      <c r="S827" s="24" t="str">
        <f t="shared" si="68"/>
        <v/>
      </c>
      <c r="T827" t="str">
        <f t="shared" si="65"/>
        <v/>
      </c>
    </row>
    <row r="828" spans="1:20">
      <c r="A828" s="22" t="s">
        <v>922</v>
      </c>
      <c r="H828" s="22" t="str">
        <f t="shared" si="66"/>
        <v/>
      </c>
      <c r="J828" s="32"/>
      <c r="K828" s="24" t="str">
        <f t="shared" si="64"/>
        <v/>
      </c>
      <c r="R828" s="24" t="str">
        <f t="shared" si="67"/>
        <v/>
      </c>
      <c r="S828" s="24" t="str">
        <f t="shared" si="68"/>
        <v/>
      </c>
      <c r="T828" t="str">
        <f t="shared" si="65"/>
        <v/>
      </c>
    </row>
    <row r="829" spans="1:20">
      <c r="A829" s="22" t="s">
        <v>923</v>
      </c>
      <c r="H829" s="22" t="str">
        <f t="shared" si="66"/>
        <v/>
      </c>
      <c r="J829" s="32"/>
      <c r="K829" s="24" t="str">
        <f t="shared" si="64"/>
        <v/>
      </c>
      <c r="R829" s="24" t="str">
        <f t="shared" si="67"/>
        <v/>
      </c>
      <c r="S829" s="24" t="str">
        <f t="shared" si="68"/>
        <v/>
      </c>
      <c r="T829" t="str">
        <f t="shared" si="65"/>
        <v/>
      </c>
    </row>
    <row r="830" spans="1:20">
      <c r="A830" s="22" t="s">
        <v>924</v>
      </c>
      <c r="H830" s="22" t="str">
        <f t="shared" si="66"/>
        <v/>
      </c>
      <c r="J830" s="32"/>
      <c r="K830" s="24" t="str">
        <f t="shared" si="64"/>
        <v/>
      </c>
      <c r="R830" s="24" t="str">
        <f t="shared" si="67"/>
        <v/>
      </c>
      <c r="S830" s="24" t="str">
        <f t="shared" si="68"/>
        <v/>
      </c>
      <c r="T830" t="str">
        <f t="shared" si="65"/>
        <v/>
      </c>
    </row>
    <row r="831" spans="1:20">
      <c r="A831" s="22" t="s">
        <v>925</v>
      </c>
      <c r="H831" s="22" t="str">
        <f t="shared" si="66"/>
        <v/>
      </c>
      <c r="J831" s="32"/>
      <c r="K831" s="24" t="str">
        <f t="shared" si="64"/>
        <v/>
      </c>
      <c r="R831" s="24" t="str">
        <f t="shared" si="67"/>
        <v/>
      </c>
      <c r="S831" s="24" t="str">
        <f t="shared" si="68"/>
        <v/>
      </c>
      <c r="T831" t="str">
        <f t="shared" si="65"/>
        <v/>
      </c>
    </row>
    <row r="832" spans="1:20">
      <c r="A832" s="22" t="s">
        <v>926</v>
      </c>
      <c r="H832" s="22" t="str">
        <f t="shared" si="66"/>
        <v/>
      </c>
      <c r="J832" s="32"/>
      <c r="K832" s="24" t="str">
        <f t="shared" si="64"/>
        <v/>
      </c>
      <c r="R832" s="24" t="str">
        <f t="shared" si="67"/>
        <v/>
      </c>
      <c r="S832" s="24" t="str">
        <f t="shared" si="68"/>
        <v/>
      </c>
      <c r="T832" t="str">
        <f t="shared" si="65"/>
        <v/>
      </c>
    </row>
    <row r="833" spans="1:20">
      <c r="A833" s="22" t="s">
        <v>927</v>
      </c>
      <c r="H833" s="22" t="str">
        <f t="shared" si="66"/>
        <v/>
      </c>
      <c r="J833" s="32"/>
      <c r="K833" s="24" t="str">
        <f t="shared" si="64"/>
        <v/>
      </c>
      <c r="R833" s="24" t="str">
        <f t="shared" si="67"/>
        <v/>
      </c>
      <c r="S833" s="24" t="str">
        <f t="shared" si="68"/>
        <v/>
      </c>
      <c r="T833" t="str">
        <f t="shared" si="65"/>
        <v/>
      </c>
    </row>
    <row r="834" spans="1:20">
      <c r="A834" s="22" t="s">
        <v>928</v>
      </c>
      <c r="H834" s="22" t="str">
        <f t="shared" si="66"/>
        <v/>
      </c>
      <c r="J834" s="32"/>
      <c r="K834" s="24" t="str">
        <f t="shared" si="64"/>
        <v/>
      </c>
      <c r="R834" s="24" t="str">
        <f t="shared" si="67"/>
        <v/>
      </c>
      <c r="S834" s="24" t="str">
        <f t="shared" si="68"/>
        <v/>
      </c>
      <c r="T834" t="str">
        <f t="shared" si="65"/>
        <v/>
      </c>
    </row>
    <row r="835" spans="1:20">
      <c r="A835" s="22" t="s">
        <v>929</v>
      </c>
      <c r="H835" s="22" t="str">
        <f t="shared" si="66"/>
        <v/>
      </c>
      <c r="J835" s="32"/>
      <c r="K835" s="24" t="str">
        <f t="shared" si="64"/>
        <v/>
      </c>
      <c r="R835" s="24" t="str">
        <f t="shared" si="67"/>
        <v/>
      </c>
      <c r="S835" s="24" t="str">
        <f t="shared" si="68"/>
        <v/>
      </c>
      <c r="T835" t="str">
        <f t="shared" si="65"/>
        <v/>
      </c>
    </row>
    <row r="836" spans="1:20">
      <c r="A836" s="22" t="s">
        <v>930</v>
      </c>
      <c r="H836" s="22" t="str">
        <f t="shared" si="66"/>
        <v/>
      </c>
      <c r="J836" s="32"/>
      <c r="K836" s="24" t="str">
        <f t="shared" si="64"/>
        <v/>
      </c>
      <c r="R836" s="24" t="str">
        <f t="shared" si="67"/>
        <v/>
      </c>
      <c r="S836" s="24" t="str">
        <f t="shared" si="68"/>
        <v/>
      </c>
      <c r="T836" t="str">
        <f t="shared" si="65"/>
        <v/>
      </c>
    </row>
    <row r="837" spans="1:20">
      <c r="A837" s="22" t="s">
        <v>931</v>
      </c>
      <c r="H837" s="22" t="str">
        <f t="shared" si="66"/>
        <v/>
      </c>
      <c r="J837" s="32"/>
      <c r="K837" s="24" t="str">
        <f t="shared" si="64"/>
        <v/>
      </c>
      <c r="R837" s="24" t="str">
        <f t="shared" si="67"/>
        <v/>
      </c>
      <c r="S837" s="24" t="str">
        <f t="shared" si="68"/>
        <v/>
      </c>
      <c r="T837" t="str">
        <f t="shared" si="65"/>
        <v/>
      </c>
    </row>
    <row r="838" spans="1:20">
      <c r="A838" s="22" t="s">
        <v>932</v>
      </c>
      <c r="H838" s="22" t="str">
        <f t="shared" si="66"/>
        <v/>
      </c>
      <c r="J838" s="32"/>
      <c r="K838" s="24" t="str">
        <f t="shared" si="64"/>
        <v/>
      </c>
      <c r="R838" s="24" t="str">
        <f t="shared" si="67"/>
        <v/>
      </c>
      <c r="S838" s="24" t="str">
        <f t="shared" si="68"/>
        <v/>
      </c>
      <c r="T838" t="str">
        <f t="shared" si="65"/>
        <v/>
      </c>
    </row>
    <row r="839" spans="1:20">
      <c r="A839" s="22" t="s">
        <v>933</v>
      </c>
      <c r="H839" s="22" t="str">
        <f t="shared" si="66"/>
        <v/>
      </c>
      <c r="J839" s="32"/>
      <c r="K839" s="24" t="str">
        <f t="shared" si="64"/>
        <v/>
      </c>
      <c r="R839" s="24" t="str">
        <f t="shared" si="67"/>
        <v/>
      </c>
      <c r="S839" s="24" t="str">
        <f t="shared" si="68"/>
        <v/>
      </c>
      <c r="T839" t="str">
        <f t="shared" si="65"/>
        <v/>
      </c>
    </row>
    <row r="840" spans="1:20">
      <c r="A840" s="22" t="s">
        <v>934</v>
      </c>
      <c r="H840" s="22" t="str">
        <f t="shared" si="66"/>
        <v/>
      </c>
      <c r="J840" s="32"/>
      <c r="K840" s="24" t="str">
        <f t="shared" si="64"/>
        <v/>
      </c>
      <c r="R840" s="24" t="str">
        <f t="shared" si="67"/>
        <v/>
      </c>
      <c r="S840" s="24" t="str">
        <f t="shared" si="68"/>
        <v/>
      </c>
      <c r="T840" t="str">
        <f t="shared" si="65"/>
        <v/>
      </c>
    </row>
    <row r="841" spans="1:20">
      <c r="A841" s="22" t="s">
        <v>935</v>
      </c>
      <c r="H841" s="22" t="str">
        <f t="shared" si="66"/>
        <v/>
      </c>
      <c r="J841" s="32"/>
      <c r="K841" s="24" t="str">
        <f t="shared" ref="K841:K904" si="69">IF(I841="","",IF(I841="ENTRADA",ABS(J841),-ABS(J841)))</f>
        <v/>
      </c>
      <c r="R841" s="24" t="str">
        <f t="shared" si="67"/>
        <v/>
      </c>
      <c r="S841" s="24" t="str">
        <f t="shared" si="68"/>
        <v/>
      </c>
      <c r="T841" t="str">
        <f t="shared" si="65"/>
        <v/>
      </c>
    </row>
    <row r="842" spans="1:20">
      <c r="A842" s="22" t="s">
        <v>936</v>
      </c>
      <c r="H842" s="22" t="str">
        <f t="shared" si="66"/>
        <v/>
      </c>
      <c r="J842" s="32"/>
      <c r="K842" s="24" t="str">
        <f t="shared" si="69"/>
        <v/>
      </c>
      <c r="R842" s="24" t="str">
        <f t="shared" si="67"/>
        <v/>
      </c>
      <c r="S842" s="24" t="str">
        <f t="shared" si="68"/>
        <v/>
      </c>
      <c r="T842" t="str">
        <f t="shared" si="65"/>
        <v/>
      </c>
    </row>
    <row r="843" spans="1:20">
      <c r="A843" s="22" t="s">
        <v>937</v>
      </c>
      <c r="H843" s="22" t="str">
        <f t="shared" si="66"/>
        <v/>
      </c>
      <c r="J843" s="32"/>
      <c r="K843" s="24" t="str">
        <f t="shared" si="69"/>
        <v/>
      </c>
      <c r="R843" s="24" t="str">
        <f t="shared" si="67"/>
        <v/>
      </c>
      <c r="S843" s="24" t="str">
        <f t="shared" si="68"/>
        <v/>
      </c>
      <c r="T843" t="str">
        <f t="shared" si="65"/>
        <v/>
      </c>
    </row>
    <row r="844" spans="1:20">
      <c r="A844" s="22" t="s">
        <v>938</v>
      </c>
      <c r="H844" s="22" t="str">
        <f t="shared" si="66"/>
        <v/>
      </c>
      <c r="J844" s="32"/>
      <c r="K844" s="24" t="str">
        <f t="shared" si="69"/>
        <v/>
      </c>
      <c r="R844" s="24" t="str">
        <f t="shared" si="67"/>
        <v/>
      </c>
      <c r="S844" s="24" t="str">
        <f t="shared" si="68"/>
        <v/>
      </c>
      <c r="T844" t="str">
        <f t="shared" si="65"/>
        <v/>
      </c>
    </row>
    <row r="845" spans="1:20">
      <c r="A845" s="22" t="s">
        <v>939</v>
      </c>
      <c r="H845" s="22" t="str">
        <f t="shared" si="66"/>
        <v/>
      </c>
      <c r="J845" s="32"/>
      <c r="K845" s="24" t="str">
        <f t="shared" si="69"/>
        <v/>
      </c>
      <c r="R845" s="24" t="str">
        <f t="shared" si="67"/>
        <v/>
      </c>
      <c r="S845" s="24" t="str">
        <f t="shared" si="68"/>
        <v/>
      </c>
      <c r="T845" t="str">
        <f t="shared" si="65"/>
        <v/>
      </c>
    </row>
    <row r="846" spans="1:20">
      <c r="A846" s="22" t="s">
        <v>940</v>
      </c>
      <c r="H846" s="22" t="str">
        <f t="shared" si="66"/>
        <v/>
      </c>
      <c r="J846" s="32"/>
      <c r="K846" s="24" t="str">
        <f t="shared" si="69"/>
        <v/>
      </c>
      <c r="R846" s="24" t="str">
        <f t="shared" si="67"/>
        <v/>
      </c>
      <c r="S846" s="24" t="str">
        <f t="shared" si="68"/>
        <v/>
      </c>
      <c r="T846" t="str">
        <f t="shared" si="65"/>
        <v/>
      </c>
    </row>
    <row r="847" spans="1:20">
      <c r="A847" s="22" t="s">
        <v>941</v>
      </c>
      <c r="H847" s="22" t="str">
        <f t="shared" si="66"/>
        <v/>
      </c>
      <c r="J847" s="32"/>
      <c r="K847" s="24" t="str">
        <f t="shared" si="69"/>
        <v/>
      </c>
      <c r="R847" s="24" t="str">
        <f t="shared" si="67"/>
        <v/>
      </c>
      <c r="S847" s="24" t="str">
        <f t="shared" si="68"/>
        <v/>
      </c>
      <c r="T847" t="str">
        <f t="shared" ref="T847:T910" si="70">IF(OR(C847="",I847&lt;&gt;"ENTRADA"),"",TEXT(B847,"AAMMDD")&amp;"-"&amp;TEXT(VALUE(SUBSTITUTE(A847,"MOV-","")),"000"))</f>
        <v/>
      </c>
    </row>
    <row r="848" spans="1:20">
      <c r="A848" s="22" t="s">
        <v>942</v>
      </c>
      <c r="H848" s="22" t="str">
        <f t="shared" ref="H848:H911" si="71">+T848</f>
        <v/>
      </c>
      <c r="J848" s="32"/>
      <c r="K848" s="24" t="str">
        <f t="shared" si="69"/>
        <v/>
      </c>
      <c r="R848" s="24" t="str">
        <f t="shared" ref="R848:R911" si="72">IF(H848="","",H848&amp;I848)</f>
        <v/>
      </c>
      <c r="S848" s="24" t="str">
        <f t="shared" ref="S848:S911" si="73">IF(C848="","",C848&amp;I848)</f>
        <v/>
      </c>
      <c r="T848" t="str">
        <f t="shared" si="70"/>
        <v/>
      </c>
    </row>
    <row r="849" spans="1:20">
      <c r="A849" s="22" t="s">
        <v>943</v>
      </c>
      <c r="H849" s="22" t="str">
        <f t="shared" si="71"/>
        <v/>
      </c>
      <c r="J849" s="32"/>
      <c r="K849" s="24" t="str">
        <f t="shared" si="69"/>
        <v/>
      </c>
      <c r="R849" s="24" t="str">
        <f t="shared" si="72"/>
        <v/>
      </c>
      <c r="S849" s="24" t="str">
        <f t="shared" si="73"/>
        <v/>
      </c>
      <c r="T849" t="str">
        <f t="shared" si="70"/>
        <v/>
      </c>
    </row>
    <row r="850" spans="1:20">
      <c r="A850" s="22" t="s">
        <v>944</v>
      </c>
      <c r="H850" s="22" t="str">
        <f t="shared" si="71"/>
        <v/>
      </c>
      <c r="J850" s="32"/>
      <c r="K850" s="24" t="str">
        <f t="shared" si="69"/>
        <v/>
      </c>
      <c r="R850" s="24" t="str">
        <f t="shared" si="72"/>
        <v/>
      </c>
      <c r="S850" s="24" t="str">
        <f t="shared" si="73"/>
        <v/>
      </c>
      <c r="T850" t="str">
        <f t="shared" si="70"/>
        <v/>
      </c>
    </row>
    <row r="851" spans="1:20">
      <c r="A851" s="22" t="s">
        <v>945</v>
      </c>
      <c r="H851" s="22" t="str">
        <f t="shared" si="71"/>
        <v/>
      </c>
      <c r="J851" s="32"/>
      <c r="K851" s="24" t="str">
        <f t="shared" si="69"/>
        <v/>
      </c>
      <c r="R851" s="24" t="str">
        <f t="shared" si="72"/>
        <v/>
      </c>
      <c r="S851" s="24" t="str">
        <f t="shared" si="73"/>
        <v/>
      </c>
      <c r="T851" t="str">
        <f t="shared" si="70"/>
        <v/>
      </c>
    </row>
    <row r="852" spans="1:20">
      <c r="A852" s="22" t="s">
        <v>946</v>
      </c>
      <c r="H852" s="22" t="str">
        <f t="shared" si="71"/>
        <v/>
      </c>
      <c r="J852" s="32"/>
      <c r="K852" s="24" t="str">
        <f t="shared" si="69"/>
        <v/>
      </c>
      <c r="R852" s="24" t="str">
        <f t="shared" si="72"/>
        <v/>
      </c>
      <c r="S852" s="24" t="str">
        <f t="shared" si="73"/>
        <v/>
      </c>
      <c r="T852" t="str">
        <f t="shared" si="70"/>
        <v/>
      </c>
    </row>
    <row r="853" spans="1:20">
      <c r="A853" s="22" t="s">
        <v>947</v>
      </c>
      <c r="H853" s="22" t="str">
        <f t="shared" si="71"/>
        <v/>
      </c>
      <c r="J853" s="32"/>
      <c r="K853" s="24" t="str">
        <f t="shared" si="69"/>
        <v/>
      </c>
      <c r="R853" s="24" t="str">
        <f t="shared" si="72"/>
        <v/>
      </c>
      <c r="S853" s="24" t="str">
        <f t="shared" si="73"/>
        <v/>
      </c>
      <c r="T853" t="str">
        <f t="shared" si="70"/>
        <v/>
      </c>
    </row>
    <row r="854" spans="1:20">
      <c r="A854" s="22" t="s">
        <v>948</v>
      </c>
      <c r="H854" s="22" t="str">
        <f t="shared" si="71"/>
        <v/>
      </c>
      <c r="J854" s="32"/>
      <c r="K854" s="24" t="str">
        <f t="shared" si="69"/>
        <v/>
      </c>
      <c r="R854" s="24" t="str">
        <f t="shared" si="72"/>
        <v/>
      </c>
      <c r="S854" s="24" t="str">
        <f t="shared" si="73"/>
        <v/>
      </c>
      <c r="T854" t="str">
        <f t="shared" si="70"/>
        <v/>
      </c>
    </row>
    <row r="855" spans="1:20">
      <c r="A855" s="22" t="s">
        <v>949</v>
      </c>
      <c r="H855" s="22" t="str">
        <f t="shared" si="71"/>
        <v/>
      </c>
      <c r="J855" s="32"/>
      <c r="K855" s="24" t="str">
        <f t="shared" si="69"/>
        <v/>
      </c>
      <c r="R855" s="24" t="str">
        <f t="shared" si="72"/>
        <v/>
      </c>
      <c r="S855" s="24" t="str">
        <f t="shared" si="73"/>
        <v/>
      </c>
      <c r="T855" t="str">
        <f t="shared" si="70"/>
        <v/>
      </c>
    </row>
    <row r="856" spans="1:20">
      <c r="A856" s="22" t="s">
        <v>950</v>
      </c>
      <c r="H856" s="22" t="str">
        <f t="shared" si="71"/>
        <v/>
      </c>
      <c r="J856" s="32"/>
      <c r="K856" s="24" t="str">
        <f t="shared" si="69"/>
        <v/>
      </c>
      <c r="R856" s="24" t="str">
        <f t="shared" si="72"/>
        <v/>
      </c>
      <c r="S856" s="24" t="str">
        <f t="shared" si="73"/>
        <v/>
      </c>
      <c r="T856" t="str">
        <f t="shared" si="70"/>
        <v/>
      </c>
    </row>
    <row r="857" spans="1:20">
      <c r="A857" s="22" t="s">
        <v>951</v>
      </c>
      <c r="H857" s="22" t="str">
        <f t="shared" si="71"/>
        <v/>
      </c>
      <c r="J857" s="32"/>
      <c r="K857" s="24" t="str">
        <f t="shared" si="69"/>
        <v/>
      </c>
      <c r="R857" s="24" t="str">
        <f t="shared" si="72"/>
        <v/>
      </c>
      <c r="S857" s="24" t="str">
        <f t="shared" si="73"/>
        <v/>
      </c>
      <c r="T857" t="str">
        <f t="shared" si="70"/>
        <v/>
      </c>
    </row>
    <row r="858" spans="1:20">
      <c r="A858" s="22" t="s">
        <v>952</v>
      </c>
      <c r="H858" s="22" t="str">
        <f t="shared" si="71"/>
        <v/>
      </c>
      <c r="J858" s="32"/>
      <c r="K858" s="24" t="str">
        <f t="shared" si="69"/>
        <v/>
      </c>
      <c r="R858" s="24" t="str">
        <f t="shared" si="72"/>
        <v/>
      </c>
      <c r="S858" s="24" t="str">
        <f t="shared" si="73"/>
        <v/>
      </c>
      <c r="T858" t="str">
        <f t="shared" si="70"/>
        <v/>
      </c>
    </row>
    <row r="859" spans="1:20">
      <c r="A859" s="22" t="s">
        <v>953</v>
      </c>
      <c r="H859" s="22" t="str">
        <f t="shared" si="71"/>
        <v/>
      </c>
      <c r="J859" s="32"/>
      <c r="K859" s="24" t="str">
        <f t="shared" si="69"/>
        <v/>
      </c>
      <c r="R859" s="24" t="str">
        <f t="shared" si="72"/>
        <v/>
      </c>
      <c r="S859" s="24" t="str">
        <f t="shared" si="73"/>
        <v/>
      </c>
      <c r="T859" t="str">
        <f t="shared" si="70"/>
        <v/>
      </c>
    </row>
    <row r="860" spans="1:20">
      <c r="A860" s="22" t="s">
        <v>954</v>
      </c>
      <c r="H860" s="22" t="str">
        <f t="shared" si="71"/>
        <v/>
      </c>
      <c r="J860" s="32"/>
      <c r="K860" s="24" t="str">
        <f t="shared" si="69"/>
        <v/>
      </c>
      <c r="R860" s="24" t="str">
        <f t="shared" si="72"/>
        <v/>
      </c>
      <c r="S860" s="24" t="str">
        <f t="shared" si="73"/>
        <v/>
      </c>
      <c r="T860" t="str">
        <f t="shared" si="70"/>
        <v/>
      </c>
    </row>
    <row r="861" spans="1:20">
      <c r="A861" s="22" t="s">
        <v>955</v>
      </c>
      <c r="H861" s="22" t="str">
        <f t="shared" si="71"/>
        <v/>
      </c>
      <c r="J861" s="32"/>
      <c r="K861" s="24" t="str">
        <f t="shared" si="69"/>
        <v/>
      </c>
      <c r="R861" s="24" t="str">
        <f t="shared" si="72"/>
        <v/>
      </c>
      <c r="S861" s="24" t="str">
        <f t="shared" si="73"/>
        <v/>
      </c>
      <c r="T861" t="str">
        <f t="shared" si="70"/>
        <v/>
      </c>
    </row>
    <row r="862" spans="1:20">
      <c r="A862" s="22" t="s">
        <v>956</v>
      </c>
      <c r="H862" s="22" t="str">
        <f t="shared" si="71"/>
        <v/>
      </c>
      <c r="J862" s="32"/>
      <c r="K862" s="24" t="str">
        <f t="shared" si="69"/>
        <v/>
      </c>
      <c r="R862" s="24" t="str">
        <f t="shared" si="72"/>
        <v/>
      </c>
      <c r="S862" s="24" t="str">
        <f t="shared" si="73"/>
        <v/>
      </c>
      <c r="T862" t="str">
        <f t="shared" si="70"/>
        <v/>
      </c>
    </row>
    <row r="863" spans="1:20">
      <c r="A863" s="22" t="s">
        <v>957</v>
      </c>
      <c r="H863" s="22" t="str">
        <f t="shared" si="71"/>
        <v/>
      </c>
      <c r="J863" s="32"/>
      <c r="K863" s="24" t="str">
        <f t="shared" si="69"/>
        <v/>
      </c>
      <c r="R863" s="24" t="str">
        <f t="shared" si="72"/>
        <v/>
      </c>
      <c r="S863" s="24" t="str">
        <f t="shared" si="73"/>
        <v/>
      </c>
      <c r="T863" t="str">
        <f t="shared" si="70"/>
        <v/>
      </c>
    </row>
    <row r="864" spans="1:20">
      <c r="A864" s="22" t="s">
        <v>958</v>
      </c>
      <c r="H864" s="22" t="str">
        <f t="shared" si="71"/>
        <v/>
      </c>
      <c r="J864" s="32"/>
      <c r="K864" s="24" t="str">
        <f t="shared" si="69"/>
        <v/>
      </c>
      <c r="R864" s="24" t="str">
        <f t="shared" si="72"/>
        <v/>
      </c>
      <c r="S864" s="24" t="str">
        <f t="shared" si="73"/>
        <v/>
      </c>
      <c r="T864" t="str">
        <f t="shared" si="70"/>
        <v/>
      </c>
    </row>
    <row r="865" spans="1:20">
      <c r="A865" s="22" t="s">
        <v>959</v>
      </c>
      <c r="H865" s="22" t="str">
        <f t="shared" si="71"/>
        <v/>
      </c>
      <c r="J865" s="32"/>
      <c r="K865" s="24" t="str">
        <f t="shared" si="69"/>
        <v/>
      </c>
      <c r="R865" s="24" t="str">
        <f t="shared" si="72"/>
        <v/>
      </c>
      <c r="S865" s="24" t="str">
        <f t="shared" si="73"/>
        <v/>
      </c>
      <c r="T865" t="str">
        <f t="shared" si="70"/>
        <v/>
      </c>
    </row>
    <row r="866" spans="1:20">
      <c r="A866" s="22" t="s">
        <v>960</v>
      </c>
      <c r="H866" s="22" t="str">
        <f t="shared" si="71"/>
        <v/>
      </c>
      <c r="J866" s="32"/>
      <c r="K866" s="24" t="str">
        <f t="shared" si="69"/>
        <v/>
      </c>
      <c r="R866" s="24" t="str">
        <f t="shared" si="72"/>
        <v/>
      </c>
      <c r="S866" s="24" t="str">
        <f t="shared" si="73"/>
        <v/>
      </c>
      <c r="T866" t="str">
        <f t="shared" si="70"/>
        <v/>
      </c>
    </row>
    <row r="867" spans="1:20">
      <c r="A867" s="22" t="s">
        <v>961</v>
      </c>
      <c r="H867" s="22" t="str">
        <f t="shared" si="71"/>
        <v/>
      </c>
      <c r="J867" s="32"/>
      <c r="K867" s="24" t="str">
        <f t="shared" si="69"/>
        <v/>
      </c>
      <c r="R867" s="24" t="str">
        <f t="shared" si="72"/>
        <v/>
      </c>
      <c r="S867" s="24" t="str">
        <f t="shared" si="73"/>
        <v/>
      </c>
      <c r="T867" t="str">
        <f t="shared" si="70"/>
        <v/>
      </c>
    </row>
    <row r="868" spans="1:20">
      <c r="A868" s="22" t="s">
        <v>962</v>
      </c>
      <c r="H868" s="22" t="str">
        <f t="shared" si="71"/>
        <v/>
      </c>
      <c r="J868" s="32"/>
      <c r="K868" s="24" t="str">
        <f t="shared" si="69"/>
        <v/>
      </c>
      <c r="R868" s="24" t="str">
        <f t="shared" si="72"/>
        <v/>
      </c>
      <c r="S868" s="24" t="str">
        <f t="shared" si="73"/>
        <v/>
      </c>
      <c r="T868" t="str">
        <f t="shared" si="70"/>
        <v/>
      </c>
    </row>
    <row r="869" spans="1:20">
      <c r="A869" s="22" t="s">
        <v>963</v>
      </c>
      <c r="H869" s="22" t="str">
        <f t="shared" si="71"/>
        <v/>
      </c>
      <c r="J869" s="32"/>
      <c r="K869" s="24" t="str">
        <f t="shared" si="69"/>
        <v/>
      </c>
      <c r="R869" s="24" t="str">
        <f t="shared" si="72"/>
        <v/>
      </c>
      <c r="S869" s="24" t="str">
        <f t="shared" si="73"/>
        <v/>
      </c>
      <c r="T869" t="str">
        <f t="shared" si="70"/>
        <v/>
      </c>
    </row>
    <row r="870" spans="1:20">
      <c r="A870" s="22" t="s">
        <v>964</v>
      </c>
      <c r="H870" s="22" t="str">
        <f t="shared" si="71"/>
        <v/>
      </c>
      <c r="J870" s="32"/>
      <c r="K870" s="24" t="str">
        <f t="shared" si="69"/>
        <v/>
      </c>
      <c r="R870" s="24" t="str">
        <f t="shared" si="72"/>
        <v/>
      </c>
      <c r="S870" s="24" t="str">
        <f t="shared" si="73"/>
        <v/>
      </c>
      <c r="T870" t="str">
        <f t="shared" si="70"/>
        <v/>
      </c>
    </row>
    <row r="871" spans="1:20">
      <c r="A871" s="22" t="s">
        <v>965</v>
      </c>
      <c r="H871" s="22" t="str">
        <f t="shared" si="71"/>
        <v/>
      </c>
      <c r="J871" s="32"/>
      <c r="K871" s="24" t="str">
        <f t="shared" si="69"/>
        <v/>
      </c>
      <c r="R871" s="24" t="str">
        <f t="shared" si="72"/>
        <v/>
      </c>
      <c r="S871" s="24" t="str">
        <f t="shared" si="73"/>
        <v/>
      </c>
      <c r="T871" t="str">
        <f t="shared" si="70"/>
        <v/>
      </c>
    </row>
    <row r="872" spans="1:20">
      <c r="A872" s="22" t="s">
        <v>966</v>
      </c>
      <c r="H872" s="22" t="str">
        <f t="shared" si="71"/>
        <v/>
      </c>
      <c r="J872" s="32"/>
      <c r="K872" s="24" t="str">
        <f t="shared" si="69"/>
        <v/>
      </c>
      <c r="R872" s="24" t="str">
        <f t="shared" si="72"/>
        <v/>
      </c>
      <c r="S872" s="24" t="str">
        <f t="shared" si="73"/>
        <v/>
      </c>
      <c r="T872" t="str">
        <f t="shared" si="70"/>
        <v/>
      </c>
    </row>
    <row r="873" spans="1:20">
      <c r="A873" s="22" t="s">
        <v>967</v>
      </c>
      <c r="H873" s="22" t="str">
        <f t="shared" si="71"/>
        <v/>
      </c>
      <c r="J873" s="32"/>
      <c r="K873" s="24" t="str">
        <f t="shared" si="69"/>
        <v/>
      </c>
      <c r="R873" s="24" t="str">
        <f t="shared" si="72"/>
        <v/>
      </c>
      <c r="S873" s="24" t="str">
        <f t="shared" si="73"/>
        <v/>
      </c>
      <c r="T873" t="str">
        <f t="shared" si="70"/>
        <v/>
      </c>
    </row>
    <row r="874" spans="1:20">
      <c r="A874" s="22" t="s">
        <v>968</v>
      </c>
      <c r="H874" s="22" t="str">
        <f t="shared" si="71"/>
        <v/>
      </c>
      <c r="J874" s="32"/>
      <c r="K874" s="24" t="str">
        <f t="shared" si="69"/>
        <v/>
      </c>
      <c r="R874" s="24" t="str">
        <f t="shared" si="72"/>
        <v/>
      </c>
      <c r="S874" s="24" t="str">
        <f t="shared" si="73"/>
        <v/>
      </c>
      <c r="T874" t="str">
        <f t="shared" si="70"/>
        <v/>
      </c>
    </row>
    <row r="875" spans="1:20">
      <c r="A875" s="22" t="s">
        <v>969</v>
      </c>
      <c r="H875" s="22" t="str">
        <f t="shared" si="71"/>
        <v/>
      </c>
      <c r="J875" s="32"/>
      <c r="K875" s="24" t="str">
        <f t="shared" si="69"/>
        <v/>
      </c>
      <c r="R875" s="24" t="str">
        <f t="shared" si="72"/>
        <v/>
      </c>
      <c r="S875" s="24" t="str">
        <f t="shared" si="73"/>
        <v/>
      </c>
      <c r="T875" t="str">
        <f t="shared" si="70"/>
        <v/>
      </c>
    </row>
    <row r="876" spans="1:20">
      <c r="A876" s="22" t="s">
        <v>970</v>
      </c>
      <c r="H876" s="22" t="str">
        <f t="shared" si="71"/>
        <v/>
      </c>
      <c r="J876" s="32"/>
      <c r="K876" s="24" t="str">
        <f t="shared" si="69"/>
        <v/>
      </c>
      <c r="R876" s="24" t="str">
        <f t="shared" si="72"/>
        <v/>
      </c>
      <c r="S876" s="24" t="str">
        <f t="shared" si="73"/>
        <v/>
      </c>
      <c r="T876" t="str">
        <f t="shared" si="70"/>
        <v/>
      </c>
    </row>
    <row r="877" spans="1:20">
      <c r="A877" s="22" t="s">
        <v>971</v>
      </c>
      <c r="H877" s="22" t="str">
        <f t="shared" si="71"/>
        <v/>
      </c>
      <c r="J877" s="32"/>
      <c r="K877" s="24" t="str">
        <f t="shared" si="69"/>
        <v/>
      </c>
      <c r="R877" s="24" t="str">
        <f t="shared" si="72"/>
        <v/>
      </c>
      <c r="S877" s="24" t="str">
        <f t="shared" si="73"/>
        <v/>
      </c>
      <c r="T877" t="str">
        <f t="shared" si="70"/>
        <v/>
      </c>
    </row>
    <row r="878" spans="1:20">
      <c r="A878" s="22" t="s">
        <v>972</v>
      </c>
      <c r="H878" s="22" t="str">
        <f t="shared" si="71"/>
        <v/>
      </c>
      <c r="J878" s="32"/>
      <c r="K878" s="24" t="str">
        <f t="shared" si="69"/>
        <v/>
      </c>
      <c r="R878" s="24" t="str">
        <f t="shared" si="72"/>
        <v/>
      </c>
      <c r="S878" s="24" t="str">
        <f t="shared" si="73"/>
        <v/>
      </c>
      <c r="T878" t="str">
        <f t="shared" si="70"/>
        <v/>
      </c>
    </row>
    <row r="879" spans="1:20">
      <c r="A879" s="22" t="s">
        <v>973</v>
      </c>
      <c r="H879" s="22" t="str">
        <f t="shared" si="71"/>
        <v/>
      </c>
      <c r="J879" s="32"/>
      <c r="K879" s="24" t="str">
        <f t="shared" si="69"/>
        <v/>
      </c>
      <c r="R879" s="24" t="str">
        <f t="shared" si="72"/>
        <v/>
      </c>
      <c r="S879" s="24" t="str">
        <f t="shared" si="73"/>
        <v/>
      </c>
      <c r="T879" t="str">
        <f t="shared" si="70"/>
        <v/>
      </c>
    </row>
    <row r="880" spans="1:20">
      <c r="A880" s="22" t="s">
        <v>974</v>
      </c>
      <c r="H880" s="22" t="str">
        <f t="shared" si="71"/>
        <v/>
      </c>
      <c r="J880" s="32"/>
      <c r="K880" s="24" t="str">
        <f t="shared" si="69"/>
        <v/>
      </c>
      <c r="R880" s="24" t="str">
        <f t="shared" si="72"/>
        <v/>
      </c>
      <c r="S880" s="24" t="str">
        <f t="shared" si="73"/>
        <v/>
      </c>
      <c r="T880" t="str">
        <f t="shared" si="70"/>
        <v/>
      </c>
    </row>
    <row r="881" spans="1:20">
      <c r="A881" s="22" t="s">
        <v>975</v>
      </c>
      <c r="H881" s="22" t="str">
        <f t="shared" si="71"/>
        <v/>
      </c>
      <c r="J881" s="32"/>
      <c r="K881" s="24" t="str">
        <f t="shared" si="69"/>
        <v/>
      </c>
      <c r="R881" s="24" t="str">
        <f t="shared" si="72"/>
        <v/>
      </c>
      <c r="S881" s="24" t="str">
        <f t="shared" si="73"/>
        <v/>
      </c>
      <c r="T881" t="str">
        <f t="shared" si="70"/>
        <v/>
      </c>
    </row>
    <row r="882" spans="1:20">
      <c r="A882" s="22" t="s">
        <v>976</v>
      </c>
      <c r="H882" s="22" t="str">
        <f t="shared" si="71"/>
        <v/>
      </c>
      <c r="J882" s="32"/>
      <c r="K882" s="24" t="str">
        <f t="shared" si="69"/>
        <v/>
      </c>
      <c r="R882" s="24" t="str">
        <f t="shared" si="72"/>
        <v/>
      </c>
      <c r="S882" s="24" t="str">
        <f t="shared" si="73"/>
        <v/>
      </c>
      <c r="T882" t="str">
        <f t="shared" si="70"/>
        <v/>
      </c>
    </row>
    <row r="883" spans="1:20">
      <c r="A883" s="22" t="s">
        <v>977</v>
      </c>
      <c r="H883" s="22" t="str">
        <f t="shared" si="71"/>
        <v/>
      </c>
      <c r="J883" s="32"/>
      <c r="K883" s="24" t="str">
        <f t="shared" si="69"/>
        <v/>
      </c>
      <c r="R883" s="24" t="str">
        <f t="shared" si="72"/>
        <v/>
      </c>
      <c r="S883" s="24" t="str">
        <f t="shared" si="73"/>
        <v/>
      </c>
      <c r="T883" t="str">
        <f t="shared" si="70"/>
        <v/>
      </c>
    </row>
    <row r="884" spans="1:20">
      <c r="A884" s="22" t="s">
        <v>978</v>
      </c>
      <c r="H884" s="22" t="str">
        <f t="shared" si="71"/>
        <v/>
      </c>
      <c r="J884" s="32"/>
      <c r="K884" s="24" t="str">
        <f t="shared" si="69"/>
        <v/>
      </c>
      <c r="R884" s="24" t="str">
        <f t="shared" si="72"/>
        <v/>
      </c>
      <c r="S884" s="24" t="str">
        <f t="shared" si="73"/>
        <v/>
      </c>
      <c r="T884" t="str">
        <f t="shared" si="70"/>
        <v/>
      </c>
    </row>
    <row r="885" spans="1:20">
      <c r="A885" s="22" t="s">
        <v>979</v>
      </c>
      <c r="H885" s="22" t="str">
        <f t="shared" si="71"/>
        <v/>
      </c>
      <c r="J885" s="32"/>
      <c r="K885" s="24" t="str">
        <f t="shared" si="69"/>
        <v/>
      </c>
      <c r="R885" s="24" t="str">
        <f t="shared" si="72"/>
        <v/>
      </c>
      <c r="S885" s="24" t="str">
        <f t="shared" si="73"/>
        <v/>
      </c>
      <c r="T885" t="str">
        <f t="shared" si="70"/>
        <v/>
      </c>
    </row>
    <row r="886" spans="1:20">
      <c r="A886" s="22" t="s">
        <v>980</v>
      </c>
      <c r="H886" s="22" t="str">
        <f t="shared" si="71"/>
        <v/>
      </c>
      <c r="J886" s="32"/>
      <c r="K886" s="24" t="str">
        <f t="shared" si="69"/>
        <v/>
      </c>
      <c r="R886" s="24" t="str">
        <f t="shared" si="72"/>
        <v/>
      </c>
      <c r="S886" s="24" t="str">
        <f t="shared" si="73"/>
        <v/>
      </c>
      <c r="T886" t="str">
        <f t="shared" si="70"/>
        <v/>
      </c>
    </row>
    <row r="887" spans="1:20">
      <c r="A887" s="22" t="s">
        <v>981</v>
      </c>
      <c r="H887" s="22" t="str">
        <f t="shared" si="71"/>
        <v/>
      </c>
      <c r="J887" s="32"/>
      <c r="K887" s="24" t="str">
        <f t="shared" si="69"/>
        <v/>
      </c>
      <c r="R887" s="24" t="str">
        <f t="shared" si="72"/>
        <v/>
      </c>
      <c r="S887" s="24" t="str">
        <f t="shared" si="73"/>
        <v/>
      </c>
      <c r="T887" t="str">
        <f t="shared" si="70"/>
        <v/>
      </c>
    </row>
    <row r="888" spans="1:20">
      <c r="A888" s="22" t="s">
        <v>982</v>
      </c>
      <c r="H888" s="22" t="str">
        <f t="shared" si="71"/>
        <v/>
      </c>
      <c r="J888" s="32"/>
      <c r="K888" s="24" t="str">
        <f t="shared" si="69"/>
        <v/>
      </c>
      <c r="R888" s="24" t="str">
        <f t="shared" si="72"/>
        <v/>
      </c>
      <c r="S888" s="24" t="str">
        <f t="shared" si="73"/>
        <v/>
      </c>
      <c r="T888" t="str">
        <f t="shared" si="70"/>
        <v/>
      </c>
    </row>
    <row r="889" spans="1:20">
      <c r="A889" s="22" t="s">
        <v>983</v>
      </c>
      <c r="H889" s="22" t="str">
        <f t="shared" si="71"/>
        <v/>
      </c>
      <c r="J889" s="32"/>
      <c r="K889" s="24" t="str">
        <f t="shared" si="69"/>
        <v/>
      </c>
      <c r="R889" s="24" t="str">
        <f t="shared" si="72"/>
        <v/>
      </c>
      <c r="S889" s="24" t="str">
        <f t="shared" si="73"/>
        <v/>
      </c>
      <c r="T889" t="str">
        <f t="shared" si="70"/>
        <v/>
      </c>
    </row>
    <row r="890" spans="1:20">
      <c r="A890" s="22" t="s">
        <v>984</v>
      </c>
      <c r="H890" s="22" t="str">
        <f t="shared" si="71"/>
        <v/>
      </c>
      <c r="J890" s="32"/>
      <c r="K890" s="24" t="str">
        <f t="shared" si="69"/>
        <v/>
      </c>
      <c r="R890" s="24" t="str">
        <f t="shared" si="72"/>
        <v/>
      </c>
      <c r="S890" s="24" t="str">
        <f t="shared" si="73"/>
        <v/>
      </c>
      <c r="T890" t="str">
        <f t="shared" si="70"/>
        <v/>
      </c>
    </row>
    <row r="891" spans="1:20">
      <c r="A891" s="22" t="s">
        <v>985</v>
      </c>
      <c r="H891" s="22" t="str">
        <f t="shared" si="71"/>
        <v/>
      </c>
      <c r="J891" s="32"/>
      <c r="K891" s="24" t="str">
        <f t="shared" si="69"/>
        <v/>
      </c>
      <c r="R891" s="24" t="str">
        <f t="shared" si="72"/>
        <v/>
      </c>
      <c r="S891" s="24" t="str">
        <f t="shared" si="73"/>
        <v/>
      </c>
      <c r="T891" t="str">
        <f t="shared" si="70"/>
        <v/>
      </c>
    </row>
    <row r="892" spans="1:20">
      <c r="A892" s="22" t="s">
        <v>986</v>
      </c>
      <c r="H892" s="22" t="str">
        <f t="shared" si="71"/>
        <v/>
      </c>
      <c r="J892" s="32"/>
      <c r="K892" s="24" t="str">
        <f t="shared" si="69"/>
        <v/>
      </c>
      <c r="R892" s="24" t="str">
        <f t="shared" si="72"/>
        <v/>
      </c>
      <c r="S892" s="24" t="str">
        <f t="shared" si="73"/>
        <v/>
      </c>
      <c r="T892" t="str">
        <f t="shared" si="70"/>
        <v/>
      </c>
    </row>
    <row r="893" spans="1:20">
      <c r="A893" s="22" t="s">
        <v>987</v>
      </c>
      <c r="H893" s="22" t="str">
        <f t="shared" si="71"/>
        <v/>
      </c>
      <c r="J893" s="32"/>
      <c r="K893" s="24" t="str">
        <f t="shared" si="69"/>
        <v/>
      </c>
      <c r="R893" s="24" t="str">
        <f t="shared" si="72"/>
        <v/>
      </c>
      <c r="S893" s="24" t="str">
        <f t="shared" si="73"/>
        <v/>
      </c>
      <c r="T893" t="str">
        <f t="shared" si="70"/>
        <v/>
      </c>
    </row>
    <row r="894" spans="1:20">
      <c r="A894" s="22" t="s">
        <v>988</v>
      </c>
      <c r="H894" s="22" t="str">
        <f t="shared" si="71"/>
        <v/>
      </c>
      <c r="J894" s="32"/>
      <c r="K894" s="24" t="str">
        <f t="shared" si="69"/>
        <v/>
      </c>
      <c r="R894" s="24" t="str">
        <f t="shared" si="72"/>
        <v/>
      </c>
      <c r="S894" s="24" t="str">
        <f t="shared" si="73"/>
        <v/>
      </c>
      <c r="T894" t="str">
        <f t="shared" si="70"/>
        <v/>
      </c>
    </row>
    <row r="895" spans="1:20">
      <c r="A895" s="22" t="s">
        <v>989</v>
      </c>
      <c r="H895" s="22" t="str">
        <f t="shared" si="71"/>
        <v/>
      </c>
      <c r="J895" s="32"/>
      <c r="K895" s="24" t="str">
        <f t="shared" si="69"/>
        <v/>
      </c>
      <c r="R895" s="24" t="str">
        <f t="shared" si="72"/>
        <v/>
      </c>
      <c r="S895" s="24" t="str">
        <f t="shared" si="73"/>
        <v/>
      </c>
      <c r="T895" t="str">
        <f t="shared" si="70"/>
        <v/>
      </c>
    </row>
    <row r="896" spans="1:20">
      <c r="A896" s="22" t="s">
        <v>990</v>
      </c>
      <c r="H896" s="22" t="str">
        <f t="shared" si="71"/>
        <v/>
      </c>
      <c r="J896" s="32"/>
      <c r="K896" s="24" t="str">
        <f t="shared" si="69"/>
        <v/>
      </c>
      <c r="R896" s="24" t="str">
        <f t="shared" si="72"/>
        <v/>
      </c>
      <c r="S896" s="24" t="str">
        <f t="shared" si="73"/>
        <v/>
      </c>
      <c r="T896" t="str">
        <f t="shared" si="70"/>
        <v/>
      </c>
    </row>
    <row r="897" spans="1:20">
      <c r="A897" s="22" t="s">
        <v>991</v>
      </c>
      <c r="H897" s="22" t="str">
        <f t="shared" si="71"/>
        <v/>
      </c>
      <c r="J897" s="32"/>
      <c r="K897" s="24" t="str">
        <f t="shared" si="69"/>
        <v/>
      </c>
      <c r="R897" s="24" t="str">
        <f t="shared" si="72"/>
        <v/>
      </c>
      <c r="S897" s="24" t="str">
        <f t="shared" si="73"/>
        <v/>
      </c>
      <c r="T897" t="str">
        <f t="shared" si="70"/>
        <v/>
      </c>
    </row>
    <row r="898" spans="1:20">
      <c r="A898" s="22" t="s">
        <v>992</v>
      </c>
      <c r="H898" s="22" t="str">
        <f t="shared" si="71"/>
        <v/>
      </c>
      <c r="J898" s="32"/>
      <c r="K898" s="24" t="str">
        <f t="shared" si="69"/>
        <v/>
      </c>
      <c r="R898" s="24" t="str">
        <f t="shared" si="72"/>
        <v/>
      </c>
      <c r="S898" s="24" t="str">
        <f t="shared" si="73"/>
        <v/>
      </c>
      <c r="T898" t="str">
        <f t="shared" si="70"/>
        <v/>
      </c>
    </row>
    <row r="899" spans="1:20">
      <c r="A899" s="22" t="s">
        <v>993</v>
      </c>
      <c r="H899" s="22" t="str">
        <f t="shared" si="71"/>
        <v/>
      </c>
      <c r="J899" s="32"/>
      <c r="K899" s="24" t="str">
        <f t="shared" si="69"/>
        <v/>
      </c>
      <c r="R899" s="24" t="str">
        <f t="shared" si="72"/>
        <v/>
      </c>
      <c r="S899" s="24" t="str">
        <f t="shared" si="73"/>
        <v/>
      </c>
      <c r="T899" t="str">
        <f t="shared" si="70"/>
        <v/>
      </c>
    </row>
    <row r="900" spans="1:20">
      <c r="A900" s="22" t="s">
        <v>994</v>
      </c>
      <c r="H900" s="22" t="str">
        <f t="shared" si="71"/>
        <v/>
      </c>
      <c r="J900" s="32"/>
      <c r="K900" s="24" t="str">
        <f t="shared" si="69"/>
        <v/>
      </c>
      <c r="R900" s="24" t="str">
        <f t="shared" si="72"/>
        <v/>
      </c>
      <c r="S900" s="24" t="str">
        <f t="shared" si="73"/>
        <v/>
      </c>
      <c r="T900" t="str">
        <f t="shared" si="70"/>
        <v/>
      </c>
    </row>
    <row r="901" spans="1:20">
      <c r="A901" s="22" t="s">
        <v>995</v>
      </c>
      <c r="H901" s="22" t="str">
        <f t="shared" si="71"/>
        <v/>
      </c>
      <c r="J901" s="32"/>
      <c r="K901" s="24" t="str">
        <f t="shared" si="69"/>
        <v/>
      </c>
      <c r="R901" s="24" t="str">
        <f t="shared" si="72"/>
        <v/>
      </c>
      <c r="S901" s="24" t="str">
        <f t="shared" si="73"/>
        <v/>
      </c>
      <c r="T901" t="str">
        <f t="shared" si="70"/>
        <v/>
      </c>
    </row>
    <row r="902" spans="1:20">
      <c r="A902" s="22" t="s">
        <v>996</v>
      </c>
      <c r="H902" s="22" t="str">
        <f t="shared" si="71"/>
        <v/>
      </c>
      <c r="J902" s="32"/>
      <c r="K902" s="24" t="str">
        <f t="shared" si="69"/>
        <v/>
      </c>
      <c r="R902" s="24" t="str">
        <f t="shared" si="72"/>
        <v/>
      </c>
      <c r="S902" s="24" t="str">
        <f t="shared" si="73"/>
        <v/>
      </c>
      <c r="T902" t="str">
        <f t="shared" si="70"/>
        <v/>
      </c>
    </row>
    <row r="903" spans="1:20">
      <c r="A903" s="22" t="s">
        <v>997</v>
      </c>
      <c r="H903" s="22" t="str">
        <f t="shared" si="71"/>
        <v/>
      </c>
      <c r="J903" s="32"/>
      <c r="K903" s="24" t="str">
        <f t="shared" si="69"/>
        <v/>
      </c>
      <c r="R903" s="24" t="str">
        <f t="shared" si="72"/>
        <v/>
      </c>
      <c r="S903" s="24" t="str">
        <f t="shared" si="73"/>
        <v/>
      </c>
      <c r="T903" t="str">
        <f t="shared" si="70"/>
        <v/>
      </c>
    </row>
    <row r="904" spans="1:20">
      <c r="A904" s="22" t="s">
        <v>998</v>
      </c>
      <c r="H904" s="22" t="str">
        <f t="shared" si="71"/>
        <v/>
      </c>
      <c r="J904" s="32"/>
      <c r="K904" s="24" t="str">
        <f t="shared" si="69"/>
        <v/>
      </c>
      <c r="R904" s="24" t="str">
        <f t="shared" si="72"/>
        <v/>
      </c>
      <c r="S904" s="24" t="str">
        <f t="shared" si="73"/>
        <v/>
      </c>
      <c r="T904" t="str">
        <f t="shared" si="70"/>
        <v/>
      </c>
    </row>
    <row r="905" spans="1:20">
      <c r="A905" s="22" t="s">
        <v>999</v>
      </c>
      <c r="H905" s="22" t="str">
        <f t="shared" si="71"/>
        <v/>
      </c>
      <c r="J905" s="32"/>
      <c r="K905" s="24" t="str">
        <f t="shared" ref="K905:K968" si="74">IF(I905="","",IF(I905="ENTRADA",ABS(J905),-ABS(J905)))</f>
        <v/>
      </c>
      <c r="R905" s="24" t="str">
        <f t="shared" si="72"/>
        <v/>
      </c>
      <c r="S905" s="24" t="str">
        <f t="shared" si="73"/>
        <v/>
      </c>
      <c r="T905" t="str">
        <f t="shared" si="70"/>
        <v/>
      </c>
    </row>
    <row r="906" spans="1:20">
      <c r="A906" s="22" t="s">
        <v>1000</v>
      </c>
      <c r="H906" s="22" t="str">
        <f t="shared" si="71"/>
        <v/>
      </c>
      <c r="J906" s="32"/>
      <c r="K906" s="24" t="str">
        <f t="shared" si="74"/>
        <v/>
      </c>
      <c r="R906" s="24" t="str">
        <f t="shared" si="72"/>
        <v/>
      </c>
      <c r="S906" s="24" t="str">
        <f t="shared" si="73"/>
        <v/>
      </c>
      <c r="T906" t="str">
        <f t="shared" si="70"/>
        <v/>
      </c>
    </row>
    <row r="907" spans="1:20">
      <c r="A907" s="22" t="s">
        <v>1001</v>
      </c>
      <c r="H907" s="22" t="str">
        <f t="shared" si="71"/>
        <v/>
      </c>
      <c r="J907" s="32"/>
      <c r="K907" s="24" t="str">
        <f t="shared" si="74"/>
        <v/>
      </c>
      <c r="R907" s="24" t="str">
        <f t="shared" si="72"/>
        <v/>
      </c>
      <c r="S907" s="24" t="str">
        <f t="shared" si="73"/>
        <v/>
      </c>
      <c r="T907" t="str">
        <f t="shared" si="70"/>
        <v/>
      </c>
    </row>
    <row r="908" spans="1:20">
      <c r="A908" s="22" t="s">
        <v>1002</v>
      </c>
      <c r="H908" s="22" t="str">
        <f t="shared" si="71"/>
        <v/>
      </c>
      <c r="J908" s="32"/>
      <c r="K908" s="24" t="str">
        <f t="shared" si="74"/>
        <v/>
      </c>
      <c r="R908" s="24" t="str">
        <f t="shared" si="72"/>
        <v/>
      </c>
      <c r="S908" s="24" t="str">
        <f t="shared" si="73"/>
        <v/>
      </c>
      <c r="T908" t="str">
        <f t="shared" si="70"/>
        <v/>
      </c>
    </row>
    <row r="909" spans="1:20">
      <c r="A909" s="22" t="s">
        <v>1003</v>
      </c>
      <c r="H909" s="22" t="str">
        <f t="shared" si="71"/>
        <v/>
      </c>
      <c r="J909" s="32"/>
      <c r="K909" s="24" t="str">
        <f t="shared" si="74"/>
        <v/>
      </c>
      <c r="R909" s="24" t="str">
        <f t="shared" si="72"/>
        <v/>
      </c>
      <c r="S909" s="24" t="str">
        <f t="shared" si="73"/>
        <v/>
      </c>
      <c r="T909" t="str">
        <f t="shared" si="70"/>
        <v/>
      </c>
    </row>
    <row r="910" spans="1:20">
      <c r="A910" s="22" t="s">
        <v>1004</v>
      </c>
      <c r="H910" s="22" t="str">
        <f t="shared" si="71"/>
        <v/>
      </c>
      <c r="J910" s="32"/>
      <c r="K910" s="24" t="str">
        <f t="shared" si="74"/>
        <v/>
      </c>
      <c r="R910" s="24" t="str">
        <f t="shared" si="72"/>
        <v/>
      </c>
      <c r="S910" s="24" t="str">
        <f t="shared" si="73"/>
        <v/>
      </c>
      <c r="T910" t="str">
        <f t="shared" si="70"/>
        <v/>
      </c>
    </row>
    <row r="911" spans="1:20">
      <c r="A911" s="22" t="s">
        <v>1005</v>
      </c>
      <c r="H911" s="22" t="str">
        <f t="shared" si="71"/>
        <v/>
      </c>
      <c r="J911" s="32"/>
      <c r="K911" s="24" t="str">
        <f t="shared" si="74"/>
        <v/>
      </c>
      <c r="R911" s="24" t="str">
        <f t="shared" si="72"/>
        <v/>
      </c>
      <c r="S911" s="24" t="str">
        <f t="shared" si="73"/>
        <v/>
      </c>
      <c r="T911" t="str">
        <f t="shared" ref="T911:T974" si="75">IF(OR(C911="",I911&lt;&gt;"ENTRADA"),"",TEXT(B911,"AAMMDD")&amp;"-"&amp;TEXT(VALUE(SUBSTITUTE(A911,"MOV-","")),"000"))</f>
        <v/>
      </c>
    </row>
    <row r="912" spans="1:20">
      <c r="A912" s="22" t="s">
        <v>1006</v>
      </c>
      <c r="H912" s="22" t="str">
        <f t="shared" ref="H912:H975" si="76">+T912</f>
        <v/>
      </c>
      <c r="J912" s="32"/>
      <c r="K912" s="24" t="str">
        <f t="shared" si="74"/>
        <v/>
      </c>
      <c r="R912" s="24" t="str">
        <f t="shared" ref="R912:R975" si="77">IF(H912="","",H912&amp;I912)</f>
        <v/>
      </c>
      <c r="S912" s="24" t="str">
        <f t="shared" ref="S912:S975" si="78">IF(C912="","",C912&amp;I912)</f>
        <v/>
      </c>
      <c r="T912" t="str">
        <f t="shared" si="75"/>
        <v/>
      </c>
    </row>
    <row r="913" spans="1:20">
      <c r="A913" s="22" t="s">
        <v>1007</v>
      </c>
      <c r="H913" s="22" t="str">
        <f t="shared" si="76"/>
        <v/>
      </c>
      <c r="J913" s="32"/>
      <c r="K913" s="24" t="str">
        <f t="shared" si="74"/>
        <v/>
      </c>
      <c r="R913" s="24" t="str">
        <f t="shared" si="77"/>
        <v/>
      </c>
      <c r="S913" s="24" t="str">
        <f t="shared" si="78"/>
        <v/>
      </c>
      <c r="T913" t="str">
        <f t="shared" si="75"/>
        <v/>
      </c>
    </row>
    <row r="914" spans="1:20">
      <c r="A914" s="22" t="s">
        <v>1008</v>
      </c>
      <c r="H914" s="22" t="str">
        <f t="shared" si="76"/>
        <v/>
      </c>
      <c r="J914" s="32"/>
      <c r="K914" s="24" t="str">
        <f t="shared" si="74"/>
        <v/>
      </c>
      <c r="R914" s="24" t="str">
        <f t="shared" si="77"/>
        <v/>
      </c>
      <c r="S914" s="24" t="str">
        <f t="shared" si="78"/>
        <v/>
      </c>
      <c r="T914" t="str">
        <f t="shared" si="75"/>
        <v/>
      </c>
    </row>
    <row r="915" spans="1:20">
      <c r="A915" s="22" t="s">
        <v>1009</v>
      </c>
      <c r="H915" s="22" t="str">
        <f t="shared" si="76"/>
        <v/>
      </c>
      <c r="J915" s="32"/>
      <c r="K915" s="24" t="str">
        <f t="shared" si="74"/>
        <v/>
      </c>
      <c r="R915" s="24" t="str">
        <f t="shared" si="77"/>
        <v/>
      </c>
      <c r="S915" s="24" t="str">
        <f t="shared" si="78"/>
        <v/>
      </c>
      <c r="T915" t="str">
        <f t="shared" si="75"/>
        <v/>
      </c>
    </row>
    <row r="916" spans="1:20">
      <c r="A916" s="22" t="s">
        <v>1010</v>
      </c>
      <c r="H916" s="22" t="str">
        <f t="shared" si="76"/>
        <v/>
      </c>
      <c r="J916" s="32"/>
      <c r="K916" s="24" t="str">
        <f t="shared" si="74"/>
        <v/>
      </c>
      <c r="R916" s="24" t="str">
        <f t="shared" si="77"/>
        <v/>
      </c>
      <c r="S916" s="24" t="str">
        <f t="shared" si="78"/>
        <v/>
      </c>
      <c r="T916" t="str">
        <f t="shared" si="75"/>
        <v/>
      </c>
    </row>
    <row r="917" spans="1:20">
      <c r="A917" s="22" t="s">
        <v>1011</v>
      </c>
      <c r="H917" s="22" t="str">
        <f t="shared" si="76"/>
        <v/>
      </c>
      <c r="J917" s="32"/>
      <c r="K917" s="24" t="str">
        <f t="shared" si="74"/>
        <v/>
      </c>
      <c r="R917" s="24" t="str">
        <f t="shared" si="77"/>
        <v/>
      </c>
      <c r="S917" s="24" t="str">
        <f t="shared" si="78"/>
        <v/>
      </c>
      <c r="T917" t="str">
        <f t="shared" si="75"/>
        <v/>
      </c>
    </row>
    <row r="918" spans="1:20">
      <c r="A918" s="22" t="s">
        <v>1012</v>
      </c>
      <c r="H918" s="22" t="str">
        <f t="shared" si="76"/>
        <v/>
      </c>
      <c r="J918" s="32"/>
      <c r="K918" s="24" t="str">
        <f t="shared" si="74"/>
        <v/>
      </c>
      <c r="R918" s="24" t="str">
        <f t="shared" si="77"/>
        <v/>
      </c>
      <c r="S918" s="24" t="str">
        <f t="shared" si="78"/>
        <v/>
      </c>
      <c r="T918" t="str">
        <f t="shared" si="75"/>
        <v/>
      </c>
    </row>
    <row r="919" spans="1:20">
      <c r="A919" s="22" t="s">
        <v>1013</v>
      </c>
      <c r="H919" s="22" t="str">
        <f t="shared" si="76"/>
        <v/>
      </c>
      <c r="J919" s="32"/>
      <c r="K919" s="24" t="str">
        <f t="shared" si="74"/>
        <v/>
      </c>
      <c r="R919" s="24" t="str">
        <f t="shared" si="77"/>
        <v/>
      </c>
      <c r="S919" s="24" t="str">
        <f t="shared" si="78"/>
        <v/>
      </c>
      <c r="T919" t="str">
        <f t="shared" si="75"/>
        <v/>
      </c>
    </row>
    <row r="920" spans="1:20">
      <c r="A920" s="22" t="s">
        <v>1014</v>
      </c>
      <c r="H920" s="22" t="str">
        <f t="shared" si="76"/>
        <v/>
      </c>
      <c r="J920" s="32"/>
      <c r="K920" s="24" t="str">
        <f t="shared" si="74"/>
        <v/>
      </c>
      <c r="R920" s="24" t="str">
        <f t="shared" si="77"/>
        <v/>
      </c>
      <c r="S920" s="24" t="str">
        <f t="shared" si="78"/>
        <v/>
      </c>
      <c r="T920" t="str">
        <f t="shared" si="75"/>
        <v/>
      </c>
    </row>
    <row r="921" spans="1:20">
      <c r="A921" s="22" t="s">
        <v>1015</v>
      </c>
      <c r="H921" s="22" t="str">
        <f t="shared" si="76"/>
        <v/>
      </c>
      <c r="J921" s="32"/>
      <c r="K921" s="24" t="str">
        <f t="shared" si="74"/>
        <v/>
      </c>
      <c r="R921" s="24" t="str">
        <f t="shared" si="77"/>
        <v/>
      </c>
      <c r="S921" s="24" t="str">
        <f t="shared" si="78"/>
        <v/>
      </c>
      <c r="T921" t="str">
        <f t="shared" si="75"/>
        <v/>
      </c>
    </row>
    <row r="922" spans="1:20">
      <c r="A922" s="22" t="s">
        <v>1016</v>
      </c>
      <c r="H922" s="22" t="str">
        <f t="shared" si="76"/>
        <v/>
      </c>
      <c r="J922" s="32"/>
      <c r="K922" s="24" t="str">
        <f t="shared" si="74"/>
        <v/>
      </c>
      <c r="R922" s="24" t="str">
        <f t="shared" si="77"/>
        <v/>
      </c>
      <c r="S922" s="24" t="str">
        <f t="shared" si="78"/>
        <v/>
      </c>
      <c r="T922" t="str">
        <f t="shared" si="75"/>
        <v/>
      </c>
    </row>
    <row r="923" spans="1:20">
      <c r="A923" s="22" t="s">
        <v>1017</v>
      </c>
      <c r="H923" s="22" t="str">
        <f t="shared" si="76"/>
        <v/>
      </c>
      <c r="J923" s="32"/>
      <c r="K923" s="24" t="str">
        <f t="shared" si="74"/>
        <v/>
      </c>
      <c r="R923" s="24" t="str">
        <f t="shared" si="77"/>
        <v/>
      </c>
      <c r="S923" s="24" t="str">
        <f t="shared" si="78"/>
        <v/>
      </c>
      <c r="T923" t="str">
        <f t="shared" si="75"/>
        <v/>
      </c>
    </row>
    <row r="924" spans="1:20">
      <c r="A924" s="22" t="s">
        <v>1018</v>
      </c>
      <c r="H924" s="22" t="str">
        <f t="shared" si="76"/>
        <v/>
      </c>
      <c r="J924" s="32"/>
      <c r="K924" s="24" t="str">
        <f t="shared" si="74"/>
        <v/>
      </c>
      <c r="R924" s="24" t="str">
        <f t="shared" si="77"/>
        <v/>
      </c>
      <c r="S924" s="24" t="str">
        <f t="shared" si="78"/>
        <v/>
      </c>
      <c r="T924" t="str">
        <f t="shared" si="75"/>
        <v/>
      </c>
    </row>
    <row r="925" spans="1:20">
      <c r="A925" s="22" t="s">
        <v>1019</v>
      </c>
      <c r="H925" s="22" t="str">
        <f t="shared" si="76"/>
        <v/>
      </c>
      <c r="J925" s="32"/>
      <c r="K925" s="24" t="str">
        <f t="shared" si="74"/>
        <v/>
      </c>
      <c r="R925" s="24" t="str">
        <f t="shared" si="77"/>
        <v/>
      </c>
      <c r="S925" s="24" t="str">
        <f t="shared" si="78"/>
        <v/>
      </c>
      <c r="T925" t="str">
        <f t="shared" si="75"/>
        <v/>
      </c>
    </row>
    <row r="926" spans="1:20">
      <c r="A926" s="22" t="s">
        <v>1020</v>
      </c>
      <c r="H926" s="22" t="str">
        <f t="shared" si="76"/>
        <v/>
      </c>
      <c r="J926" s="32"/>
      <c r="K926" s="24" t="str">
        <f t="shared" si="74"/>
        <v/>
      </c>
      <c r="R926" s="24" t="str">
        <f t="shared" si="77"/>
        <v/>
      </c>
      <c r="S926" s="24" t="str">
        <f t="shared" si="78"/>
        <v/>
      </c>
      <c r="T926" t="str">
        <f t="shared" si="75"/>
        <v/>
      </c>
    </row>
    <row r="927" spans="1:20">
      <c r="A927" s="22" t="s">
        <v>1021</v>
      </c>
      <c r="H927" s="22" t="str">
        <f t="shared" si="76"/>
        <v/>
      </c>
      <c r="J927" s="32"/>
      <c r="K927" s="24" t="str">
        <f t="shared" si="74"/>
        <v/>
      </c>
      <c r="R927" s="24" t="str">
        <f t="shared" si="77"/>
        <v/>
      </c>
      <c r="S927" s="24" t="str">
        <f t="shared" si="78"/>
        <v/>
      </c>
      <c r="T927" t="str">
        <f t="shared" si="75"/>
        <v/>
      </c>
    </row>
    <row r="928" spans="1:20">
      <c r="A928" s="22" t="s">
        <v>1022</v>
      </c>
      <c r="H928" s="22" t="str">
        <f t="shared" si="76"/>
        <v/>
      </c>
      <c r="J928" s="32"/>
      <c r="K928" s="24" t="str">
        <f t="shared" si="74"/>
        <v/>
      </c>
      <c r="R928" s="24" t="str">
        <f t="shared" si="77"/>
        <v/>
      </c>
      <c r="S928" s="24" t="str">
        <f t="shared" si="78"/>
        <v/>
      </c>
      <c r="T928" t="str">
        <f t="shared" si="75"/>
        <v/>
      </c>
    </row>
    <row r="929" spans="1:20">
      <c r="A929" s="22" t="s">
        <v>1023</v>
      </c>
      <c r="H929" s="22" t="str">
        <f t="shared" si="76"/>
        <v/>
      </c>
      <c r="J929" s="32"/>
      <c r="K929" s="24" t="str">
        <f t="shared" si="74"/>
        <v/>
      </c>
      <c r="R929" s="24" t="str">
        <f t="shared" si="77"/>
        <v/>
      </c>
      <c r="S929" s="24" t="str">
        <f t="shared" si="78"/>
        <v/>
      </c>
      <c r="T929" t="str">
        <f t="shared" si="75"/>
        <v/>
      </c>
    </row>
    <row r="930" spans="1:20">
      <c r="A930" s="22" t="s">
        <v>1024</v>
      </c>
      <c r="H930" s="22" t="str">
        <f t="shared" si="76"/>
        <v/>
      </c>
      <c r="J930" s="32"/>
      <c r="K930" s="24" t="str">
        <f t="shared" si="74"/>
        <v/>
      </c>
      <c r="R930" s="24" t="str">
        <f t="shared" si="77"/>
        <v/>
      </c>
      <c r="S930" s="24" t="str">
        <f t="shared" si="78"/>
        <v/>
      </c>
      <c r="T930" t="str">
        <f t="shared" si="75"/>
        <v/>
      </c>
    </row>
    <row r="931" spans="1:20">
      <c r="A931" s="22" t="s">
        <v>1025</v>
      </c>
      <c r="H931" s="22" t="str">
        <f t="shared" si="76"/>
        <v/>
      </c>
      <c r="J931" s="32"/>
      <c r="K931" s="24" t="str">
        <f t="shared" si="74"/>
        <v/>
      </c>
      <c r="R931" s="24" t="str">
        <f t="shared" si="77"/>
        <v/>
      </c>
      <c r="S931" s="24" t="str">
        <f t="shared" si="78"/>
        <v/>
      </c>
      <c r="T931" t="str">
        <f t="shared" si="75"/>
        <v/>
      </c>
    </row>
    <row r="932" spans="1:20">
      <c r="A932" s="22" t="s">
        <v>1026</v>
      </c>
      <c r="H932" s="22" t="str">
        <f t="shared" si="76"/>
        <v/>
      </c>
      <c r="J932" s="32"/>
      <c r="K932" s="24" t="str">
        <f t="shared" si="74"/>
        <v/>
      </c>
      <c r="R932" s="24" t="str">
        <f t="shared" si="77"/>
        <v/>
      </c>
      <c r="S932" s="24" t="str">
        <f t="shared" si="78"/>
        <v/>
      </c>
      <c r="T932" t="str">
        <f t="shared" si="75"/>
        <v/>
      </c>
    </row>
    <row r="933" spans="1:20">
      <c r="A933" s="22" t="s">
        <v>1027</v>
      </c>
      <c r="H933" s="22" t="str">
        <f t="shared" si="76"/>
        <v/>
      </c>
      <c r="J933" s="32"/>
      <c r="K933" s="24" t="str">
        <f t="shared" si="74"/>
        <v/>
      </c>
      <c r="R933" s="24" t="str">
        <f t="shared" si="77"/>
        <v/>
      </c>
      <c r="S933" s="24" t="str">
        <f t="shared" si="78"/>
        <v/>
      </c>
      <c r="T933" t="str">
        <f t="shared" si="75"/>
        <v/>
      </c>
    </row>
    <row r="934" spans="1:20">
      <c r="A934" s="22" t="s">
        <v>1028</v>
      </c>
      <c r="H934" s="22" t="str">
        <f t="shared" si="76"/>
        <v/>
      </c>
      <c r="J934" s="32"/>
      <c r="K934" s="24" t="str">
        <f t="shared" si="74"/>
        <v/>
      </c>
      <c r="R934" s="24" t="str">
        <f t="shared" si="77"/>
        <v/>
      </c>
      <c r="S934" s="24" t="str">
        <f t="shared" si="78"/>
        <v/>
      </c>
      <c r="T934" t="str">
        <f t="shared" si="75"/>
        <v/>
      </c>
    </row>
    <row r="935" spans="1:20">
      <c r="A935" s="22" t="s">
        <v>1029</v>
      </c>
      <c r="H935" s="22" t="str">
        <f t="shared" si="76"/>
        <v/>
      </c>
      <c r="J935" s="32"/>
      <c r="K935" s="24" t="str">
        <f t="shared" si="74"/>
        <v/>
      </c>
      <c r="R935" s="24" t="str">
        <f t="shared" si="77"/>
        <v/>
      </c>
      <c r="S935" s="24" t="str">
        <f t="shared" si="78"/>
        <v/>
      </c>
      <c r="T935" t="str">
        <f t="shared" si="75"/>
        <v/>
      </c>
    </row>
    <row r="936" spans="1:20">
      <c r="A936" s="22" t="s">
        <v>1030</v>
      </c>
      <c r="H936" s="22" t="str">
        <f t="shared" si="76"/>
        <v/>
      </c>
      <c r="J936" s="32"/>
      <c r="K936" s="24" t="str">
        <f t="shared" si="74"/>
        <v/>
      </c>
      <c r="R936" s="24" t="str">
        <f t="shared" si="77"/>
        <v/>
      </c>
      <c r="S936" s="24" t="str">
        <f t="shared" si="78"/>
        <v/>
      </c>
      <c r="T936" t="str">
        <f t="shared" si="75"/>
        <v/>
      </c>
    </row>
    <row r="937" spans="1:20">
      <c r="A937" s="22" t="s">
        <v>1031</v>
      </c>
      <c r="H937" s="22" t="str">
        <f t="shared" si="76"/>
        <v/>
      </c>
      <c r="J937" s="32"/>
      <c r="K937" s="24" t="str">
        <f t="shared" si="74"/>
        <v/>
      </c>
      <c r="R937" s="24" t="str">
        <f t="shared" si="77"/>
        <v/>
      </c>
      <c r="S937" s="24" t="str">
        <f t="shared" si="78"/>
        <v/>
      </c>
      <c r="T937" t="str">
        <f t="shared" si="75"/>
        <v/>
      </c>
    </row>
    <row r="938" spans="1:20">
      <c r="A938" s="22" t="s">
        <v>1032</v>
      </c>
      <c r="H938" s="22" t="str">
        <f t="shared" si="76"/>
        <v/>
      </c>
      <c r="J938" s="32"/>
      <c r="K938" s="24" t="str">
        <f t="shared" si="74"/>
        <v/>
      </c>
      <c r="R938" s="24" t="str">
        <f t="shared" si="77"/>
        <v/>
      </c>
      <c r="S938" s="24" t="str">
        <f t="shared" si="78"/>
        <v/>
      </c>
      <c r="T938" t="str">
        <f t="shared" si="75"/>
        <v/>
      </c>
    </row>
    <row r="939" spans="1:20">
      <c r="A939" s="22" t="s">
        <v>1033</v>
      </c>
      <c r="H939" s="22" t="str">
        <f t="shared" si="76"/>
        <v/>
      </c>
      <c r="J939" s="32"/>
      <c r="K939" s="24" t="str">
        <f t="shared" si="74"/>
        <v/>
      </c>
      <c r="R939" s="24" t="str">
        <f t="shared" si="77"/>
        <v/>
      </c>
      <c r="S939" s="24" t="str">
        <f t="shared" si="78"/>
        <v/>
      </c>
      <c r="T939" t="str">
        <f t="shared" si="75"/>
        <v/>
      </c>
    </row>
    <row r="940" spans="1:20">
      <c r="A940" s="22" t="s">
        <v>1034</v>
      </c>
      <c r="H940" s="22" t="str">
        <f t="shared" si="76"/>
        <v/>
      </c>
      <c r="J940" s="32"/>
      <c r="K940" s="24" t="str">
        <f t="shared" si="74"/>
        <v/>
      </c>
      <c r="R940" s="24" t="str">
        <f t="shared" si="77"/>
        <v/>
      </c>
      <c r="S940" s="24" t="str">
        <f t="shared" si="78"/>
        <v/>
      </c>
      <c r="T940" t="str">
        <f t="shared" si="75"/>
        <v/>
      </c>
    </row>
    <row r="941" spans="1:20">
      <c r="A941" s="22" t="s">
        <v>1035</v>
      </c>
      <c r="H941" s="22" t="str">
        <f t="shared" si="76"/>
        <v/>
      </c>
      <c r="J941" s="32"/>
      <c r="K941" s="24" t="str">
        <f t="shared" si="74"/>
        <v/>
      </c>
      <c r="R941" s="24" t="str">
        <f t="shared" si="77"/>
        <v/>
      </c>
      <c r="S941" s="24" t="str">
        <f t="shared" si="78"/>
        <v/>
      </c>
      <c r="T941" t="str">
        <f t="shared" si="75"/>
        <v/>
      </c>
    </row>
    <row r="942" spans="1:20">
      <c r="A942" s="22" t="s">
        <v>1036</v>
      </c>
      <c r="H942" s="22" t="str">
        <f t="shared" si="76"/>
        <v/>
      </c>
      <c r="J942" s="32"/>
      <c r="K942" s="24" t="str">
        <f t="shared" si="74"/>
        <v/>
      </c>
      <c r="R942" s="24" t="str">
        <f t="shared" si="77"/>
        <v/>
      </c>
      <c r="S942" s="24" t="str">
        <f t="shared" si="78"/>
        <v/>
      </c>
      <c r="T942" t="str">
        <f t="shared" si="75"/>
        <v/>
      </c>
    </row>
    <row r="943" spans="1:20">
      <c r="A943" s="22" t="s">
        <v>1037</v>
      </c>
      <c r="H943" s="22" t="str">
        <f t="shared" si="76"/>
        <v/>
      </c>
      <c r="J943" s="32"/>
      <c r="K943" s="24" t="str">
        <f t="shared" si="74"/>
        <v/>
      </c>
      <c r="R943" s="24" t="str">
        <f t="shared" si="77"/>
        <v/>
      </c>
      <c r="S943" s="24" t="str">
        <f t="shared" si="78"/>
        <v/>
      </c>
      <c r="T943" t="str">
        <f t="shared" si="75"/>
        <v/>
      </c>
    </row>
    <row r="944" spans="1:20">
      <c r="A944" s="22" t="s">
        <v>1038</v>
      </c>
      <c r="H944" s="22" t="str">
        <f t="shared" si="76"/>
        <v/>
      </c>
      <c r="J944" s="32"/>
      <c r="K944" s="24" t="str">
        <f t="shared" si="74"/>
        <v/>
      </c>
      <c r="R944" s="24" t="str">
        <f t="shared" si="77"/>
        <v/>
      </c>
      <c r="S944" s="24" t="str">
        <f t="shared" si="78"/>
        <v/>
      </c>
      <c r="T944" t="str">
        <f t="shared" si="75"/>
        <v/>
      </c>
    </row>
    <row r="945" spans="1:20">
      <c r="A945" s="22" t="s">
        <v>1039</v>
      </c>
      <c r="H945" s="22" t="str">
        <f t="shared" si="76"/>
        <v/>
      </c>
      <c r="J945" s="32"/>
      <c r="K945" s="24" t="str">
        <f t="shared" si="74"/>
        <v/>
      </c>
      <c r="R945" s="24" t="str">
        <f t="shared" si="77"/>
        <v/>
      </c>
      <c r="S945" s="24" t="str">
        <f t="shared" si="78"/>
        <v/>
      </c>
      <c r="T945" t="str">
        <f t="shared" si="75"/>
        <v/>
      </c>
    </row>
    <row r="946" spans="1:20">
      <c r="A946" s="22" t="s">
        <v>1040</v>
      </c>
      <c r="H946" s="22" t="str">
        <f t="shared" si="76"/>
        <v/>
      </c>
      <c r="J946" s="32"/>
      <c r="K946" s="24" t="str">
        <f t="shared" si="74"/>
        <v/>
      </c>
      <c r="R946" s="24" t="str">
        <f t="shared" si="77"/>
        <v/>
      </c>
      <c r="S946" s="24" t="str">
        <f t="shared" si="78"/>
        <v/>
      </c>
      <c r="T946" t="str">
        <f t="shared" si="75"/>
        <v/>
      </c>
    </row>
    <row r="947" spans="1:20">
      <c r="A947" s="22" t="s">
        <v>1041</v>
      </c>
      <c r="H947" s="22" t="str">
        <f t="shared" si="76"/>
        <v/>
      </c>
      <c r="J947" s="32"/>
      <c r="K947" s="24" t="str">
        <f t="shared" si="74"/>
        <v/>
      </c>
      <c r="R947" s="24" t="str">
        <f t="shared" si="77"/>
        <v/>
      </c>
      <c r="S947" s="24" t="str">
        <f t="shared" si="78"/>
        <v/>
      </c>
      <c r="T947" t="str">
        <f t="shared" si="75"/>
        <v/>
      </c>
    </row>
    <row r="948" spans="1:20">
      <c r="A948" s="22" t="s">
        <v>1042</v>
      </c>
      <c r="H948" s="22" t="str">
        <f t="shared" si="76"/>
        <v/>
      </c>
      <c r="J948" s="32"/>
      <c r="K948" s="24" t="str">
        <f t="shared" si="74"/>
        <v/>
      </c>
      <c r="R948" s="24" t="str">
        <f t="shared" si="77"/>
        <v/>
      </c>
      <c r="S948" s="24" t="str">
        <f t="shared" si="78"/>
        <v/>
      </c>
      <c r="T948" t="str">
        <f t="shared" si="75"/>
        <v/>
      </c>
    </row>
    <row r="949" spans="1:20">
      <c r="A949" s="22" t="s">
        <v>1043</v>
      </c>
      <c r="H949" s="22" t="str">
        <f t="shared" si="76"/>
        <v/>
      </c>
      <c r="J949" s="32"/>
      <c r="K949" s="24" t="str">
        <f t="shared" si="74"/>
        <v/>
      </c>
      <c r="R949" s="24" t="str">
        <f t="shared" si="77"/>
        <v/>
      </c>
      <c r="S949" s="24" t="str">
        <f t="shared" si="78"/>
        <v/>
      </c>
      <c r="T949" t="str">
        <f t="shared" si="75"/>
        <v/>
      </c>
    </row>
    <row r="950" spans="1:20">
      <c r="A950" s="22" t="s">
        <v>1044</v>
      </c>
      <c r="H950" s="22" t="str">
        <f t="shared" si="76"/>
        <v/>
      </c>
      <c r="J950" s="32"/>
      <c r="K950" s="24" t="str">
        <f t="shared" si="74"/>
        <v/>
      </c>
      <c r="R950" s="24" t="str">
        <f t="shared" si="77"/>
        <v/>
      </c>
      <c r="S950" s="24" t="str">
        <f t="shared" si="78"/>
        <v/>
      </c>
      <c r="T950" t="str">
        <f t="shared" si="75"/>
        <v/>
      </c>
    </row>
    <row r="951" spans="1:20">
      <c r="A951" s="22" t="s">
        <v>1045</v>
      </c>
      <c r="H951" s="22" t="str">
        <f t="shared" si="76"/>
        <v/>
      </c>
      <c r="J951" s="32"/>
      <c r="K951" s="24" t="str">
        <f t="shared" si="74"/>
        <v/>
      </c>
      <c r="R951" s="24" t="str">
        <f t="shared" si="77"/>
        <v/>
      </c>
      <c r="S951" s="24" t="str">
        <f t="shared" si="78"/>
        <v/>
      </c>
      <c r="T951" t="str">
        <f t="shared" si="75"/>
        <v/>
      </c>
    </row>
    <row r="952" spans="1:20">
      <c r="A952" s="22" t="s">
        <v>1046</v>
      </c>
      <c r="H952" s="22" t="str">
        <f t="shared" si="76"/>
        <v/>
      </c>
      <c r="J952" s="32"/>
      <c r="K952" s="24" t="str">
        <f t="shared" si="74"/>
        <v/>
      </c>
      <c r="R952" s="24" t="str">
        <f t="shared" si="77"/>
        <v/>
      </c>
      <c r="S952" s="24" t="str">
        <f t="shared" si="78"/>
        <v/>
      </c>
      <c r="T952" t="str">
        <f t="shared" si="75"/>
        <v/>
      </c>
    </row>
    <row r="953" spans="1:20">
      <c r="A953" s="22" t="s">
        <v>1047</v>
      </c>
      <c r="H953" s="22" t="str">
        <f t="shared" si="76"/>
        <v/>
      </c>
      <c r="J953" s="32"/>
      <c r="K953" s="24" t="str">
        <f t="shared" si="74"/>
        <v/>
      </c>
      <c r="R953" s="24" t="str">
        <f t="shared" si="77"/>
        <v/>
      </c>
      <c r="S953" s="24" t="str">
        <f t="shared" si="78"/>
        <v/>
      </c>
      <c r="T953" t="str">
        <f t="shared" si="75"/>
        <v/>
      </c>
    </row>
    <row r="954" spans="1:20">
      <c r="A954" s="22" t="s">
        <v>1048</v>
      </c>
      <c r="H954" s="22" t="str">
        <f t="shared" si="76"/>
        <v/>
      </c>
      <c r="J954" s="32"/>
      <c r="K954" s="24" t="str">
        <f t="shared" si="74"/>
        <v/>
      </c>
      <c r="R954" s="24" t="str">
        <f t="shared" si="77"/>
        <v/>
      </c>
      <c r="S954" s="24" t="str">
        <f t="shared" si="78"/>
        <v/>
      </c>
      <c r="T954" t="str">
        <f t="shared" si="75"/>
        <v/>
      </c>
    </row>
    <row r="955" spans="1:20">
      <c r="A955" s="22" t="s">
        <v>1049</v>
      </c>
      <c r="H955" s="22" t="str">
        <f t="shared" si="76"/>
        <v/>
      </c>
      <c r="J955" s="32"/>
      <c r="K955" s="24" t="str">
        <f t="shared" si="74"/>
        <v/>
      </c>
      <c r="R955" s="24" t="str">
        <f t="shared" si="77"/>
        <v/>
      </c>
      <c r="S955" s="24" t="str">
        <f t="shared" si="78"/>
        <v/>
      </c>
      <c r="T955" t="str">
        <f t="shared" si="75"/>
        <v/>
      </c>
    </row>
    <row r="956" spans="1:20">
      <c r="A956" s="22" t="s">
        <v>1050</v>
      </c>
      <c r="H956" s="22" t="str">
        <f t="shared" si="76"/>
        <v/>
      </c>
      <c r="J956" s="32"/>
      <c r="K956" s="24" t="str">
        <f t="shared" si="74"/>
        <v/>
      </c>
      <c r="R956" s="24" t="str">
        <f t="shared" si="77"/>
        <v/>
      </c>
      <c r="S956" s="24" t="str">
        <f t="shared" si="78"/>
        <v/>
      </c>
      <c r="T956" t="str">
        <f t="shared" si="75"/>
        <v/>
      </c>
    </row>
    <row r="957" spans="1:20">
      <c r="A957" s="22" t="s">
        <v>1051</v>
      </c>
      <c r="H957" s="22" t="str">
        <f t="shared" si="76"/>
        <v/>
      </c>
      <c r="J957" s="32"/>
      <c r="K957" s="24" t="str">
        <f t="shared" si="74"/>
        <v/>
      </c>
      <c r="R957" s="24" t="str">
        <f t="shared" si="77"/>
        <v/>
      </c>
      <c r="S957" s="24" t="str">
        <f t="shared" si="78"/>
        <v/>
      </c>
      <c r="T957" t="str">
        <f t="shared" si="75"/>
        <v/>
      </c>
    </row>
    <row r="958" spans="1:20">
      <c r="A958" s="22" t="s">
        <v>1052</v>
      </c>
      <c r="H958" s="22" t="str">
        <f t="shared" si="76"/>
        <v/>
      </c>
      <c r="J958" s="32"/>
      <c r="K958" s="24" t="str">
        <f t="shared" si="74"/>
        <v/>
      </c>
      <c r="R958" s="24" t="str">
        <f t="shared" si="77"/>
        <v/>
      </c>
      <c r="S958" s="24" t="str">
        <f t="shared" si="78"/>
        <v/>
      </c>
      <c r="T958" t="str">
        <f t="shared" si="75"/>
        <v/>
      </c>
    </row>
    <row r="959" spans="1:20">
      <c r="A959" s="22" t="s">
        <v>1053</v>
      </c>
      <c r="H959" s="22" t="str">
        <f t="shared" si="76"/>
        <v/>
      </c>
      <c r="J959" s="32"/>
      <c r="K959" s="24" t="str">
        <f t="shared" si="74"/>
        <v/>
      </c>
      <c r="R959" s="24" t="str">
        <f t="shared" si="77"/>
        <v/>
      </c>
      <c r="S959" s="24" t="str">
        <f t="shared" si="78"/>
        <v/>
      </c>
      <c r="T959" t="str">
        <f t="shared" si="75"/>
        <v/>
      </c>
    </row>
    <row r="960" spans="1:20">
      <c r="A960" s="22" t="s">
        <v>1054</v>
      </c>
      <c r="H960" s="22" t="str">
        <f t="shared" si="76"/>
        <v/>
      </c>
      <c r="J960" s="32"/>
      <c r="K960" s="24" t="str">
        <f t="shared" si="74"/>
        <v/>
      </c>
      <c r="R960" s="24" t="str">
        <f t="shared" si="77"/>
        <v/>
      </c>
      <c r="S960" s="24" t="str">
        <f t="shared" si="78"/>
        <v/>
      </c>
      <c r="T960" t="str">
        <f t="shared" si="75"/>
        <v/>
      </c>
    </row>
    <row r="961" spans="1:20">
      <c r="A961" s="22" t="s">
        <v>1055</v>
      </c>
      <c r="H961" s="22" t="str">
        <f t="shared" si="76"/>
        <v/>
      </c>
      <c r="J961" s="32"/>
      <c r="K961" s="24" t="str">
        <f t="shared" si="74"/>
        <v/>
      </c>
      <c r="R961" s="24" t="str">
        <f t="shared" si="77"/>
        <v/>
      </c>
      <c r="S961" s="24" t="str">
        <f t="shared" si="78"/>
        <v/>
      </c>
      <c r="T961" t="str">
        <f t="shared" si="75"/>
        <v/>
      </c>
    </row>
    <row r="962" spans="1:20">
      <c r="A962" s="22" t="s">
        <v>1056</v>
      </c>
      <c r="H962" s="22" t="str">
        <f t="shared" si="76"/>
        <v/>
      </c>
      <c r="J962" s="32"/>
      <c r="K962" s="24" t="str">
        <f t="shared" si="74"/>
        <v/>
      </c>
      <c r="R962" s="24" t="str">
        <f t="shared" si="77"/>
        <v/>
      </c>
      <c r="S962" s="24" t="str">
        <f t="shared" si="78"/>
        <v/>
      </c>
      <c r="T962" t="str">
        <f t="shared" si="75"/>
        <v/>
      </c>
    </row>
    <row r="963" spans="1:20">
      <c r="A963" s="22" t="s">
        <v>1057</v>
      </c>
      <c r="H963" s="22" t="str">
        <f t="shared" si="76"/>
        <v/>
      </c>
      <c r="J963" s="32"/>
      <c r="K963" s="24" t="str">
        <f t="shared" si="74"/>
        <v/>
      </c>
      <c r="R963" s="24" t="str">
        <f t="shared" si="77"/>
        <v/>
      </c>
      <c r="S963" s="24" t="str">
        <f t="shared" si="78"/>
        <v/>
      </c>
      <c r="T963" t="str">
        <f t="shared" si="75"/>
        <v/>
      </c>
    </row>
    <row r="964" spans="1:20">
      <c r="A964" s="22" t="s">
        <v>1058</v>
      </c>
      <c r="H964" s="22" t="str">
        <f t="shared" si="76"/>
        <v/>
      </c>
      <c r="J964" s="32"/>
      <c r="K964" s="24" t="str">
        <f t="shared" si="74"/>
        <v/>
      </c>
      <c r="R964" s="24" t="str">
        <f t="shared" si="77"/>
        <v/>
      </c>
      <c r="S964" s="24" t="str">
        <f t="shared" si="78"/>
        <v/>
      </c>
      <c r="T964" t="str">
        <f t="shared" si="75"/>
        <v/>
      </c>
    </row>
    <row r="965" spans="1:20">
      <c r="A965" s="22" t="s">
        <v>1059</v>
      </c>
      <c r="H965" s="22" t="str">
        <f t="shared" si="76"/>
        <v/>
      </c>
      <c r="J965" s="32"/>
      <c r="K965" s="24" t="str">
        <f t="shared" si="74"/>
        <v/>
      </c>
      <c r="R965" s="24" t="str">
        <f t="shared" si="77"/>
        <v/>
      </c>
      <c r="S965" s="24" t="str">
        <f t="shared" si="78"/>
        <v/>
      </c>
      <c r="T965" t="str">
        <f t="shared" si="75"/>
        <v/>
      </c>
    </row>
    <row r="966" spans="1:20">
      <c r="A966" s="22" t="s">
        <v>1060</v>
      </c>
      <c r="H966" s="22" t="str">
        <f t="shared" si="76"/>
        <v/>
      </c>
      <c r="J966" s="32"/>
      <c r="K966" s="24" t="str">
        <f t="shared" si="74"/>
        <v/>
      </c>
      <c r="R966" s="24" t="str">
        <f t="shared" si="77"/>
        <v/>
      </c>
      <c r="S966" s="24" t="str">
        <f t="shared" si="78"/>
        <v/>
      </c>
      <c r="T966" t="str">
        <f t="shared" si="75"/>
        <v/>
      </c>
    </row>
    <row r="967" spans="1:20">
      <c r="A967" s="22" t="s">
        <v>1061</v>
      </c>
      <c r="H967" s="22" t="str">
        <f t="shared" si="76"/>
        <v/>
      </c>
      <c r="J967" s="32"/>
      <c r="K967" s="24" t="str">
        <f t="shared" si="74"/>
        <v/>
      </c>
      <c r="R967" s="24" t="str">
        <f t="shared" si="77"/>
        <v/>
      </c>
      <c r="S967" s="24" t="str">
        <f t="shared" si="78"/>
        <v/>
      </c>
      <c r="T967" t="str">
        <f t="shared" si="75"/>
        <v/>
      </c>
    </row>
    <row r="968" spans="1:20">
      <c r="A968" s="22" t="s">
        <v>1062</v>
      </c>
      <c r="H968" s="22" t="str">
        <f t="shared" si="76"/>
        <v/>
      </c>
      <c r="J968" s="32"/>
      <c r="K968" s="24" t="str">
        <f t="shared" si="74"/>
        <v/>
      </c>
      <c r="R968" s="24" t="str">
        <f t="shared" si="77"/>
        <v/>
      </c>
      <c r="S968" s="24" t="str">
        <f t="shared" si="78"/>
        <v/>
      </c>
      <c r="T968" t="str">
        <f t="shared" si="75"/>
        <v/>
      </c>
    </row>
    <row r="969" spans="1:20">
      <c r="A969" s="22" t="s">
        <v>1063</v>
      </c>
      <c r="H969" s="22" t="str">
        <f t="shared" si="76"/>
        <v/>
      </c>
      <c r="J969" s="32"/>
      <c r="K969" s="24" t="str">
        <f t="shared" ref="K969:K1032" si="79">IF(I969="","",IF(I969="ENTRADA",ABS(J969),-ABS(J969)))</f>
        <v/>
      </c>
      <c r="R969" s="24" t="str">
        <f t="shared" si="77"/>
        <v/>
      </c>
      <c r="S969" s="24" t="str">
        <f t="shared" si="78"/>
        <v/>
      </c>
      <c r="T969" t="str">
        <f t="shared" si="75"/>
        <v/>
      </c>
    </row>
    <row r="970" spans="1:20">
      <c r="A970" s="22" t="s">
        <v>1064</v>
      </c>
      <c r="H970" s="22" t="str">
        <f t="shared" si="76"/>
        <v/>
      </c>
      <c r="J970" s="32"/>
      <c r="K970" s="24" t="str">
        <f t="shared" si="79"/>
        <v/>
      </c>
      <c r="R970" s="24" t="str">
        <f t="shared" si="77"/>
        <v/>
      </c>
      <c r="S970" s="24" t="str">
        <f t="shared" si="78"/>
        <v/>
      </c>
      <c r="T970" t="str">
        <f t="shared" si="75"/>
        <v/>
      </c>
    </row>
    <row r="971" spans="1:20">
      <c r="A971" s="22" t="s">
        <v>1065</v>
      </c>
      <c r="H971" s="22" t="str">
        <f t="shared" si="76"/>
        <v/>
      </c>
      <c r="J971" s="32"/>
      <c r="K971" s="24" t="str">
        <f t="shared" si="79"/>
        <v/>
      </c>
      <c r="R971" s="24" t="str">
        <f t="shared" si="77"/>
        <v/>
      </c>
      <c r="S971" s="24" t="str">
        <f t="shared" si="78"/>
        <v/>
      </c>
      <c r="T971" t="str">
        <f t="shared" si="75"/>
        <v/>
      </c>
    </row>
    <row r="972" spans="1:20">
      <c r="A972" s="22" t="s">
        <v>1066</v>
      </c>
      <c r="H972" s="22" t="str">
        <f t="shared" si="76"/>
        <v/>
      </c>
      <c r="J972" s="32"/>
      <c r="K972" s="24" t="str">
        <f t="shared" si="79"/>
        <v/>
      </c>
      <c r="R972" s="24" t="str">
        <f t="shared" si="77"/>
        <v/>
      </c>
      <c r="S972" s="24" t="str">
        <f t="shared" si="78"/>
        <v/>
      </c>
      <c r="T972" t="str">
        <f t="shared" si="75"/>
        <v/>
      </c>
    </row>
    <row r="973" spans="1:20">
      <c r="A973" s="22" t="s">
        <v>1067</v>
      </c>
      <c r="H973" s="22" t="str">
        <f t="shared" si="76"/>
        <v/>
      </c>
      <c r="J973" s="32"/>
      <c r="K973" s="24" t="str">
        <f t="shared" si="79"/>
        <v/>
      </c>
      <c r="R973" s="24" t="str">
        <f t="shared" si="77"/>
        <v/>
      </c>
      <c r="S973" s="24" t="str">
        <f t="shared" si="78"/>
        <v/>
      </c>
      <c r="T973" t="str">
        <f t="shared" si="75"/>
        <v/>
      </c>
    </row>
    <row r="974" spans="1:20">
      <c r="A974" s="22" t="s">
        <v>1068</v>
      </c>
      <c r="H974" s="22" t="str">
        <f t="shared" si="76"/>
        <v/>
      </c>
      <c r="J974" s="32"/>
      <c r="K974" s="24" t="str">
        <f t="shared" si="79"/>
        <v/>
      </c>
      <c r="R974" s="24" t="str">
        <f t="shared" si="77"/>
        <v/>
      </c>
      <c r="S974" s="24" t="str">
        <f t="shared" si="78"/>
        <v/>
      </c>
      <c r="T974" t="str">
        <f t="shared" si="75"/>
        <v/>
      </c>
    </row>
    <row r="975" spans="1:20">
      <c r="A975" s="22" t="s">
        <v>1069</v>
      </c>
      <c r="H975" s="22" t="str">
        <f t="shared" si="76"/>
        <v/>
      </c>
      <c r="J975" s="32"/>
      <c r="K975" s="24" t="str">
        <f t="shared" si="79"/>
        <v/>
      </c>
      <c r="R975" s="24" t="str">
        <f t="shared" si="77"/>
        <v/>
      </c>
      <c r="S975" s="24" t="str">
        <f t="shared" si="78"/>
        <v/>
      </c>
      <c r="T975" t="str">
        <f t="shared" ref="T975:T1038" si="80">IF(OR(C975="",I975&lt;&gt;"ENTRADA"),"",TEXT(B975,"AAMMDD")&amp;"-"&amp;TEXT(VALUE(SUBSTITUTE(A975,"MOV-","")),"000"))</f>
        <v/>
      </c>
    </row>
    <row r="976" spans="1:20">
      <c r="A976" s="22" t="s">
        <v>1070</v>
      </c>
      <c r="H976" s="22" t="str">
        <f t="shared" ref="H976:H1039" si="81">+T976</f>
        <v/>
      </c>
      <c r="J976" s="32"/>
      <c r="K976" s="24" t="str">
        <f t="shared" si="79"/>
        <v/>
      </c>
      <c r="R976" s="24" t="str">
        <f t="shared" ref="R976:R1039" si="82">IF(H976="","",H976&amp;I976)</f>
        <v/>
      </c>
      <c r="S976" s="24" t="str">
        <f t="shared" ref="S976:S1039" si="83">IF(C976="","",C976&amp;I976)</f>
        <v/>
      </c>
      <c r="T976" t="str">
        <f t="shared" si="80"/>
        <v/>
      </c>
    </row>
    <row r="977" spans="1:20">
      <c r="A977" s="22" t="s">
        <v>1071</v>
      </c>
      <c r="H977" s="22" t="str">
        <f t="shared" si="81"/>
        <v/>
      </c>
      <c r="J977" s="32"/>
      <c r="K977" s="24" t="str">
        <f t="shared" si="79"/>
        <v/>
      </c>
      <c r="R977" s="24" t="str">
        <f t="shared" si="82"/>
        <v/>
      </c>
      <c r="S977" s="24" t="str">
        <f t="shared" si="83"/>
        <v/>
      </c>
      <c r="T977" t="str">
        <f t="shared" si="80"/>
        <v/>
      </c>
    </row>
    <row r="978" spans="1:20">
      <c r="A978" s="22" t="s">
        <v>1072</v>
      </c>
      <c r="H978" s="22" t="str">
        <f t="shared" si="81"/>
        <v/>
      </c>
      <c r="J978" s="32"/>
      <c r="K978" s="24" t="str">
        <f t="shared" si="79"/>
        <v/>
      </c>
      <c r="R978" s="24" t="str">
        <f t="shared" si="82"/>
        <v/>
      </c>
      <c r="S978" s="24" t="str">
        <f t="shared" si="83"/>
        <v/>
      </c>
      <c r="T978" t="str">
        <f t="shared" si="80"/>
        <v/>
      </c>
    </row>
    <row r="979" spans="1:20">
      <c r="A979" s="22" t="s">
        <v>1073</v>
      </c>
      <c r="H979" s="22" t="str">
        <f t="shared" si="81"/>
        <v/>
      </c>
      <c r="J979" s="32"/>
      <c r="K979" s="24" t="str">
        <f t="shared" si="79"/>
        <v/>
      </c>
      <c r="R979" s="24" t="str">
        <f t="shared" si="82"/>
        <v/>
      </c>
      <c r="S979" s="24" t="str">
        <f t="shared" si="83"/>
        <v/>
      </c>
      <c r="T979" t="str">
        <f t="shared" si="80"/>
        <v/>
      </c>
    </row>
    <row r="980" spans="1:20">
      <c r="A980" s="22" t="s">
        <v>1074</v>
      </c>
      <c r="H980" s="22" t="str">
        <f t="shared" si="81"/>
        <v/>
      </c>
      <c r="J980" s="32"/>
      <c r="K980" s="24" t="str">
        <f t="shared" si="79"/>
        <v/>
      </c>
      <c r="R980" s="24" t="str">
        <f t="shared" si="82"/>
        <v/>
      </c>
      <c r="S980" s="24" t="str">
        <f t="shared" si="83"/>
        <v/>
      </c>
      <c r="T980" t="str">
        <f t="shared" si="80"/>
        <v/>
      </c>
    </row>
    <row r="981" spans="1:20">
      <c r="A981" s="22" t="s">
        <v>1075</v>
      </c>
      <c r="H981" s="22" t="str">
        <f t="shared" si="81"/>
        <v/>
      </c>
      <c r="J981" s="32"/>
      <c r="K981" s="24" t="str">
        <f t="shared" si="79"/>
        <v/>
      </c>
      <c r="R981" s="24" t="str">
        <f t="shared" si="82"/>
        <v/>
      </c>
      <c r="S981" s="24" t="str">
        <f t="shared" si="83"/>
        <v/>
      </c>
      <c r="T981" t="str">
        <f t="shared" si="80"/>
        <v/>
      </c>
    </row>
    <row r="982" spans="1:20">
      <c r="A982" s="22" t="s">
        <v>1076</v>
      </c>
      <c r="H982" s="22" t="str">
        <f t="shared" si="81"/>
        <v/>
      </c>
      <c r="J982" s="32"/>
      <c r="K982" s="24" t="str">
        <f t="shared" si="79"/>
        <v/>
      </c>
      <c r="R982" s="24" t="str">
        <f t="shared" si="82"/>
        <v/>
      </c>
      <c r="S982" s="24" t="str">
        <f t="shared" si="83"/>
        <v/>
      </c>
      <c r="T982" t="str">
        <f t="shared" si="80"/>
        <v/>
      </c>
    </row>
    <row r="983" spans="1:20">
      <c r="A983" s="22" t="s">
        <v>1077</v>
      </c>
      <c r="H983" s="22" t="str">
        <f t="shared" si="81"/>
        <v/>
      </c>
      <c r="J983" s="32"/>
      <c r="K983" s="24" t="str">
        <f t="shared" si="79"/>
        <v/>
      </c>
      <c r="R983" s="24" t="str">
        <f t="shared" si="82"/>
        <v/>
      </c>
      <c r="S983" s="24" t="str">
        <f t="shared" si="83"/>
        <v/>
      </c>
      <c r="T983" t="str">
        <f t="shared" si="80"/>
        <v/>
      </c>
    </row>
    <row r="984" spans="1:20">
      <c r="A984" s="22" t="s">
        <v>1078</v>
      </c>
      <c r="H984" s="22" t="str">
        <f t="shared" si="81"/>
        <v/>
      </c>
      <c r="J984" s="32"/>
      <c r="K984" s="24" t="str">
        <f t="shared" si="79"/>
        <v/>
      </c>
      <c r="R984" s="24" t="str">
        <f t="shared" si="82"/>
        <v/>
      </c>
      <c r="S984" s="24" t="str">
        <f t="shared" si="83"/>
        <v/>
      </c>
      <c r="T984" t="str">
        <f t="shared" si="80"/>
        <v/>
      </c>
    </row>
    <row r="985" spans="1:20">
      <c r="A985" s="22" t="s">
        <v>1079</v>
      </c>
      <c r="H985" s="22" t="str">
        <f t="shared" si="81"/>
        <v/>
      </c>
      <c r="J985" s="32"/>
      <c r="K985" s="24" t="str">
        <f t="shared" si="79"/>
        <v/>
      </c>
      <c r="R985" s="24" t="str">
        <f t="shared" si="82"/>
        <v/>
      </c>
      <c r="S985" s="24" t="str">
        <f t="shared" si="83"/>
        <v/>
      </c>
      <c r="T985" t="str">
        <f t="shared" si="80"/>
        <v/>
      </c>
    </row>
    <row r="986" spans="1:20">
      <c r="A986" s="22" t="s">
        <v>1080</v>
      </c>
      <c r="H986" s="22" t="str">
        <f t="shared" si="81"/>
        <v/>
      </c>
      <c r="J986" s="32"/>
      <c r="K986" s="24" t="str">
        <f t="shared" si="79"/>
        <v/>
      </c>
      <c r="R986" s="24" t="str">
        <f t="shared" si="82"/>
        <v/>
      </c>
      <c r="S986" s="24" t="str">
        <f t="shared" si="83"/>
        <v/>
      </c>
      <c r="T986" t="str">
        <f t="shared" si="80"/>
        <v/>
      </c>
    </row>
    <row r="987" spans="1:20">
      <c r="A987" s="22" t="s">
        <v>1081</v>
      </c>
      <c r="H987" s="22" t="str">
        <f t="shared" si="81"/>
        <v/>
      </c>
      <c r="J987" s="32"/>
      <c r="K987" s="24" t="str">
        <f t="shared" si="79"/>
        <v/>
      </c>
      <c r="R987" s="24" t="str">
        <f t="shared" si="82"/>
        <v/>
      </c>
      <c r="S987" s="24" t="str">
        <f t="shared" si="83"/>
        <v/>
      </c>
      <c r="T987" t="str">
        <f t="shared" si="80"/>
        <v/>
      </c>
    </row>
    <row r="988" spans="1:20">
      <c r="A988" s="22" t="s">
        <v>1082</v>
      </c>
      <c r="H988" s="22" t="str">
        <f t="shared" si="81"/>
        <v/>
      </c>
      <c r="J988" s="32"/>
      <c r="K988" s="24" t="str">
        <f t="shared" si="79"/>
        <v/>
      </c>
      <c r="R988" s="24" t="str">
        <f t="shared" si="82"/>
        <v/>
      </c>
      <c r="S988" s="24" t="str">
        <f t="shared" si="83"/>
        <v/>
      </c>
      <c r="T988" t="str">
        <f t="shared" si="80"/>
        <v/>
      </c>
    </row>
    <row r="989" spans="1:20">
      <c r="A989" s="22" t="s">
        <v>1083</v>
      </c>
      <c r="H989" s="22" t="str">
        <f t="shared" si="81"/>
        <v/>
      </c>
      <c r="J989" s="32"/>
      <c r="K989" s="24" t="str">
        <f t="shared" si="79"/>
        <v/>
      </c>
      <c r="R989" s="24" t="str">
        <f t="shared" si="82"/>
        <v/>
      </c>
      <c r="S989" s="24" t="str">
        <f t="shared" si="83"/>
        <v/>
      </c>
      <c r="T989" t="str">
        <f t="shared" si="80"/>
        <v/>
      </c>
    </row>
    <row r="990" spans="1:20">
      <c r="A990" s="22" t="s">
        <v>1084</v>
      </c>
      <c r="H990" s="22" t="str">
        <f t="shared" si="81"/>
        <v/>
      </c>
      <c r="J990" s="32"/>
      <c r="K990" s="24" t="str">
        <f t="shared" si="79"/>
        <v/>
      </c>
      <c r="R990" s="24" t="str">
        <f t="shared" si="82"/>
        <v/>
      </c>
      <c r="S990" s="24" t="str">
        <f t="shared" si="83"/>
        <v/>
      </c>
      <c r="T990" t="str">
        <f t="shared" si="80"/>
        <v/>
      </c>
    </row>
    <row r="991" spans="1:20">
      <c r="A991" s="22" t="s">
        <v>1085</v>
      </c>
      <c r="H991" s="22" t="str">
        <f t="shared" si="81"/>
        <v/>
      </c>
      <c r="J991" s="32"/>
      <c r="K991" s="24" t="str">
        <f t="shared" si="79"/>
        <v/>
      </c>
      <c r="R991" s="24" t="str">
        <f t="shared" si="82"/>
        <v/>
      </c>
      <c r="S991" s="24" t="str">
        <f t="shared" si="83"/>
        <v/>
      </c>
      <c r="T991" t="str">
        <f t="shared" si="80"/>
        <v/>
      </c>
    </row>
    <row r="992" spans="1:20">
      <c r="A992" s="22" t="s">
        <v>1086</v>
      </c>
      <c r="H992" s="22" t="str">
        <f t="shared" si="81"/>
        <v/>
      </c>
      <c r="J992" s="32"/>
      <c r="K992" s="24" t="str">
        <f t="shared" si="79"/>
        <v/>
      </c>
      <c r="R992" s="24" t="str">
        <f t="shared" si="82"/>
        <v/>
      </c>
      <c r="S992" s="24" t="str">
        <f t="shared" si="83"/>
        <v/>
      </c>
      <c r="T992" t="str">
        <f t="shared" si="80"/>
        <v/>
      </c>
    </row>
    <row r="993" spans="1:20">
      <c r="A993" s="22" t="s">
        <v>1087</v>
      </c>
      <c r="H993" s="22" t="str">
        <f t="shared" si="81"/>
        <v/>
      </c>
      <c r="J993" s="32"/>
      <c r="K993" s="24" t="str">
        <f t="shared" si="79"/>
        <v/>
      </c>
      <c r="R993" s="24" t="str">
        <f t="shared" si="82"/>
        <v/>
      </c>
      <c r="S993" s="24" t="str">
        <f t="shared" si="83"/>
        <v/>
      </c>
      <c r="T993" t="str">
        <f t="shared" si="80"/>
        <v/>
      </c>
    </row>
    <row r="994" spans="1:20">
      <c r="A994" s="22" t="s">
        <v>1088</v>
      </c>
      <c r="H994" s="22" t="str">
        <f t="shared" si="81"/>
        <v/>
      </c>
      <c r="J994" s="32"/>
      <c r="K994" s="24" t="str">
        <f t="shared" si="79"/>
        <v/>
      </c>
      <c r="R994" s="24" t="str">
        <f t="shared" si="82"/>
        <v/>
      </c>
      <c r="S994" s="24" t="str">
        <f t="shared" si="83"/>
        <v/>
      </c>
      <c r="T994" t="str">
        <f t="shared" si="80"/>
        <v/>
      </c>
    </row>
    <row r="995" spans="1:20">
      <c r="A995" s="22" t="s">
        <v>1089</v>
      </c>
      <c r="H995" s="22" t="str">
        <f t="shared" si="81"/>
        <v/>
      </c>
      <c r="J995" s="32"/>
      <c r="K995" s="24" t="str">
        <f t="shared" si="79"/>
        <v/>
      </c>
      <c r="R995" s="24" t="str">
        <f t="shared" si="82"/>
        <v/>
      </c>
      <c r="S995" s="24" t="str">
        <f t="shared" si="83"/>
        <v/>
      </c>
      <c r="T995" t="str">
        <f t="shared" si="80"/>
        <v/>
      </c>
    </row>
    <row r="996" spans="1:20">
      <c r="A996" s="22" t="s">
        <v>1090</v>
      </c>
      <c r="H996" s="22" t="str">
        <f t="shared" si="81"/>
        <v/>
      </c>
      <c r="J996" s="32"/>
      <c r="K996" s="24" t="str">
        <f t="shared" si="79"/>
        <v/>
      </c>
      <c r="R996" s="24" t="str">
        <f t="shared" si="82"/>
        <v/>
      </c>
      <c r="S996" s="24" t="str">
        <f t="shared" si="83"/>
        <v/>
      </c>
      <c r="T996" t="str">
        <f t="shared" si="80"/>
        <v/>
      </c>
    </row>
    <row r="997" spans="1:20">
      <c r="A997" s="22" t="s">
        <v>1091</v>
      </c>
      <c r="H997" s="22" t="str">
        <f t="shared" si="81"/>
        <v/>
      </c>
      <c r="J997" s="32"/>
      <c r="K997" s="24" t="str">
        <f t="shared" si="79"/>
        <v/>
      </c>
      <c r="R997" s="24" t="str">
        <f t="shared" si="82"/>
        <v/>
      </c>
      <c r="S997" s="24" t="str">
        <f t="shared" si="83"/>
        <v/>
      </c>
      <c r="T997" t="str">
        <f t="shared" si="80"/>
        <v/>
      </c>
    </row>
    <row r="998" spans="1:20">
      <c r="A998" s="22" t="s">
        <v>1092</v>
      </c>
      <c r="H998" s="22" t="str">
        <f t="shared" si="81"/>
        <v/>
      </c>
      <c r="J998" s="32"/>
      <c r="K998" s="24" t="str">
        <f t="shared" si="79"/>
        <v/>
      </c>
      <c r="R998" s="24" t="str">
        <f t="shared" si="82"/>
        <v/>
      </c>
      <c r="S998" s="24" t="str">
        <f t="shared" si="83"/>
        <v/>
      </c>
      <c r="T998" t="str">
        <f t="shared" si="80"/>
        <v/>
      </c>
    </row>
    <row r="999" spans="1:20">
      <c r="A999" s="22" t="s">
        <v>1093</v>
      </c>
      <c r="H999" s="22" t="str">
        <f t="shared" si="81"/>
        <v/>
      </c>
      <c r="J999" s="32"/>
      <c r="K999" s="24" t="str">
        <f t="shared" si="79"/>
        <v/>
      </c>
      <c r="R999" s="24" t="str">
        <f t="shared" si="82"/>
        <v/>
      </c>
      <c r="S999" s="24" t="str">
        <f t="shared" si="83"/>
        <v/>
      </c>
      <c r="T999" t="str">
        <f t="shared" si="80"/>
        <v/>
      </c>
    </row>
    <row r="1000" spans="1:20">
      <c r="A1000" s="22" t="s">
        <v>1094</v>
      </c>
      <c r="H1000" s="22" t="str">
        <f t="shared" si="81"/>
        <v/>
      </c>
      <c r="J1000" s="32"/>
      <c r="K1000" s="24" t="str">
        <f t="shared" si="79"/>
        <v/>
      </c>
      <c r="R1000" s="24" t="str">
        <f t="shared" si="82"/>
        <v/>
      </c>
      <c r="S1000" s="24" t="str">
        <f t="shared" si="83"/>
        <v/>
      </c>
      <c r="T1000" t="str">
        <f t="shared" si="80"/>
        <v/>
      </c>
    </row>
    <row r="1001" spans="1:20">
      <c r="A1001" s="22" t="s">
        <v>1095</v>
      </c>
      <c r="H1001" s="22" t="str">
        <f t="shared" si="81"/>
        <v/>
      </c>
      <c r="J1001" s="32"/>
      <c r="K1001" s="24" t="str">
        <f t="shared" si="79"/>
        <v/>
      </c>
      <c r="R1001" s="24" t="str">
        <f t="shared" si="82"/>
        <v/>
      </c>
      <c r="S1001" s="24" t="str">
        <f t="shared" si="83"/>
        <v/>
      </c>
      <c r="T1001" t="str">
        <f t="shared" si="80"/>
        <v/>
      </c>
    </row>
    <row r="1002" spans="1:20">
      <c r="A1002" s="22" t="s">
        <v>1096</v>
      </c>
      <c r="H1002" s="22" t="str">
        <f t="shared" si="81"/>
        <v/>
      </c>
      <c r="J1002" s="32"/>
      <c r="K1002" s="24" t="str">
        <f t="shared" si="79"/>
        <v/>
      </c>
      <c r="R1002" s="24" t="str">
        <f t="shared" si="82"/>
        <v/>
      </c>
      <c r="S1002" s="24" t="str">
        <f t="shared" si="83"/>
        <v/>
      </c>
      <c r="T1002" t="str">
        <f t="shared" si="80"/>
        <v/>
      </c>
    </row>
    <row r="1003" spans="1:20">
      <c r="A1003" s="22" t="s">
        <v>1097</v>
      </c>
      <c r="H1003" s="22" t="str">
        <f t="shared" si="81"/>
        <v/>
      </c>
      <c r="J1003" s="32"/>
      <c r="K1003" s="24" t="str">
        <f t="shared" si="79"/>
        <v/>
      </c>
      <c r="R1003" s="24" t="str">
        <f t="shared" si="82"/>
        <v/>
      </c>
      <c r="S1003" s="24" t="str">
        <f t="shared" si="83"/>
        <v/>
      </c>
      <c r="T1003" t="str">
        <f t="shared" si="80"/>
        <v/>
      </c>
    </row>
    <row r="1004" spans="1:20">
      <c r="A1004" s="22" t="s">
        <v>1098</v>
      </c>
      <c r="H1004" s="22" t="str">
        <f t="shared" si="81"/>
        <v/>
      </c>
      <c r="J1004" s="32"/>
      <c r="K1004" s="24" t="str">
        <f t="shared" si="79"/>
        <v/>
      </c>
      <c r="R1004" s="24" t="str">
        <f t="shared" si="82"/>
        <v/>
      </c>
      <c r="S1004" s="24" t="str">
        <f t="shared" si="83"/>
        <v/>
      </c>
      <c r="T1004" t="str">
        <f t="shared" si="80"/>
        <v/>
      </c>
    </row>
    <row r="1005" spans="1:20">
      <c r="A1005" s="22" t="s">
        <v>1099</v>
      </c>
      <c r="H1005" s="22" t="str">
        <f t="shared" si="81"/>
        <v/>
      </c>
      <c r="J1005" s="32"/>
      <c r="K1005" s="24" t="str">
        <f t="shared" si="79"/>
        <v/>
      </c>
      <c r="R1005" s="24" t="str">
        <f t="shared" si="82"/>
        <v/>
      </c>
      <c r="S1005" s="24" t="str">
        <f t="shared" si="83"/>
        <v/>
      </c>
      <c r="T1005" t="str">
        <f t="shared" si="80"/>
        <v/>
      </c>
    </row>
    <row r="1006" spans="1:20">
      <c r="A1006" s="22" t="s">
        <v>1100</v>
      </c>
      <c r="H1006" s="22" t="str">
        <f t="shared" si="81"/>
        <v/>
      </c>
      <c r="J1006" s="32"/>
      <c r="K1006" s="24" t="str">
        <f t="shared" si="79"/>
        <v/>
      </c>
      <c r="R1006" s="24" t="str">
        <f t="shared" si="82"/>
        <v/>
      </c>
      <c r="S1006" s="24" t="str">
        <f t="shared" si="83"/>
        <v/>
      </c>
      <c r="T1006" t="str">
        <f t="shared" si="80"/>
        <v/>
      </c>
    </row>
    <row r="1007" spans="1:20">
      <c r="A1007" s="22" t="s">
        <v>1101</v>
      </c>
      <c r="H1007" s="22" t="str">
        <f t="shared" si="81"/>
        <v/>
      </c>
      <c r="J1007" s="32"/>
      <c r="K1007" s="24" t="str">
        <f t="shared" si="79"/>
        <v/>
      </c>
      <c r="R1007" s="24" t="str">
        <f t="shared" si="82"/>
        <v/>
      </c>
      <c r="S1007" s="24" t="str">
        <f t="shared" si="83"/>
        <v/>
      </c>
      <c r="T1007" t="str">
        <f t="shared" si="80"/>
        <v/>
      </c>
    </row>
    <row r="1008" spans="1:20">
      <c r="A1008" s="22" t="s">
        <v>1102</v>
      </c>
      <c r="H1008" s="22" t="str">
        <f t="shared" si="81"/>
        <v/>
      </c>
      <c r="J1008" s="32"/>
      <c r="K1008" s="24" t="str">
        <f t="shared" si="79"/>
        <v/>
      </c>
      <c r="R1008" s="24" t="str">
        <f t="shared" si="82"/>
        <v/>
      </c>
      <c r="S1008" s="24" t="str">
        <f t="shared" si="83"/>
        <v/>
      </c>
      <c r="T1008" t="str">
        <f t="shared" si="80"/>
        <v/>
      </c>
    </row>
    <row r="1009" spans="1:20">
      <c r="A1009" s="22" t="s">
        <v>1103</v>
      </c>
      <c r="H1009" s="22" t="str">
        <f t="shared" si="81"/>
        <v/>
      </c>
      <c r="J1009" s="32"/>
      <c r="K1009" s="24" t="str">
        <f t="shared" si="79"/>
        <v/>
      </c>
      <c r="R1009" s="24" t="str">
        <f t="shared" si="82"/>
        <v/>
      </c>
      <c r="S1009" s="24" t="str">
        <f t="shared" si="83"/>
        <v/>
      </c>
      <c r="T1009" t="str">
        <f t="shared" si="80"/>
        <v/>
      </c>
    </row>
    <row r="1010" spans="1:20">
      <c r="A1010" s="22" t="s">
        <v>1104</v>
      </c>
      <c r="H1010" s="22" t="str">
        <f t="shared" si="81"/>
        <v/>
      </c>
      <c r="J1010" s="32"/>
      <c r="K1010" s="24" t="str">
        <f t="shared" si="79"/>
        <v/>
      </c>
      <c r="R1010" s="24" t="str">
        <f t="shared" si="82"/>
        <v/>
      </c>
      <c r="S1010" s="24" t="str">
        <f t="shared" si="83"/>
        <v/>
      </c>
      <c r="T1010" t="str">
        <f t="shared" si="80"/>
        <v/>
      </c>
    </row>
    <row r="1011" spans="1:20">
      <c r="A1011" s="22" t="s">
        <v>1105</v>
      </c>
      <c r="H1011" s="22" t="str">
        <f t="shared" si="81"/>
        <v/>
      </c>
      <c r="J1011" s="32"/>
      <c r="K1011" s="24" t="str">
        <f t="shared" si="79"/>
        <v/>
      </c>
      <c r="R1011" s="24" t="str">
        <f t="shared" si="82"/>
        <v/>
      </c>
      <c r="S1011" s="24" t="str">
        <f t="shared" si="83"/>
        <v/>
      </c>
      <c r="T1011" t="str">
        <f t="shared" si="80"/>
        <v/>
      </c>
    </row>
    <row r="1012" spans="1:20">
      <c r="A1012" s="22" t="s">
        <v>1106</v>
      </c>
      <c r="H1012" s="22" t="str">
        <f t="shared" si="81"/>
        <v/>
      </c>
      <c r="J1012" s="32"/>
      <c r="K1012" s="24" t="str">
        <f t="shared" si="79"/>
        <v/>
      </c>
      <c r="R1012" s="24" t="str">
        <f t="shared" si="82"/>
        <v/>
      </c>
      <c r="S1012" s="24" t="str">
        <f t="shared" si="83"/>
        <v/>
      </c>
      <c r="T1012" t="str">
        <f t="shared" si="80"/>
        <v/>
      </c>
    </row>
    <row r="1013" spans="1:20">
      <c r="A1013" s="22" t="s">
        <v>1107</v>
      </c>
      <c r="H1013" s="22" t="str">
        <f t="shared" si="81"/>
        <v/>
      </c>
      <c r="J1013" s="32"/>
      <c r="K1013" s="24" t="str">
        <f t="shared" si="79"/>
        <v/>
      </c>
      <c r="R1013" s="24" t="str">
        <f t="shared" si="82"/>
        <v/>
      </c>
      <c r="S1013" s="24" t="str">
        <f t="shared" si="83"/>
        <v/>
      </c>
      <c r="T1013" t="str">
        <f t="shared" si="80"/>
        <v/>
      </c>
    </row>
    <row r="1014" spans="1:20">
      <c r="A1014" s="22" t="s">
        <v>1108</v>
      </c>
      <c r="H1014" s="22" t="str">
        <f t="shared" si="81"/>
        <v/>
      </c>
      <c r="J1014" s="32"/>
      <c r="K1014" s="24" t="str">
        <f t="shared" si="79"/>
        <v/>
      </c>
      <c r="R1014" s="24" t="str">
        <f t="shared" si="82"/>
        <v/>
      </c>
      <c r="S1014" s="24" t="str">
        <f t="shared" si="83"/>
        <v/>
      </c>
      <c r="T1014" t="str">
        <f t="shared" si="80"/>
        <v/>
      </c>
    </row>
    <row r="1015" spans="1:20">
      <c r="A1015" s="22" t="s">
        <v>1109</v>
      </c>
      <c r="H1015" s="22" t="str">
        <f t="shared" si="81"/>
        <v/>
      </c>
      <c r="J1015" s="32"/>
      <c r="K1015" s="24" t="str">
        <f t="shared" si="79"/>
        <v/>
      </c>
      <c r="R1015" s="24" t="str">
        <f t="shared" si="82"/>
        <v/>
      </c>
      <c r="S1015" s="24" t="str">
        <f t="shared" si="83"/>
        <v/>
      </c>
      <c r="T1015" t="str">
        <f t="shared" si="80"/>
        <v/>
      </c>
    </row>
    <row r="1016" spans="1:20">
      <c r="A1016" s="22" t="s">
        <v>1110</v>
      </c>
      <c r="H1016" s="22" t="str">
        <f t="shared" si="81"/>
        <v/>
      </c>
      <c r="J1016" s="32"/>
      <c r="K1016" s="24" t="str">
        <f t="shared" si="79"/>
        <v/>
      </c>
      <c r="R1016" s="24" t="str">
        <f t="shared" si="82"/>
        <v/>
      </c>
      <c r="S1016" s="24" t="str">
        <f t="shared" si="83"/>
        <v/>
      </c>
      <c r="T1016" t="str">
        <f t="shared" si="80"/>
        <v/>
      </c>
    </row>
    <row r="1017" spans="1:20">
      <c r="A1017" s="22" t="s">
        <v>1111</v>
      </c>
      <c r="H1017" s="22" t="str">
        <f t="shared" si="81"/>
        <v/>
      </c>
      <c r="J1017" s="32"/>
      <c r="K1017" s="24" t="str">
        <f t="shared" si="79"/>
        <v/>
      </c>
      <c r="R1017" s="24" t="str">
        <f t="shared" si="82"/>
        <v/>
      </c>
      <c r="S1017" s="24" t="str">
        <f t="shared" si="83"/>
        <v/>
      </c>
      <c r="T1017" t="str">
        <f t="shared" si="80"/>
        <v/>
      </c>
    </row>
    <row r="1018" spans="1:20">
      <c r="A1018" s="22" t="s">
        <v>1112</v>
      </c>
      <c r="H1018" s="22" t="str">
        <f t="shared" si="81"/>
        <v/>
      </c>
      <c r="J1018" s="32"/>
      <c r="K1018" s="24" t="str">
        <f t="shared" si="79"/>
        <v/>
      </c>
      <c r="R1018" s="24" t="str">
        <f t="shared" si="82"/>
        <v/>
      </c>
      <c r="S1018" s="24" t="str">
        <f t="shared" si="83"/>
        <v/>
      </c>
      <c r="T1018" t="str">
        <f t="shared" si="80"/>
        <v/>
      </c>
    </row>
    <row r="1019" spans="1:20">
      <c r="A1019" s="22" t="s">
        <v>1113</v>
      </c>
      <c r="H1019" s="22" t="str">
        <f t="shared" si="81"/>
        <v/>
      </c>
      <c r="J1019" s="32"/>
      <c r="K1019" s="24" t="str">
        <f t="shared" si="79"/>
        <v/>
      </c>
      <c r="R1019" s="24" t="str">
        <f t="shared" si="82"/>
        <v/>
      </c>
      <c r="S1019" s="24" t="str">
        <f t="shared" si="83"/>
        <v/>
      </c>
      <c r="T1019" t="str">
        <f t="shared" si="80"/>
        <v/>
      </c>
    </row>
    <row r="1020" spans="1:20">
      <c r="A1020" s="22" t="s">
        <v>1114</v>
      </c>
      <c r="H1020" s="22" t="str">
        <f t="shared" si="81"/>
        <v/>
      </c>
      <c r="J1020" s="32"/>
      <c r="K1020" s="24" t="str">
        <f t="shared" si="79"/>
        <v/>
      </c>
      <c r="R1020" s="24" t="str">
        <f t="shared" si="82"/>
        <v/>
      </c>
      <c r="S1020" s="24" t="str">
        <f t="shared" si="83"/>
        <v/>
      </c>
      <c r="T1020" t="str">
        <f t="shared" si="80"/>
        <v/>
      </c>
    </row>
    <row r="1021" spans="1:20">
      <c r="A1021" s="22" t="s">
        <v>1115</v>
      </c>
      <c r="H1021" s="22" t="str">
        <f t="shared" si="81"/>
        <v/>
      </c>
      <c r="J1021" s="32"/>
      <c r="K1021" s="24" t="str">
        <f t="shared" si="79"/>
        <v/>
      </c>
      <c r="R1021" s="24" t="str">
        <f t="shared" si="82"/>
        <v/>
      </c>
      <c r="S1021" s="24" t="str">
        <f t="shared" si="83"/>
        <v/>
      </c>
      <c r="T1021" t="str">
        <f t="shared" si="80"/>
        <v/>
      </c>
    </row>
    <row r="1022" spans="1:20">
      <c r="A1022" s="22" t="s">
        <v>1116</v>
      </c>
      <c r="H1022" s="22" t="str">
        <f t="shared" si="81"/>
        <v/>
      </c>
      <c r="J1022" s="32"/>
      <c r="K1022" s="24" t="str">
        <f t="shared" si="79"/>
        <v/>
      </c>
      <c r="R1022" s="24" t="str">
        <f t="shared" si="82"/>
        <v/>
      </c>
      <c r="S1022" s="24" t="str">
        <f t="shared" si="83"/>
        <v/>
      </c>
      <c r="T1022" t="str">
        <f t="shared" si="80"/>
        <v/>
      </c>
    </row>
    <row r="1023" spans="1:20">
      <c r="A1023" s="22" t="s">
        <v>1117</v>
      </c>
      <c r="H1023" s="22" t="str">
        <f t="shared" si="81"/>
        <v/>
      </c>
      <c r="J1023" s="32"/>
      <c r="K1023" s="24" t="str">
        <f t="shared" si="79"/>
        <v/>
      </c>
      <c r="R1023" s="24" t="str">
        <f t="shared" si="82"/>
        <v/>
      </c>
      <c r="S1023" s="24" t="str">
        <f t="shared" si="83"/>
        <v/>
      </c>
      <c r="T1023" t="str">
        <f t="shared" si="80"/>
        <v/>
      </c>
    </row>
    <row r="1024" spans="1:20">
      <c r="A1024" s="22" t="s">
        <v>1118</v>
      </c>
      <c r="H1024" s="22" t="str">
        <f t="shared" si="81"/>
        <v/>
      </c>
      <c r="J1024" s="32"/>
      <c r="K1024" s="24" t="str">
        <f t="shared" si="79"/>
        <v/>
      </c>
      <c r="R1024" s="24" t="str">
        <f t="shared" si="82"/>
        <v/>
      </c>
      <c r="S1024" s="24" t="str">
        <f t="shared" si="83"/>
        <v/>
      </c>
      <c r="T1024" t="str">
        <f t="shared" si="80"/>
        <v/>
      </c>
    </row>
    <row r="1025" spans="1:20">
      <c r="A1025" s="22" t="s">
        <v>1119</v>
      </c>
      <c r="H1025" s="22" t="str">
        <f t="shared" si="81"/>
        <v/>
      </c>
      <c r="J1025" s="32"/>
      <c r="K1025" s="24" t="str">
        <f t="shared" si="79"/>
        <v/>
      </c>
      <c r="R1025" s="24" t="str">
        <f t="shared" si="82"/>
        <v/>
      </c>
      <c r="S1025" s="24" t="str">
        <f t="shared" si="83"/>
        <v/>
      </c>
      <c r="T1025" t="str">
        <f t="shared" si="80"/>
        <v/>
      </c>
    </row>
    <row r="1026" spans="1:20">
      <c r="A1026" s="22" t="s">
        <v>1120</v>
      </c>
      <c r="H1026" s="22" t="str">
        <f t="shared" si="81"/>
        <v/>
      </c>
      <c r="J1026" s="32"/>
      <c r="K1026" s="24" t="str">
        <f t="shared" si="79"/>
        <v/>
      </c>
      <c r="R1026" s="24" t="str">
        <f t="shared" si="82"/>
        <v/>
      </c>
      <c r="S1026" s="24" t="str">
        <f t="shared" si="83"/>
        <v/>
      </c>
      <c r="T1026" t="str">
        <f t="shared" si="80"/>
        <v/>
      </c>
    </row>
    <row r="1027" spans="1:20">
      <c r="A1027" s="22" t="s">
        <v>1121</v>
      </c>
      <c r="H1027" s="22" t="str">
        <f t="shared" si="81"/>
        <v/>
      </c>
      <c r="J1027" s="32"/>
      <c r="K1027" s="24" t="str">
        <f t="shared" si="79"/>
        <v/>
      </c>
      <c r="R1027" s="24" t="str">
        <f t="shared" si="82"/>
        <v/>
      </c>
      <c r="S1027" s="24" t="str">
        <f t="shared" si="83"/>
        <v/>
      </c>
      <c r="T1027" t="str">
        <f t="shared" si="80"/>
        <v/>
      </c>
    </row>
    <row r="1028" spans="1:20">
      <c r="A1028" s="22" t="s">
        <v>1122</v>
      </c>
      <c r="H1028" s="22" t="str">
        <f t="shared" si="81"/>
        <v/>
      </c>
      <c r="J1028" s="32"/>
      <c r="K1028" s="24" t="str">
        <f t="shared" si="79"/>
        <v/>
      </c>
      <c r="R1028" s="24" t="str">
        <f t="shared" si="82"/>
        <v/>
      </c>
      <c r="S1028" s="24" t="str">
        <f t="shared" si="83"/>
        <v/>
      </c>
      <c r="T1028" t="str">
        <f t="shared" si="80"/>
        <v/>
      </c>
    </row>
    <row r="1029" spans="1:20">
      <c r="A1029" s="22" t="s">
        <v>1123</v>
      </c>
      <c r="H1029" s="22" t="str">
        <f t="shared" si="81"/>
        <v/>
      </c>
      <c r="J1029" s="32"/>
      <c r="K1029" s="24" t="str">
        <f t="shared" si="79"/>
        <v/>
      </c>
      <c r="R1029" s="24" t="str">
        <f t="shared" si="82"/>
        <v/>
      </c>
      <c r="S1029" s="24" t="str">
        <f t="shared" si="83"/>
        <v/>
      </c>
      <c r="T1029" t="str">
        <f t="shared" si="80"/>
        <v/>
      </c>
    </row>
    <row r="1030" spans="1:20">
      <c r="A1030" s="22" t="s">
        <v>1124</v>
      </c>
      <c r="H1030" s="22" t="str">
        <f t="shared" si="81"/>
        <v/>
      </c>
      <c r="J1030" s="32"/>
      <c r="K1030" s="24" t="str">
        <f t="shared" si="79"/>
        <v/>
      </c>
      <c r="R1030" s="24" t="str">
        <f t="shared" si="82"/>
        <v/>
      </c>
      <c r="S1030" s="24" t="str">
        <f t="shared" si="83"/>
        <v/>
      </c>
      <c r="T1030" t="str">
        <f t="shared" si="80"/>
        <v/>
      </c>
    </row>
    <row r="1031" spans="1:20">
      <c r="A1031" s="22" t="s">
        <v>1125</v>
      </c>
      <c r="H1031" s="22" t="str">
        <f t="shared" si="81"/>
        <v/>
      </c>
      <c r="J1031" s="32"/>
      <c r="K1031" s="24" t="str">
        <f t="shared" si="79"/>
        <v/>
      </c>
      <c r="R1031" s="24" t="str">
        <f t="shared" si="82"/>
        <v/>
      </c>
      <c r="S1031" s="24" t="str">
        <f t="shared" si="83"/>
        <v/>
      </c>
      <c r="T1031" t="str">
        <f t="shared" si="80"/>
        <v/>
      </c>
    </row>
    <row r="1032" spans="1:20">
      <c r="A1032" s="22" t="s">
        <v>1126</v>
      </c>
      <c r="H1032" s="22" t="str">
        <f t="shared" si="81"/>
        <v/>
      </c>
      <c r="J1032" s="32"/>
      <c r="K1032" s="24" t="str">
        <f t="shared" si="79"/>
        <v/>
      </c>
      <c r="R1032" s="24" t="str">
        <f t="shared" si="82"/>
        <v/>
      </c>
      <c r="S1032" s="24" t="str">
        <f t="shared" si="83"/>
        <v/>
      </c>
      <c r="T1032" t="str">
        <f t="shared" si="80"/>
        <v/>
      </c>
    </row>
    <row r="1033" spans="1:20">
      <c r="A1033" s="22" t="s">
        <v>1127</v>
      </c>
      <c r="H1033" s="22" t="str">
        <f t="shared" si="81"/>
        <v/>
      </c>
      <c r="J1033" s="32"/>
      <c r="K1033" s="24" t="str">
        <f t="shared" ref="K1033:K1084" si="84">IF(I1033="","",IF(I1033="ENTRADA",ABS(J1033),-ABS(J1033)))</f>
        <v/>
      </c>
      <c r="R1033" s="24" t="str">
        <f t="shared" si="82"/>
        <v/>
      </c>
      <c r="S1033" s="24" t="str">
        <f t="shared" si="83"/>
        <v/>
      </c>
      <c r="T1033" t="str">
        <f t="shared" si="80"/>
        <v/>
      </c>
    </row>
    <row r="1034" spans="1:20">
      <c r="A1034" s="22" t="s">
        <v>1128</v>
      </c>
      <c r="H1034" s="22" t="str">
        <f t="shared" si="81"/>
        <v/>
      </c>
      <c r="J1034" s="32"/>
      <c r="K1034" s="24" t="str">
        <f t="shared" si="84"/>
        <v/>
      </c>
      <c r="R1034" s="24" t="str">
        <f t="shared" si="82"/>
        <v/>
      </c>
      <c r="S1034" s="24" t="str">
        <f t="shared" si="83"/>
        <v/>
      </c>
      <c r="T1034" t="str">
        <f t="shared" si="80"/>
        <v/>
      </c>
    </row>
    <row r="1035" spans="1:20">
      <c r="A1035" s="22" t="s">
        <v>1129</v>
      </c>
      <c r="H1035" s="22" t="str">
        <f t="shared" si="81"/>
        <v/>
      </c>
      <c r="J1035" s="32"/>
      <c r="K1035" s="24" t="str">
        <f t="shared" si="84"/>
        <v/>
      </c>
      <c r="R1035" s="24" t="str">
        <f t="shared" si="82"/>
        <v/>
      </c>
      <c r="S1035" s="24" t="str">
        <f t="shared" si="83"/>
        <v/>
      </c>
      <c r="T1035" t="str">
        <f t="shared" si="80"/>
        <v/>
      </c>
    </row>
    <row r="1036" spans="1:20">
      <c r="A1036" s="22" t="s">
        <v>1130</v>
      </c>
      <c r="H1036" s="22" t="str">
        <f t="shared" si="81"/>
        <v/>
      </c>
      <c r="J1036" s="32"/>
      <c r="K1036" s="24" t="str">
        <f t="shared" si="84"/>
        <v/>
      </c>
      <c r="R1036" s="24" t="str">
        <f t="shared" si="82"/>
        <v/>
      </c>
      <c r="S1036" s="24" t="str">
        <f t="shared" si="83"/>
        <v/>
      </c>
      <c r="T1036" t="str">
        <f t="shared" si="80"/>
        <v/>
      </c>
    </row>
    <row r="1037" spans="1:20">
      <c r="A1037" s="22" t="s">
        <v>1131</v>
      </c>
      <c r="H1037" s="22" t="str">
        <f t="shared" si="81"/>
        <v/>
      </c>
      <c r="J1037" s="32"/>
      <c r="K1037" s="24" t="str">
        <f t="shared" si="84"/>
        <v/>
      </c>
      <c r="R1037" s="24" t="str">
        <f t="shared" si="82"/>
        <v/>
      </c>
      <c r="S1037" s="24" t="str">
        <f t="shared" si="83"/>
        <v/>
      </c>
      <c r="T1037" t="str">
        <f t="shared" si="80"/>
        <v/>
      </c>
    </row>
    <row r="1038" spans="1:20">
      <c r="A1038" s="22" t="s">
        <v>1132</v>
      </c>
      <c r="H1038" s="22" t="str">
        <f t="shared" si="81"/>
        <v/>
      </c>
      <c r="J1038" s="32"/>
      <c r="K1038" s="24" t="str">
        <f t="shared" si="84"/>
        <v/>
      </c>
      <c r="R1038" s="24" t="str">
        <f t="shared" si="82"/>
        <v/>
      </c>
      <c r="S1038" s="24" t="str">
        <f t="shared" si="83"/>
        <v/>
      </c>
      <c r="T1038" t="str">
        <f t="shared" si="80"/>
        <v/>
      </c>
    </row>
    <row r="1039" spans="1:20">
      <c r="A1039" s="22" t="s">
        <v>1133</v>
      </c>
      <c r="H1039" s="22" t="str">
        <f t="shared" si="81"/>
        <v/>
      </c>
      <c r="J1039" s="32"/>
      <c r="K1039" s="24" t="str">
        <f t="shared" si="84"/>
        <v/>
      </c>
      <c r="R1039" s="24" t="str">
        <f t="shared" si="82"/>
        <v/>
      </c>
      <c r="S1039" s="24" t="str">
        <f t="shared" si="83"/>
        <v/>
      </c>
      <c r="T1039" t="str">
        <f t="shared" ref="T1039:T1102" si="85">IF(OR(C1039="",I1039&lt;&gt;"ENTRADA"),"",TEXT(B1039,"AAMMDD")&amp;"-"&amp;TEXT(VALUE(SUBSTITUTE(A1039,"MOV-","")),"000"))</f>
        <v/>
      </c>
    </row>
    <row r="1040" spans="1:20">
      <c r="A1040" s="22" t="s">
        <v>1134</v>
      </c>
      <c r="H1040" s="22" t="str">
        <f t="shared" ref="H1040:H1103" si="86">+T1040</f>
        <v/>
      </c>
      <c r="J1040" s="32"/>
      <c r="K1040" s="24" t="str">
        <f t="shared" si="84"/>
        <v/>
      </c>
      <c r="R1040" s="24" t="str">
        <f t="shared" ref="R1040:R1103" si="87">IF(H1040="","",H1040&amp;I1040)</f>
        <v/>
      </c>
      <c r="S1040" s="24" t="str">
        <f t="shared" ref="S1040:S1103" si="88">IF(C1040="","",C1040&amp;I1040)</f>
        <v/>
      </c>
      <c r="T1040" t="str">
        <f t="shared" si="85"/>
        <v/>
      </c>
    </row>
    <row r="1041" spans="1:20">
      <c r="A1041" s="22" t="s">
        <v>1135</v>
      </c>
      <c r="H1041" s="22" t="str">
        <f t="shared" si="86"/>
        <v/>
      </c>
      <c r="J1041" s="32"/>
      <c r="K1041" s="24" t="str">
        <f t="shared" si="84"/>
        <v/>
      </c>
      <c r="R1041" s="24" t="str">
        <f t="shared" si="87"/>
        <v/>
      </c>
      <c r="S1041" s="24" t="str">
        <f t="shared" si="88"/>
        <v/>
      </c>
      <c r="T1041" t="str">
        <f t="shared" si="85"/>
        <v/>
      </c>
    </row>
    <row r="1042" spans="1:20">
      <c r="A1042" s="22" t="s">
        <v>1136</v>
      </c>
      <c r="H1042" s="22" t="str">
        <f t="shared" si="86"/>
        <v/>
      </c>
      <c r="J1042" s="32"/>
      <c r="K1042" s="24" t="str">
        <f t="shared" si="84"/>
        <v/>
      </c>
      <c r="R1042" s="24" t="str">
        <f t="shared" si="87"/>
        <v/>
      </c>
      <c r="S1042" s="24" t="str">
        <f t="shared" si="88"/>
        <v/>
      </c>
      <c r="T1042" t="str">
        <f t="shared" si="85"/>
        <v/>
      </c>
    </row>
    <row r="1043" spans="1:20">
      <c r="A1043" s="22" t="s">
        <v>1137</v>
      </c>
      <c r="H1043" s="22" t="str">
        <f t="shared" si="86"/>
        <v/>
      </c>
      <c r="J1043" s="32"/>
      <c r="K1043" s="24" t="str">
        <f t="shared" si="84"/>
        <v/>
      </c>
      <c r="R1043" s="24" t="str">
        <f t="shared" si="87"/>
        <v/>
      </c>
      <c r="S1043" s="24" t="str">
        <f t="shared" si="88"/>
        <v/>
      </c>
      <c r="T1043" t="str">
        <f t="shared" si="85"/>
        <v/>
      </c>
    </row>
    <row r="1044" spans="1:20">
      <c r="A1044" s="22" t="s">
        <v>1138</v>
      </c>
      <c r="H1044" s="22" t="str">
        <f t="shared" si="86"/>
        <v/>
      </c>
      <c r="J1044" s="32"/>
      <c r="K1044" s="24" t="str">
        <f t="shared" si="84"/>
        <v/>
      </c>
      <c r="R1044" s="24" t="str">
        <f t="shared" si="87"/>
        <v/>
      </c>
      <c r="S1044" s="24" t="str">
        <f t="shared" si="88"/>
        <v/>
      </c>
      <c r="T1044" t="str">
        <f t="shared" si="85"/>
        <v/>
      </c>
    </row>
    <row r="1045" spans="1:20">
      <c r="A1045" s="22" t="s">
        <v>1139</v>
      </c>
      <c r="H1045" s="22" t="str">
        <f t="shared" si="86"/>
        <v/>
      </c>
      <c r="J1045" s="32"/>
      <c r="K1045" s="24" t="str">
        <f t="shared" si="84"/>
        <v/>
      </c>
      <c r="R1045" s="24" t="str">
        <f t="shared" si="87"/>
        <v/>
      </c>
      <c r="S1045" s="24" t="str">
        <f t="shared" si="88"/>
        <v/>
      </c>
      <c r="T1045" t="str">
        <f t="shared" si="85"/>
        <v/>
      </c>
    </row>
    <row r="1046" spans="1:20">
      <c r="A1046" s="22" t="s">
        <v>1140</v>
      </c>
      <c r="H1046" s="22" t="str">
        <f t="shared" si="86"/>
        <v/>
      </c>
      <c r="J1046" s="32"/>
      <c r="K1046" s="24" t="str">
        <f t="shared" si="84"/>
        <v/>
      </c>
      <c r="R1046" s="24" t="str">
        <f t="shared" si="87"/>
        <v/>
      </c>
      <c r="S1046" s="24" t="str">
        <f t="shared" si="88"/>
        <v/>
      </c>
      <c r="T1046" t="str">
        <f t="shared" si="85"/>
        <v/>
      </c>
    </row>
    <row r="1047" spans="1:20">
      <c r="A1047" s="22" t="s">
        <v>1141</v>
      </c>
      <c r="H1047" s="22" t="str">
        <f t="shared" si="86"/>
        <v/>
      </c>
      <c r="J1047" s="32"/>
      <c r="K1047" s="24" t="str">
        <f t="shared" si="84"/>
        <v/>
      </c>
      <c r="R1047" s="24" t="str">
        <f t="shared" si="87"/>
        <v/>
      </c>
      <c r="S1047" s="24" t="str">
        <f t="shared" si="88"/>
        <v/>
      </c>
      <c r="T1047" t="str">
        <f t="shared" si="85"/>
        <v/>
      </c>
    </row>
    <row r="1048" spans="1:20">
      <c r="A1048" s="22" t="s">
        <v>1142</v>
      </c>
      <c r="H1048" s="22" t="str">
        <f t="shared" si="86"/>
        <v/>
      </c>
      <c r="J1048" s="32"/>
      <c r="K1048" s="24" t="str">
        <f t="shared" si="84"/>
        <v/>
      </c>
      <c r="R1048" s="24" t="str">
        <f t="shared" si="87"/>
        <v/>
      </c>
      <c r="S1048" s="24" t="str">
        <f t="shared" si="88"/>
        <v/>
      </c>
      <c r="T1048" t="str">
        <f t="shared" si="85"/>
        <v/>
      </c>
    </row>
    <row r="1049" spans="1:20">
      <c r="A1049" s="22" t="s">
        <v>1143</v>
      </c>
      <c r="H1049" s="22" t="str">
        <f t="shared" si="86"/>
        <v/>
      </c>
      <c r="J1049" s="32"/>
      <c r="K1049" s="24" t="str">
        <f t="shared" si="84"/>
        <v/>
      </c>
      <c r="R1049" s="24" t="str">
        <f t="shared" si="87"/>
        <v/>
      </c>
      <c r="S1049" s="24" t="str">
        <f t="shared" si="88"/>
        <v/>
      </c>
      <c r="T1049" t="str">
        <f t="shared" si="85"/>
        <v/>
      </c>
    </row>
    <row r="1050" spans="1:20">
      <c r="A1050" s="22" t="s">
        <v>1144</v>
      </c>
      <c r="H1050" s="22" t="str">
        <f t="shared" si="86"/>
        <v/>
      </c>
      <c r="J1050" s="32"/>
      <c r="K1050" s="24" t="str">
        <f t="shared" si="84"/>
        <v/>
      </c>
      <c r="R1050" s="24" t="str">
        <f t="shared" si="87"/>
        <v/>
      </c>
      <c r="S1050" s="24" t="str">
        <f t="shared" si="88"/>
        <v/>
      </c>
      <c r="T1050" t="str">
        <f t="shared" si="85"/>
        <v/>
      </c>
    </row>
    <row r="1051" spans="1:20">
      <c r="A1051" s="22" t="s">
        <v>1145</v>
      </c>
      <c r="H1051" s="22" t="str">
        <f t="shared" si="86"/>
        <v/>
      </c>
      <c r="J1051" s="32"/>
      <c r="K1051" s="24" t="str">
        <f t="shared" si="84"/>
        <v/>
      </c>
      <c r="R1051" s="24" t="str">
        <f t="shared" si="87"/>
        <v/>
      </c>
      <c r="S1051" s="24" t="str">
        <f t="shared" si="88"/>
        <v/>
      </c>
      <c r="T1051" t="str">
        <f t="shared" si="85"/>
        <v/>
      </c>
    </row>
    <row r="1052" spans="1:20">
      <c r="A1052" s="22" t="s">
        <v>1146</v>
      </c>
      <c r="H1052" s="22" t="str">
        <f t="shared" si="86"/>
        <v/>
      </c>
      <c r="J1052" s="32"/>
      <c r="K1052" s="24" t="str">
        <f t="shared" si="84"/>
        <v/>
      </c>
      <c r="R1052" s="24" t="str">
        <f t="shared" si="87"/>
        <v/>
      </c>
      <c r="S1052" s="24" t="str">
        <f t="shared" si="88"/>
        <v/>
      </c>
      <c r="T1052" t="str">
        <f t="shared" si="85"/>
        <v/>
      </c>
    </row>
    <row r="1053" spans="1:20">
      <c r="A1053" s="22" t="s">
        <v>1147</v>
      </c>
      <c r="H1053" s="22" t="str">
        <f t="shared" si="86"/>
        <v/>
      </c>
      <c r="J1053" s="32"/>
      <c r="K1053" s="24" t="str">
        <f t="shared" si="84"/>
        <v/>
      </c>
      <c r="R1053" s="24" t="str">
        <f t="shared" si="87"/>
        <v/>
      </c>
      <c r="S1053" s="24" t="str">
        <f t="shared" si="88"/>
        <v/>
      </c>
      <c r="T1053" t="str">
        <f t="shared" si="85"/>
        <v/>
      </c>
    </row>
    <row r="1054" spans="1:20">
      <c r="A1054" s="22" t="s">
        <v>1148</v>
      </c>
      <c r="H1054" s="22" t="str">
        <f t="shared" si="86"/>
        <v/>
      </c>
      <c r="J1054" s="32"/>
      <c r="K1054" s="24" t="str">
        <f t="shared" si="84"/>
        <v/>
      </c>
      <c r="R1054" s="24" t="str">
        <f t="shared" si="87"/>
        <v/>
      </c>
      <c r="S1054" s="24" t="str">
        <f t="shared" si="88"/>
        <v/>
      </c>
      <c r="T1054" t="str">
        <f t="shared" si="85"/>
        <v/>
      </c>
    </row>
    <row r="1055" spans="1:20">
      <c r="A1055" s="22" t="s">
        <v>1149</v>
      </c>
      <c r="H1055" s="22" t="str">
        <f t="shared" si="86"/>
        <v/>
      </c>
      <c r="J1055" s="32"/>
      <c r="K1055" s="24" t="str">
        <f t="shared" si="84"/>
        <v/>
      </c>
      <c r="R1055" s="24" t="str">
        <f t="shared" si="87"/>
        <v/>
      </c>
      <c r="S1055" s="24" t="str">
        <f t="shared" si="88"/>
        <v/>
      </c>
      <c r="T1055" t="str">
        <f t="shared" si="85"/>
        <v/>
      </c>
    </row>
    <row r="1056" spans="1:20">
      <c r="A1056" s="22" t="s">
        <v>1150</v>
      </c>
      <c r="H1056" s="22" t="str">
        <f t="shared" si="86"/>
        <v/>
      </c>
      <c r="J1056" s="32"/>
      <c r="K1056" s="24" t="str">
        <f t="shared" si="84"/>
        <v/>
      </c>
      <c r="R1056" s="24" t="str">
        <f t="shared" si="87"/>
        <v/>
      </c>
      <c r="S1056" s="24" t="str">
        <f t="shared" si="88"/>
        <v/>
      </c>
      <c r="T1056" t="str">
        <f t="shared" si="85"/>
        <v/>
      </c>
    </row>
    <row r="1057" spans="1:20">
      <c r="A1057" s="22" t="s">
        <v>1151</v>
      </c>
      <c r="H1057" s="22" t="str">
        <f t="shared" si="86"/>
        <v/>
      </c>
      <c r="J1057" s="32"/>
      <c r="K1057" s="24" t="str">
        <f t="shared" si="84"/>
        <v/>
      </c>
      <c r="R1057" s="24" t="str">
        <f t="shared" si="87"/>
        <v/>
      </c>
      <c r="S1057" s="24" t="str">
        <f t="shared" si="88"/>
        <v/>
      </c>
      <c r="T1057" t="str">
        <f t="shared" si="85"/>
        <v/>
      </c>
    </row>
    <row r="1058" spans="1:20">
      <c r="A1058" s="22" t="s">
        <v>1152</v>
      </c>
      <c r="H1058" s="22" t="str">
        <f t="shared" si="86"/>
        <v/>
      </c>
      <c r="J1058" s="32"/>
      <c r="K1058" s="24" t="str">
        <f t="shared" si="84"/>
        <v/>
      </c>
      <c r="R1058" s="24" t="str">
        <f t="shared" si="87"/>
        <v/>
      </c>
      <c r="S1058" s="24" t="str">
        <f t="shared" si="88"/>
        <v/>
      </c>
      <c r="T1058" t="str">
        <f t="shared" si="85"/>
        <v/>
      </c>
    </row>
    <row r="1059" spans="1:20">
      <c r="A1059" s="22" t="s">
        <v>1153</v>
      </c>
      <c r="H1059" s="22" t="str">
        <f t="shared" si="86"/>
        <v/>
      </c>
      <c r="J1059" s="32"/>
      <c r="K1059" s="24" t="str">
        <f t="shared" si="84"/>
        <v/>
      </c>
      <c r="R1059" s="24" t="str">
        <f t="shared" si="87"/>
        <v/>
      </c>
      <c r="S1059" s="24" t="str">
        <f t="shared" si="88"/>
        <v/>
      </c>
      <c r="T1059" t="str">
        <f t="shared" si="85"/>
        <v/>
      </c>
    </row>
    <row r="1060" spans="1:20">
      <c r="A1060" s="22" t="s">
        <v>1154</v>
      </c>
      <c r="H1060" s="22" t="str">
        <f t="shared" si="86"/>
        <v/>
      </c>
      <c r="J1060" s="32"/>
      <c r="K1060" s="24" t="str">
        <f t="shared" si="84"/>
        <v/>
      </c>
      <c r="R1060" s="24" t="str">
        <f t="shared" si="87"/>
        <v/>
      </c>
      <c r="S1060" s="24" t="str">
        <f t="shared" si="88"/>
        <v/>
      </c>
      <c r="T1060" t="str">
        <f t="shared" si="85"/>
        <v/>
      </c>
    </row>
    <row r="1061" spans="1:20">
      <c r="A1061" s="22" t="s">
        <v>1155</v>
      </c>
      <c r="H1061" s="22" t="str">
        <f t="shared" si="86"/>
        <v/>
      </c>
      <c r="J1061" s="32"/>
      <c r="K1061" s="24" t="str">
        <f t="shared" si="84"/>
        <v/>
      </c>
      <c r="R1061" s="24" t="str">
        <f t="shared" si="87"/>
        <v/>
      </c>
      <c r="S1061" s="24" t="str">
        <f t="shared" si="88"/>
        <v/>
      </c>
      <c r="T1061" t="str">
        <f t="shared" si="85"/>
        <v/>
      </c>
    </row>
    <row r="1062" spans="1:20">
      <c r="A1062" s="22" t="s">
        <v>1156</v>
      </c>
      <c r="H1062" s="22" t="str">
        <f t="shared" si="86"/>
        <v/>
      </c>
      <c r="J1062" s="32"/>
      <c r="K1062" s="24" t="str">
        <f t="shared" si="84"/>
        <v/>
      </c>
      <c r="R1062" s="24" t="str">
        <f t="shared" si="87"/>
        <v/>
      </c>
      <c r="S1062" s="24" t="str">
        <f t="shared" si="88"/>
        <v/>
      </c>
      <c r="T1062" t="str">
        <f t="shared" si="85"/>
        <v/>
      </c>
    </row>
    <row r="1063" spans="1:20">
      <c r="A1063" s="22" t="s">
        <v>1157</v>
      </c>
      <c r="H1063" s="22" t="str">
        <f t="shared" si="86"/>
        <v/>
      </c>
      <c r="J1063" s="32"/>
      <c r="K1063" s="24" t="str">
        <f t="shared" si="84"/>
        <v/>
      </c>
      <c r="R1063" s="24" t="str">
        <f t="shared" si="87"/>
        <v/>
      </c>
      <c r="S1063" s="24" t="str">
        <f t="shared" si="88"/>
        <v/>
      </c>
      <c r="T1063" t="str">
        <f t="shared" si="85"/>
        <v/>
      </c>
    </row>
    <row r="1064" spans="1:20">
      <c r="A1064" s="22" t="s">
        <v>1158</v>
      </c>
      <c r="H1064" s="22" t="str">
        <f t="shared" si="86"/>
        <v/>
      </c>
      <c r="J1064" s="32"/>
      <c r="K1064" s="24" t="str">
        <f t="shared" si="84"/>
        <v/>
      </c>
      <c r="R1064" s="24" t="str">
        <f t="shared" si="87"/>
        <v/>
      </c>
      <c r="S1064" s="24" t="str">
        <f t="shared" si="88"/>
        <v/>
      </c>
      <c r="T1064" t="str">
        <f t="shared" si="85"/>
        <v/>
      </c>
    </row>
    <row r="1065" spans="1:20">
      <c r="A1065" s="22" t="s">
        <v>1159</v>
      </c>
      <c r="H1065" s="22" t="str">
        <f t="shared" si="86"/>
        <v/>
      </c>
      <c r="J1065" s="32"/>
      <c r="K1065" s="24" t="str">
        <f t="shared" si="84"/>
        <v/>
      </c>
      <c r="R1065" s="24" t="str">
        <f t="shared" si="87"/>
        <v/>
      </c>
      <c r="S1065" s="24" t="str">
        <f t="shared" si="88"/>
        <v/>
      </c>
      <c r="T1065" t="str">
        <f t="shared" si="85"/>
        <v/>
      </c>
    </row>
    <row r="1066" spans="1:20">
      <c r="A1066" s="22" t="s">
        <v>1160</v>
      </c>
      <c r="H1066" s="22" t="str">
        <f t="shared" si="86"/>
        <v/>
      </c>
      <c r="J1066" s="32"/>
      <c r="K1066" s="24" t="str">
        <f t="shared" si="84"/>
        <v/>
      </c>
      <c r="R1066" s="24" t="str">
        <f t="shared" si="87"/>
        <v/>
      </c>
      <c r="S1066" s="24" t="str">
        <f t="shared" si="88"/>
        <v/>
      </c>
      <c r="T1066" t="str">
        <f t="shared" si="85"/>
        <v/>
      </c>
    </row>
    <row r="1067" spans="1:20">
      <c r="A1067" s="22" t="s">
        <v>1161</v>
      </c>
      <c r="H1067" s="22" t="str">
        <f t="shared" si="86"/>
        <v/>
      </c>
      <c r="J1067" s="32"/>
      <c r="K1067" s="24" t="str">
        <f t="shared" si="84"/>
        <v/>
      </c>
      <c r="R1067" s="24" t="str">
        <f t="shared" si="87"/>
        <v/>
      </c>
      <c r="S1067" s="24" t="str">
        <f t="shared" si="88"/>
        <v/>
      </c>
      <c r="T1067" t="str">
        <f t="shared" si="85"/>
        <v/>
      </c>
    </row>
    <row r="1068" spans="1:20">
      <c r="A1068" s="22" t="s">
        <v>1162</v>
      </c>
      <c r="H1068" s="22" t="str">
        <f t="shared" si="86"/>
        <v/>
      </c>
      <c r="J1068" s="32"/>
      <c r="K1068" s="24" t="str">
        <f t="shared" si="84"/>
        <v/>
      </c>
      <c r="R1068" s="24" t="str">
        <f t="shared" si="87"/>
        <v/>
      </c>
      <c r="S1068" s="24" t="str">
        <f t="shared" si="88"/>
        <v/>
      </c>
      <c r="T1068" t="str">
        <f t="shared" si="85"/>
        <v/>
      </c>
    </row>
    <row r="1069" spans="1:20">
      <c r="A1069" s="22" t="s">
        <v>1163</v>
      </c>
      <c r="H1069" s="22" t="str">
        <f t="shared" si="86"/>
        <v/>
      </c>
      <c r="J1069" s="32"/>
      <c r="K1069" s="24" t="str">
        <f t="shared" si="84"/>
        <v/>
      </c>
      <c r="R1069" s="24" t="str">
        <f t="shared" si="87"/>
        <v/>
      </c>
      <c r="S1069" s="24" t="str">
        <f t="shared" si="88"/>
        <v/>
      </c>
      <c r="T1069" t="str">
        <f t="shared" si="85"/>
        <v/>
      </c>
    </row>
    <row r="1070" spans="1:20">
      <c r="A1070" s="22" t="s">
        <v>1164</v>
      </c>
      <c r="H1070" s="22" t="str">
        <f t="shared" si="86"/>
        <v/>
      </c>
      <c r="J1070" s="32"/>
      <c r="K1070" s="24" t="str">
        <f t="shared" si="84"/>
        <v/>
      </c>
      <c r="R1070" s="24" t="str">
        <f t="shared" si="87"/>
        <v/>
      </c>
      <c r="S1070" s="24" t="str">
        <f t="shared" si="88"/>
        <v/>
      </c>
      <c r="T1070" t="str">
        <f t="shared" si="85"/>
        <v/>
      </c>
    </row>
    <row r="1071" spans="1:20">
      <c r="A1071" s="22" t="s">
        <v>1165</v>
      </c>
      <c r="H1071" s="22" t="str">
        <f t="shared" si="86"/>
        <v/>
      </c>
      <c r="J1071" s="32"/>
      <c r="K1071" s="24" t="str">
        <f t="shared" si="84"/>
        <v/>
      </c>
      <c r="R1071" s="24" t="str">
        <f t="shared" si="87"/>
        <v/>
      </c>
      <c r="S1071" s="24" t="str">
        <f t="shared" si="88"/>
        <v/>
      </c>
      <c r="T1071" t="str">
        <f t="shared" si="85"/>
        <v/>
      </c>
    </row>
    <row r="1072" spans="1:20">
      <c r="A1072" s="22" t="s">
        <v>1166</v>
      </c>
      <c r="H1072" s="22" t="str">
        <f t="shared" si="86"/>
        <v/>
      </c>
      <c r="J1072" s="32"/>
      <c r="K1072" s="24" t="str">
        <f t="shared" si="84"/>
        <v/>
      </c>
      <c r="R1072" s="24" t="str">
        <f t="shared" si="87"/>
        <v/>
      </c>
      <c r="S1072" s="24" t="str">
        <f t="shared" si="88"/>
        <v/>
      </c>
      <c r="T1072" t="str">
        <f t="shared" si="85"/>
        <v/>
      </c>
    </row>
    <row r="1073" spans="1:20">
      <c r="A1073" s="22" t="s">
        <v>1167</v>
      </c>
      <c r="H1073" s="22" t="str">
        <f t="shared" si="86"/>
        <v/>
      </c>
      <c r="J1073" s="32"/>
      <c r="K1073" s="24" t="str">
        <f t="shared" si="84"/>
        <v/>
      </c>
      <c r="R1073" s="24" t="str">
        <f t="shared" si="87"/>
        <v/>
      </c>
      <c r="S1073" s="24" t="str">
        <f t="shared" si="88"/>
        <v/>
      </c>
      <c r="T1073" t="str">
        <f t="shared" si="85"/>
        <v/>
      </c>
    </row>
    <row r="1074" spans="1:20">
      <c r="A1074" s="22" t="s">
        <v>1168</v>
      </c>
      <c r="H1074" s="22" t="str">
        <f t="shared" si="86"/>
        <v/>
      </c>
      <c r="J1074" s="32"/>
      <c r="K1074" s="24" t="str">
        <f t="shared" si="84"/>
        <v/>
      </c>
      <c r="R1074" s="24" t="str">
        <f t="shared" si="87"/>
        <v/>
      </c>
      <c r="S1074" s="24" t="str">
        <f t="shared" si="88"/>
        <v/>
      </c>
      <c r="T1074" t="str">
        <f t="shared" si="85"/>
        <v/>
      </c>
    </row>
    <row r="1075" spans="1:20">
      <c r="A1075" s="22" t="s">
        <v>1169</v>
      </c>
      <c r="H1075" s="22" t="str">
        <f t="shared" si="86"/>
        <v/>
      </c>
      <c r="J1075" s="32"/>
      <c r="K1075" s="24" t="str">
        <f t="shared" si="84"/>
        <v/>
      </c>
      <c r="R1075" s="24" t="str">
        <f t="shared" si="87"/>
        <v/>
      </c>
      <c r="S1075" s="24" t="str">
        <f t="shared" si="88"/>
        <v/>
      </c>
      <c r="T1075" t="str">
        <f t="shared" si="85"/>
        <v/>
      </c>
    </row>
    <row r="1076" spans="1:20">
      <c r="A1076" s="22" t="s">
        <v>1170</v>
      </c>
      <c r="H1076" s="22" t="str">
        <f t="shared" si="86"/>
        <v/>
      </c>
      <c r="J1076" s="32"/>
      <c r="K1076" s="24" t="str">
        <f t="shared" si="84"/>
        <v/>
      </c>
      <c r="R1076" s="24" t="str">
        <f t="shared" si="87"/>
        <v/>
      </c>
      <c r="S1076" s="24" t="str">
        <f t="shared" si="88"/>
        <v/>
      </c>
      <c r="T1076" t="str">
        <f t="shared" si="85"/>
        <v/>
      </c>
    </row>
    <row r="1077" spans="1:20">
      <c r="A1077" s="22" t="s">
        <v>1171</v>
      </c>
      <c r="H1077" s="22" t="str">
        <f t="shared" si="86"/>
        <v/>
      </c>
      <c r="J1077" s="32"/>
      <c r="K1077" s="24" t="str">
        <f t="shared" si="84"/>
        <v/>
      </c>
      <c r="R1077" s="24" t="str">
        <f t="shared" si="87"/>
        <v/>
      </c>
      <c r="S1077" s="24" t="str">
        <f t="shared" si="88"/>
        <v/>
      </c>
      <c r="T1077" t="str">
        <f t="shared" si="85"/>
        <v/>
      </c>
    </row>
    <row r="1078" spans="1:20">
      <c r="A1078" s="22" t="s">
        <v>1172</v>
      </c>
      <c r="H1078" s="22" t="str">
        <f t="shared" si="86"/>
        <v/>
      </c>
      <c r="J1078" s="32"/>
      <c r="K1078" s="24" t="str">
        <f t="shared" si="84"/>
        <v/>
      </c>
      <c r="R1078" s="24" t="str">
        <f t="shared" si="87"/>
        <v/>
      </c>
      <c r="S1078" s="24" t="str">
        <f t="shared" si="88"/>
        <v/>
      </c>
      <c r="T1078" t="str">
        <f t="shared" si="85"/>
        <v/>
      </c>
    </row>
    <row r="1079" spans="1:20">
      <c r="A1079" s="22" t="s">
        <v>1173</v>
      </c>
      <c r="H1079" s="22" t="str">
        <f t="shared" si="86"/>
        <v/>
      </c>
      <c r="J1079" s="32"/>
      <c r="K1079" s="24" t="str">
        <f t="shared" si="84"/>
        <v/>
      </c>
      <c r="R1079" s="24" t="str">
        <f t="shared" si="87"/>
        <v/>
      </c>
      <c r="S1079" s="24" t="str">
        <f t="shared" si="88"/>
        <v/>
      </c>
      <c r="T1079" t="str">
        <f t="shared" si="85"/>
        <v/>
      </c>
    </row>
    <row r="1080" spans="1:20">
      <c r="A1080" s="22" t="s">
        <v>1174</v>
      </c>
      <c r="H1080" s="22" t="str">
        <f t="shared" si="86"/>
        <v/>
      </c>
      <c r="J1080" s="32"/>
      <c r="K1080" s="24" t="str">
        <f t="shared" si="84"/>
        <v/>
      </c>
      <c r="R1080" s="24" t="str">
        <f t="shared" si="87"/>
        <v/>
      </c>
      <c r="S1080" s="24" t="str">
        <f t="shared" si="88"/>
        <v/>
      </c>
      <c r="T1080" t="str">
        <f t="shared" si="85"/>
        <v/>
      </c>
    </row>
    <row r="1081" spans="1:20">
      <c r="A1081" s="22" t="s">
        <v>1175</v>
      </c>
      <c r="H1081" s="22" t="str">
        <f t="shared" si="86"/>
        <v/>
      </c>
      <c r="J1081" s="32"/>
      <c r="K1081" s="24" t="str">
        <f t="shared" si="84"/>
        <v/>
      </c>
      <c r="R1081" s="24" t="str">
        <f t="shared" si="87"/>
        <v/>
      </c>
      <c r="S1081" s="24" t="str">
        <f t="shared" si="88"/>
        <v/>
      </c>
      <c r="T1081" t="str">
        <f t="shared" si="85"/>
        <v/>
      </c>
    </row>
    <row r="1082" spans="1:20">
      <c r="A1082" s="22" t="s">
        <v>1176</v>
      </c>
      <c r="H1082" s="22" t="str">
        <f t="shared" si="86"/>
        <v/>
      </c>
      <c r="J1082" s="32"/>
      <c r="K1082" s="24" t="str">
        <f t="shared" si="84"/>
        <v/>
      </c>
      <c r="R1082" s="24" t="str">
        <f t="shared" si="87"/>
        <v/>
      </c>
      <c r="S1082" s="24" t="str">
        <f t="shared" si="88"/>
        <v/>
      </c>
      <c r="T1082" t="str">
        <f t="shared" si="85"/>
        <v/>
      </c>
    </row>
    <row r="1083" spans="1:20">
      <c r="A1083" s="22" t="s">
        <v>1177</v>
      </c>
      <c r="H1083" s="22" t="str">
        <f t="shared" si="86"/>
        <v/>
      </c>
      <c r="J1083" s="32"/>
      <c r="K1083" s="24" t="str">
        <f t="shared" si="84"/>
        <v/>
      </c>
      <c r="R1083" s="24" t="str">
        <f t="shared" si="87"/>
        <v/>
      </c>
      <c r="S1083" s="24" t="str">
        <f t="shared" si="88"/>
        <v/>
      </c>
      <c r="T1083" t="str">
        <f t="shared" si="85"/>
        <v/>
      </c>
    </row>
    <row r="1084" spans="1:20">
      <c r="A1084" s="22" t="s">
        <v>1178</v>
      </c>
      <c r="H1084" s="22" t="str">
        <f t="shared" si="86"/>
        <v/>
      </c>
      <c r="J1084" s="32"/>
      <c r="K1084" s="24" t="str">
        <f t="shared" si="84"/>
        <v/>
      </c>
      <c r="R1084" s="24" t="str">
        <f t="shared" si="87"/>
        <v/>
      </c>
      <c r="S1084" s="24" t="str">
        <f t="shared" si="88"/>
        <v/>
      </c>
      <c r="T1084" t="str">
        <f t="shared" si="85"/>
        <v/>
      </c>
    </row>
    <row r="1085" spans="1:20">
      <c r="A1085" s="22" t="s">
        <v>1179</v>
      </c>
      <c r="H1085" s="22" t="str">
        <f t="shared" si="86"/>
        <v/>
      </c>
      <c r="J1085" s="32"/>
      <c r="R1085" s="24" t="str">
        <f t="shared" si="87"/>
        <v/>
      </c>
      <c r="S1085" s="24" t="str">
        <f t="shared" si="88"/>
        <v/>
      </c>
      <c r="T1085" t="str">
        <f t="shared" si="85"/>
        <v/>
      </c>
    </row>
    <row r="1086" spans="1:20">
      <c r="A1086" s="22" t="s">
        <v>1180</v>
      </c>
      <c r="H1086" s="22" t="str">
        <f t="shared" si="86"/>
        <v/>
      </c>
      <c r="J1086" s="32"/>
      <c r="R1086" s="24" t="str">
        <f t="shared" si="87"/>
        <v/>
      </c>
      <c r="S1086" s="24" t="str">
        <f t="shared" si="88"/>
        <v/>
      </c>
      <c r="T1086" t="str">
        <f t="shared" si="85"/>
        <v/>
      </c>
    </row>
    <row r="1087" spans="1:20">
      <c r="A1087" s="22" t="s">
        <v>1181</v>
      </c>
      <c r="H1087" s="22" t="str">
        <f t="shared" si="86"/>
        <v/>
      </c>
      <c r="J1087" s="32"/>
      <c r="R1087" s="24" t="str">
        <f t="shared" si="87"/>
        <v/>
      </c>
      <c r="S1087" s="24" t="str">
        <f t="shared" si="88"/>
        <v/>
      </c>
      <c r="T1087" t="str">
        <f t="shared" si="85"/>
        <v/>
      </c>
    </row>
    <row r="1088" spans="1:20">
      <c r="A1088" s="22" t="s">
        <v>1182</v>
      </c>
      <c r="H1088" s="22" t="str">
        <f t="shared" si="86"/>
        <v/>
      </c>
      <c r="J1088" s="32"/>
      <c r="R1088" s="24" t="str">
        <f t="shared" si="87"/>
        <v/>
      </c>
      <c r="S1088" s="24" t="str">
        <f t="shared" si="88"/>
        <v/>
      </c>
      <c r="T1088" t="str">
        <f t="shared" si="85"/>
        <v/>
      </c>
    </row>
    <row r="1089" spans="1:20">
      <c r="A1089" s="22" t="s">
        <v>1183</v>
      </c>
      <c r="H1089" s="22" t="str">
        <f t="shared" si="86"/>
        <v/>
      </c>
      <c r="J1089" s="32"/>
      <c r="R1089" s="24" t="str">
        <f t="shared" si="87"/>
        <v/>
      </c>
      <c r="S1089" s="24" t="str">
        <f t="shared" si="88"/>
        <v/>
      </c>
      <c r="T1089" t="str">
        <f t="shared" si="85"/>
        <v/>
      </c>
    </row>
    <row r="1090" spans="1:20">
      <c r="A1090" s="22" t="s">
        <v>1184</v>
      </c>
      <c r="H1090" s="22" t="str">
        <f t="shared" si="86"/>
        <v/>
      </c>
      <c r="J1090" s="32"/>
      <c r="R1090" s="24" t="str">
        <f t="shared" si="87"/>
        <v/>
      </c>
      <c r="S1090" s="24" t="str">
        <f t="shared" si="88"/>
        <v/>
      </c>
      <c r="T1090" t="str">
        <f t="shared" si="85"/>
        <v/>
      </c>
    </row>
    <row r="1091" spans="1:20">
      <c r="A1091" s="22" t="s">
        <v>1185</v>
      </c>
      <c r="H1091" s="22" t="str">
        <f t="shared" si="86"/>
        <v/>
      </c>
      <c r="J1091" s="32"/>
      <c r="R1091" s="24" t="str">
        <f t="shared" si="87"/>
        <v/>
      </c>
      <c r="S1091" s="24" t="str">
        <f t="shared" si="88"/>
        <v/>
      </c>
      <c r="T1091" t="str">
        <f t="shared" si="85"/>
        <v/>
      </c>
    </row>
    <row r="1092" spans="1:20">
      <c r="A1092" s="22" t="s">
        <v>1186</v>
      </c>
      <c r="H1092" s="22" t="str">
        <f t="shared" si="86"/>
        <v/>
      </c>
      <c r="J1092" s="32"/>
      <c r="R1092" s="24" t="str">
        <f t="shared" si="87"/>
        <v/>
      </c>
      <c r="S1092" s="24" t="str">
        <f t="shared" si="88"/>
        <v/>
      </c>
      <c r="T1092" t="str">
        <f t="shared" si="85"/>
        <v/>
      </c>
    </row>
    <row r="1093" spans="1:20">
      <c r="A1093" s="22" t="s">
        <v>1187</v>
      </c>
      <c r="H1093" s="22" t="str">
        <f t="shared" si="86"/>
        <v/>
      </c>
      <c r="J1093" s="32"/>
      <c r="R1093" s="24" t="str">
        <f t="shared" si="87"/>
        <v/>
      </c>
      <c r="S1093" s="24" t="str">
        <f t="shared" si="88"/>
        <v/>
      </c>
      <c r="T1093" t="str">
        <f t="shared" si="85"/>
        <v/>
      </c>
    </row>
    <row r="1094" spans="1:20">
      <c r="A1094" s="22" t="s">
        <v>1188</v>
      </c>
      <c r="H1094" s="22" t="str">
        <f t="shared" si="86"/>
        <v/>
      </c>
      <c r="J1094" s="32"/>
      <c r="R1094" s="24" t="str">
        <f t="shared" si="87"/>
        <v/>
      </c>
      <c r="S1094" s="24" t="str">
        <f t="shared" si="88"/>
        <v/>
      </c>
      <c r="T1094" t="str">
        <f t="shared" si="85"/>
        <v/>
      </c>
    </row>
    <row r="1095" spans="1:20">
      <c r="A1095" s="22" t="s">
        <v>1189</v>
      </c>
      <c r="H1095" s="22" t="str">
        <f t="shared" si="86"/>
        <v/>
      </c>
      <c r="J1095" s="32"/>
      <c r="R1095" s="24" t="str">
        <f t="shared" si="87"/>
        <v/>
      </c>
      <c r="S1095" s="24" t="str">
        <f t="shared" si="88"/>
        <v/>
      </c>
      <c r="T1095" t="str">
        <f t="shared" si="85"/>
        <v/>
      </c>
    </row>
    <row r="1096" spans="1:20">
      <c r="A1096" s="22" t="s">
        <v>1190</v>
      </c>
      <c r="H1096" s="22" t="str">
        <f t="shared" si="86"/>
        <v/>
      </c>
      <c r="J1096" s="32"/>
      <c r="R1096" s="24" t="str">
        <f t="shared" si="87"/>
        <v/>
      </c>
      <c r="S1096" s="24" t="str">
        <f t="shared" si="88"/>
        <v/>
      </c>
      <c r="T1096" t="str">
        <f t="shared" si="85"/>
        <v/>
      </c>
    </row>
    <row r="1097" spans="1:20">
      <c r="A1097" s="22" t="s">
        <v>1191</v>
      </c>
      <c r="H1097" s="22" t="str">
        <f t="shared" si="86"/>
        <v/>
      </c>
      <c r="J1097" s="32"/>
      <c r="R1097" s="24" t="str">
        <f t="shared" si="87"/>
        <v/>
      </c>
      <c r="S1097" s="24" t="str">
        <f t="shared" si="88"/>
        <v/>
      </c>
      <c r="T1097" t="str">
        <f t="shared" si="85"/>
        <v/>
      </c>
    </row>
    <row r="1098" spans="1:20">
      <c r="A1098" s="22" t="s">
        <v>1192</v>
      </c>
      <c r="H1098" s="22" t="str">
        <f t="shared" si="86"/>
        <v/>
      </c>
      <c r="J1098" s="32"/>
      <c r="R1098" s="24" t="str">
        <f t="shared" si="87"/>
        <v/>
      </c>
      <c r="S1098" s="24" t="str">
        <f t="shared" si="88"/>
        <v/>
      </c>
      <c r="T1098" t="str">
        <f t="shared" si="85"/>
        <v/>
      </c>
    </row>
    <row r="1099" spans="1:20">
      <c r="A1099" s="22" t="s">
        <v>1193</v>
      </c>
      <c r="H1099" s="22" t="str">
        <f t="shared" si="86"/>
        <v/>
      </c>
      <c r="J1099" s="32"/>
      <c r="R1099" s="24" t="str">
        <f t="shared" si="87"/>
        <v/>
      </c>
      <c r="S1099" s="24" t="str">
        <f t="shared" si="88"/>
        <v/>
      </c>
      <c r="T1099" t="str">
        <f t="shared" si="85"/>
        <v/>
      </c>
    </row>
    <row r="1100" spans="1:20">
      <c r="A1100" s="22" t="s">
        <v>1194</v>
      </c>
      <c r="H1100" s="22" t="str">
        <f t="shared" si="86"/>
        <v/>
      </c>
      <c r="J1100" s="32"/>
      <c r="R1100" s="24" t="str">
        <f t="shared" si="87"/>
        <v/>
      </c>
      <c r="S1100" s="24" t="str">
        <f t="shared" si="88"/>
        <v/>
      </c>
      <c r="T1100" t="str">
        <f t="shared" si="85"/>
        <v/>
      </c>
    </row>
    <row r="1101" spans="1:20">
      <c r="A1101" s="22" t="s">
        <v>1195</v>
      </c>
      <c r="H1101" s="22" t="str">
        <f t="shared" si="86"/>
        <v/>
      </c>
      <c r="J1101" s="32"/>
      <c r="R1101" s="24" t="str">
        <f t="shared" si="87"/>
        <v/>
      </c>
      <c r="S1101" s="24" t="str">
        <f t="shared" si="88"/>
        <v/>
      </c>
      <c r="T1101" t="str">
        <f t="shared" si="85"/>
        <v/>
      </c>
    </row>
    <row r="1102" spans="1:20">
      <c r="A1102" s="22" t="s">
        <v>1196</v>
      </c>
      <c r="H1102" s="22" t="str">
        <f t="shared" si="86"/>
        <v/>
      </c>
      <c r="J1102" s="32"/>
      <c r="R1102" s="24" t="str">
        <f t="shared" si="87"/>
        <v/>
      </c>
      <c r="S1102" s="24" t="str">
        <f t="shared" si="88"/>
        <v/>
      </c>
      <c r="T1102" t="str">
        <f t="shared" si="85"/>
        <v/>
      </c>
    </row>
    <row r="1103" spans="1:20">
      <c r="A1103" s="22" t="s">
        <v>1197</v>
      </c>
      <c r="H1103" s="22" t="str">
        <f t="shared" si="86"/>
        <v/>
      </c>
      <c r="J1103" s="32"/>
      <c r="R1103" s="24" t="str">
        <f t="shared" si="87"/>
        <v/>
      </c>
      <c r="S1103" s="24" t="str">
        <f t="shared" si="88"/>
        <v/>
      </c>
      <c r="T1103" t="str">
        <f t="shared" ref="T1103:T1166" si="89">IF(OR(C1103="",I1103&lt;&gt;"ENTRADA"),"",TEXT(B1103,"AAMMDD")&amp;"-"&amp;TEXT(VALUE(SUBSTITUTE(A1103,"MOV-","")),"000"))</f>
        <v/>
      </c>
    </row>
    <row r="1104" spans="1:20">
      <c r="A1104" s="22" t="s">
        <v>1198</v>
      </c>
      <c r="H1104" s="22" t="str">
        <f t="shared" ref="H1104:H1167" si="90">+T1104</f>
        <v/>
      </c>
      <c r="J1104" s="32"/>
      <c r="R1104" s="24" t="str">
        <f t="shared" ref="R1104:R1167" si="91">IF(H1104="","",H1104&amp;I1104)</f>
        <v/>
      </c>
      <c r="S1104" s="24" t="str">
        <f t="shared" ref="S1104:S1167" si="92">IF(C1104="","",C1104&amp;I1104)</f>
        <v/>
      </c>
      <c r="T1104" t="str">
        <f t="shared" si="89"/>
        <v/>
      </c>
    </row>
    <row r="1105" spans="1:20">
      <c r="A1105" s="22" t="s">
        <v>1199</v>
      </c>
      <c r="H1105" s="22" t="str">
        <f t="shared" si="90"/>
        <v/>
      </c>
      <c r="J1105" s="32"/>
      <c r="R1105" s="24" t="str">
        <f t="shared" si="91"/>
        <v/>
      </c>
      <c r="S1105" s="24" t="str">
        <f t="shared" si="92"/>
        <v/>
      </c>
      <c r="T1105" t="str">
        <f t="shared" si="89"/>
        <v/>
      </c>
    </row>
    <row r="1106" spans="1:20">
      <c r="A1106" s="22" t="s">
        <v>1200</v>
      </c>
      <c r="H1106" s="22" t="str">
        <f t="shared" si="90"/>
        <v/>
      </c>
      <c r="J1106" s="32"/>
      <c r="R1106" s="24" t="str">
        <f t="shared" si="91"/>
        <v/>
      </c>
      <c r="S1106" s="24" t="str">
        <f t="shared" si="92"/>
        <v/>
      </c>
      <c r="T1106" t="str">
        <f t="shared" si="89"/>
        <v/>
      </c>
    </row>
    <row r="1107" spans="1:20">
      <c r="A1107" s="22" t="s">
        <v>1201</v>
      </c>
      <c r="H1107" s="22" t="str">
        <f t="shared" si="90"/>
        <v/>
      </c>
      <c r="J1107" s="32"/>
      <c r="R1107" s="24" t="str">
        <f t="shared" si="91"/>
        <v/>
      </c>
      <c r="S1107" s="24" t="str">
        <f t="shared" si="92"/>
        <v/>
      </c>
      <c r="T1107" t="str">
        <f t="shared" si="89"/>
        <v/>
      </c>
    </row>
    <row r="1108" spans="1:20">
      <c r="A1108" s="22" t="s">
        <v>1202</v>
      </c>
      <c r="H1108" s="22" t="str">
        <f t="shared" si="90"/>
        <v/>
      </c>
      <c r="J1108" s="32"/>
      <c r="R1108" s="24" t="str">
        <f t="shared" si="91"/>
        <v/>
      </c>
      <c r="S1108" s="24" t="str">
        <f t="shared" si="92"/>
        <v/>
      </c>
      <c r="T1108" t="str">
        <f t="shared" si="89"/>
        <v/>
      </c>
    </row>
    <row r="1109" spans="1:20">
      <c r="A1109" s="22" t="s">
        <v>1203</v>
      </c>
      <c r="H1109" s="22" t="str">
        <f t="shared" si="90"/>
        <v/>
      </c>
      <c r="J1109" s="32"/>
      <c r="R1109" s="24" t="str">
        <f t="shared" si="91"/>
        <v/>
      </c>
      <c r="S1109" s="24" t="str">
        <f t="shared" si="92"/>
        <v/>
      </c>
      <c r="T1109" t="str">
        <f t="shared" si="89"/>
        <v/>
      </c>
    </row>
    <row r="1110" spans="1:20">
      <c r="A1110" s="22" t="s">
        <v>1204</v>
      </c>
      <c r="H1110" s="22" t="str">
        <f t="shared" si="90"/>
        <v/>
      </c>
      <c r="J1110" s="32"/>
      <c r="R1110" s="24" t="str">
        <f t="shared" si="91"/>
        <v/>
      </c>
      <c r="S1110" s="24" t="str">
        <f t="shared" si="92"/>
        <v/>
      </c>
      <c r="T1110" t="str">
        <f t="shared" si="89"/>
        <v/>
      </c>
    </row>
    <row r="1111" spans="1:20">
      <c r="A1111" s="22" t="s">
        <v>1205</v>
      </c>
      <c r="H1111" s="22" t="str">
        <f t="shared" si="90"/>
        <v/>
      </c>
      <c r="J1111" s="32"/>
      <c r="R1111" s="24" t="str">
        <f t="shared" si="91"/>
        <v/>
      </c>
      <c r="S1111" s="24" t="str">
        <f t="shared" si="92"/>
        <v/>
      </c>
      <c r="T1111" t="str">
        <f t="shared" si="89"/>
        <v/>
      </c>
    </row>
    <row r="1112" spans="1:20">
      <c r="A1112" s="22" t="s">
        <v>1206</v>
      </c>
      <c r="H1112" s="22" t="str">
        <f t="shared" si="90"/>
        <v/>
      </c>
      <c r="J1112" s="32"/>
      <c r="R1112" s="24" t="str">
        <f t="shared" si="91"/>
        <v/>
      </c>
      <c r="S1112" s="24" t="str">
        <f t="shared" si="92"/>
        <v/>
      </c>
      <c r="T1112" t="str">
        <f t="shared" si="89"/>
        <v/>
      </c>
    </row>
    <row r="1113" spans="1:20">
      <c r="A1113" s="22" t="s">
        <v>1207</v>
      </c>
      <c r="H1113" s="22" t="str">
        <f t="shared" si="90"/>
        <v/>
      </c>
      <c r="J1113" s="32"/>
      <c r="R1113" s="24" t="str">
        <f t="shared" si="91"/>
        <v/>
      </c>
      <c r="S1113" s="24" t="str">
        <f t="shared" si="92"/>
        <v/>
      </c>
      <c r="T1113" t="str">
        <f t="shared" si="89"/>
        <v/>
      </c>
    </row>
    <row r="1114" spans="1:20">
      <c r="A1114" s="22" t="s">
        <v>1208</v>
      </c>
      <c r="H1114" s="22" t="str">
        <f t="shared" si="90"/>
        <v/>
      </c>
      <c r="J1114" s="32"/>
      <c r="R1114" s="24" t="str">
        <f t="shared" si="91"/>
        <v/>
      </c>
      <c r="S1114" s="24" t="str">
        <f t="shared" si="92"/>
        <v/>
      </c>
      <c r="T1114" t="str">
        <f t="shared" si="89"/>
        <v/>
      </c>
    </row>
    <row r="1115" spans="1:20">
      <c r="A1115" s="22" t="s">
        <v>1209</v>
      </c>
      <c r="H1115" s="22" t="str">
        <f t="shared" si="90"/>
        <v/>
      </c>
      <c r="J1115" s="32"/>
      <c r="R1115" s="24" t="str">
        <f t="shared" si="91"/>
        <v/>
      </c>
      <c r="S1115" s="24" t="str">
        <f t="shared" si="92"/>
        <v/>
      </c>
      <c r="T1115" t="str">
        <f t="shared" si="89"/>
        <v/>
      </c>
    </row>
    <row r="1116" spans="1:20">
      <c r="A1116" s="22" t="s">
        <v>1210</v>
      </c>
      <c r="H1116" s="22" t="str">
        <f t="shared" si="90"/>
        <v/>
      </c>
      <c r="J1116" s="32"/>
      <c r="R1116" s="24" t="str">
        <f t="shared" si="91"/>
        <v/>
      </c>
      <c r="S1116" s="24" t="str">
        <f t="shared" si="92"/>
        <v/>
      </c>
      <c r="T1116" t="str">
        <f t="shared" si="89"/>
        <v/>
      </c>
    </row>
    <row r="1117" spans="1:20">
      <c r="A1117" s="22" t="s">
        <v>1211</v>
      </c>
      <c r="H1117" s="22" t="str">
        <f t="shared" si="90"/>
        <v/>
      </c>
      <c r="J1117" s="32"/>
      <c r="R1117" s="24" t="str">
        <f t="shared" si="91"/>
        <v/>
      </c>
      <c r="S1117" s="24" t="str">
        <f t="shared" si="92"/>
        <v/>
      </c>
      <c r="T1117" t="str">
        <f t="shared" si="89"/>
        <v/>
      </c>
    </row>
    <row r="1118" spans="1:20">
      <c r="A1118" s="22" t="s">
        <v>1212</v>
      </c>
      <c r="H1118" s="22" t="str">
        <f t="shared" si="90"/>
        <v/>
      </c>
      <c r="J1118" s="32"/>
      <c r="R1118" s="24" t="str">
        <f t="shared" si="91"/>
        <v/>
      </c>
      <c r="S1118" s="24" t="str">
        <f t="shared" si="92"/>
        <v/>
      </c>
      <c r="T1118" t="str">
        <f t="shared" si="89"/>
        <v/>
      </c>
    </row>
    <row r="1119" spans="1:20">
      <c r="A1119" s="22" t="s">
        <v>1213</v>
      </c>
      <c r="H1119" s="22" t="str">
        <f t="shared" si="90"/>
        <v/>
      </c>
      <c r="J1119" s="32"/>
      <c r="R1119" s="24" t="str">
        <f t="shared" si="91"/>
        <v/>
      </c>
      <c r="S1119" s="24" t="str">
        <f t="shared" si="92"/>
        <v/>
      </c>
      <c r="T1119" t="str">
        <f t="shared" si="89"/>
        <v/>
      </c>
    </row>
    <row r="1120" spans="1:20">
      <c r="A1120" s="22" t="s">
        <v>1214</v>
      </c>
      <c r="H1120" s="22" t="str">
        <f t="shared" si="90"/>
        <v/>
      </c>
      <c r="J1120" s="32"/>
      <c r="R1120" s="24" t="str">
        <f t="shared" si="91"/>
        <v/>
      </c>
      <c r="S1120" s="24" t="str">
        <f t="shared" si="92"/>
        <v/>
      </c>
      <c r="T1120" t="str">
        <f t="shared" si="89"/>
        <v/>
      </c>
    </row>
    <row r="1121" spans="1:20">
      <c r="A1121" s="22" t="s">
        <v>1215</v>
      </c>
      <c r="H1121" s="22" t="str">
        <f t="shared" si="90"/>
        <v/>
      </c>
      <c r="J1121" s="32"/>
      <c r="R1121" s="24" t="str">
        <f t="shared" si="91"/>
        <v/>
      </c>
      <c r="S1121" s="24" t="str">
        <f t="shared" si="92"/>
        <v/>
      </c>
      <c r="T1121" t="str">
        <f t="shared" si="89"/>
        <v/>
      </c>
    </row>
    <row r="1122" spans="1:20">
      <c r="A1122" s="22" t="s">
        <v>1216</v>
      </c>
      <c r="H1122" s="22" t="str">
        <f t="shared" si="90"/>
        <v/>
      </c>
      <c r="J1122" s="32"/>
      <c r="R1122" s="24" t="str">
        <f t="shared" si="91"/>
        <v/>
      </c>
      <c r="S1122" s="24" t="str">
        <f t="shared" si="92"/>
        <v/>
      </c>
      <c r="T1122" t="str">
        <f t="shared" si="89"/>
        <v/>
      </c>
    </row>
    <row r="1123" spans="1:20">
      <c r="A1123" s="22" t="s">
        <v>1217</v>
      </c>
      <c r="H1123" s="22" t="str">
        <f t="shared" si="90"/>
        <v/>
      </c>
      <c r="J1123" s="32"/>
      <c r="R1123" s="24" t="str">
        <f t="shared" si="91"/>
        <v/>
      </c>
      <c r="S1123" s="24" t="str">
        <f t="shared" si="92"/>
        <v/>
      </c>
      <c r="T1123" t="str">
        <f t="shared" si="89"/>
        <v/>
      </c>
    </row>
    <row r="1124" spans="1:20">
      <c r="A1124" s="22" t="s">
        <v>1218</v>
      </c>
      <c r="H1124" s="22" t="str">
        <f t="shared" si="90"/>
        <v/>
      </c>
      <c r="J1124" s="32"/>
      <c r="R1124" s="24" t="str">
        <f t="shared" si="91"/>
        <v/>
      </c>
      <c r="S1124" s="24" t="str">
        <f t="shared" si="92"/>
        <v/>
      </c>
      <c r="T1124" t="str">
        <f t="shared" si="89"/>
        <v/>
      </c>
    </row>
    <row r="1125" spans="1:20">
      <c r="A1125" s="22" t="s">
        <v>1219</v>
      </c>
      <c r="H1125" s="22" t="str">
        <f t="shared" si="90"/>
        <v/>
      </c>
      <c r="J1125" s="32"/>
      <c r="R1125" s="24" t="str">
        <f t="shared" si="91"/>
        <v/>
      </c>
      <c r="S1125" s="24" t="str">
        <f t="shared" si="92"/>
        <v/>
      </c>
      <c r="T1125" t="str">
        <f t="shared" si="89"/>
        <v/>
      </c>
    </row>
    <row r="1126" spans="1:20">
      <c r="A1126" s="22" t="s">
        <v>1220</v>
      </c>
      <c r="H1126" s="22" t="str">
        <f t="shared" si="90"/>
        <v/>
      </c>
      <c r="J1126" s="32"/>
      <c r="R1126" s="24" t="str">
        <f t="shared" si="91"/>
        <v/>
      </c>
      <c r="S1126" s="24" t="str">
        <f t="shared" si="92"/>
        <v/>
      </c>
      <c r="T1126" t="str">
        <f t="shared" si="89"/>
        <v/>
      </c>
    </row>
    <row r="1127" spans="1:20">
      <c r="A1127" s="22" t="s">
        <v>1221</v>
      </c>
      <c r="H1127" s="22" t="str">
        <f t="shared" si="90"/>
        <v/>
      </c>
      <c r="J1127" s="32"/>
      <c r="R1127" s="24" t="str">
        <f t="shared" si="91"/>
        <v/>
      </c>
      <c r="S1127" s="24" t="str">
        <f t="shared" si="92"/>
        <v/>
      </c>
      <c r="T1127" t="str">
        <f t="shared" si="89"/>
        <v/>
      </c>
    </row>
    <row r="1128" spans="1:20">
      <c r="A1128" s="22" t="s">
        <v>1222</v>
      </c>
      <c r="H1128" s="22" t="str">
        <f t="shared" si="90"/>
        <v/>
      </c>
      <c r="J1128" s="32"/>
      <c r="R1128" s="24" t="str">
        <f t="shared" si="91"/>
        <v/>
      </c>
      <c r="S1128" s="24" t="str">
        <f t="shared" si="92"/>
        <v/>
      </c>
      <c r="T1128" t="str">
        <f t="shared" si="89"/>
        <v/>
      </c>
    </row>
    <row r="1129" spans="1:20">
      <c r="A1129" s="22" t="s">
        <v>1223</v>
      </c>
      <c r="H1129" s="22" t="str">
        <f t="shared" si="90"/>
        <v/>
      </c>
      <c r="J1129" s="32"/>
      <c r="R1129" s="24" t="str">
        <f t="shared" si="91"/>
        <v/>
      </c>
      <c r="S1129" s="24" t="str">
        <f t="shared" si="92"/>
        <v/>
      </c>
      <c r="T1129" t="str">
        <f t="shared" si="89"/>
        <v/>
      </c>
    </row>
    <row r="1130" spans="1:20">
      <c r="A1130" s="22" t="s">
        <v>1224</v>
      </c>
      <c r="H1130" s="22" t="str">
        <f t="shared" si="90"/>
        <v/>
      </c>
      <c r="J1130" s="32"/>
      <c r="R1130" s="24" t="str">
        <f t="shared" si="91"/>
        <v/>
      </c>
      <c r="S1130" s="24" t="str">
        <f t="shared" si="92"/>
        <v/>
      </c>
      <c r="T1130" t="str">
        <f t="shared" si="89"/>
        <v/>
      </c>
    </row>
    <row r="1131" spans="1:20">
      <c r="A1131" s="22" t="s">
        <v>1225</v>
      </c>
      <c r="H1131" s="22" t="str">
        <f t="shared" si="90"/>
        <v/>
      </c>
      <c r="J1131" s="32"/>
      <c r="R1131" s="24" t="str">
        <f t="shared" si="91"/>
        <v/>
      </c>
      <c r="S1131" s="24" t="str">
        <f t="shared" si="92"/>
        <v/>
      </c>
      <c r="T1131" t="str">
        <f t="shared" si="89"/>
        <v/>
      </c>
    </row>
    <row r="1132" spans="1:20">
      <c r="A1132" s="22" t="s">
        <v>1226</v>
      </c>
      <c r="H1132" s="22" t="str">
        <f t="shared" si="90"/>
        <v/>
      </c>
      <c r="J1132" s="32"/>
      <c r="R1132" s="24" t="str">
        <f t="shared" si="91"/>
        <v/>
      </c>
      <c r="S1132" s="24" t="str">
        <f t="shared" si="92"/>
        <v/>
      </c>
      <c r="T1132" t="str">
        <f t="shared" si="89"/>
        <v/>
      </c>
    </row>
    <row r="1133" spans="1:20">
      <c r="A1133" s="22" t="s">
        <v>1227</v>
      </c>
      <c r="H1133" s="22" t="str">
        <f t="shared" si="90"/>
        <v/>
      </c>
      <c r="J1133" s="32"/>
      <c r="R1133" s="24" t="str">
        <f t="shared" si="91"/>
        <v/>
      </c>
      <c r="S1133" s="24" t="str">
        <f t="shared" si="92"/>
        <v/>
      </c>
      <c r="T1133" t="str">
        <f t="shared" si="89"/>
        <v/>
      </c>
    </row>
    <row r="1134" spans="1:20">
      <c r="A1134" s="22" t="s">
        <v>1228</v>
      </c>
      <c r="H1134" s="22" t="str">
        <f t="shared" si="90"/>
        <v/>
      </c>
      <c r="J1134" s="32"/>
      <c r="R1134" s="24" t="str">
        <f t="shared" si="91"/>
        <v/>
      </c>
      <c r="S1134" s="24" t="str">
        <f t="shared" si="92"/>
        <v/>
      </c>
      <c r="T1134" t="str">
        <f t="shared" si="89"/>
        <v/>
      </c>
    </row>
    <row r="1135" spans="1:20">
      <c r="A1135" s="22" t="s">
        <v>1229</v>
      </c>
      <c r="H1135" s="22" t="str">
        <f t="shared" si="90"/>
        <v/>
      </c>
      <c r="J1135" s="32"/>
      <c r="R1135" s="24" t="str">
        <f t="shared" si="91"/>
        <v/>
      </c>
      <c r="S1135" s="24" t="str">
        <f t="shared" si="92"/>
        <v/>
      </c>
      <c r="T1135" t="str">
        <f t="shared" si="89"/>
        <v/>
      </c>
    </row>
    <row r="1136" spans="1:20">
      <c r="A1136" s="22" t="s">
        <v>1230</v>
      </c>
      <c r="H1136" s="22" t="str">
        <f t="shared" si="90"/>
        <v/>
      </c>
      <c r="J1136" s="32"/>
      <c r="R1136" s="24" t="str">
        <f t="shared" si="91"/>
        <v/>
      </c>
      <c r="S1136" s="24" t="str">
        <f t="shared" si="92"/>
        <v/>
      </c>
      <c r="T1136" t="str">
        <f t="shared" si="89"/>
        <v/>
      </c>
    </row>
    <row r="1137" spans="1:20">
      <c r="A1137" s="22" t="s">
        <v>1231</v>
      </c>
      <c r="H1137" s="22" t="str">
        <f t="shared" si="90"/>
        <v/>
      </c>
      <c r="J1137" s="32"/>
      <c r="R1137" s="24" t="str">
        <f t="shared" si="91"/>
        <v/>
      </c>
      <c r="S1137" s="24" t="str">
        <f t="shared" si="92"/>
        <v/>
      </c>
      <c r="T1137" t="str">
        <f t="shared" si="89"/>
        <v/>
      </c>
    </row>
    <row r="1138" spans="1:20">
      <c r="A1138" s="22" t="s">
        <v>1232</v>
      </c>
      <c r="H1138" s="22" t="str">
        <f t="shared" si="90"/>
        <v/>
      </c>
      <c r="J1138" s="32"/>
      <c r="R1138" s="24" t="str">
        <f t="shared" si="91"/>
        <v/>
      </c>
      <c r="S1138" s="24" t="str">
        <f t="shared" si="92"/>
        <v/>
      </c>
      <c r="T1138" t="str">
        <f t="shared" si="89"/>
        <v/>
      </c>
    </row>
    <row r="1139" spans="1:20">
      <c r="A1139" s="22" t="s">
        <v>1233</v>
      </c>
      <c r="H1139" s="22" t="str">
        <f t="shared" si="90"/>
        <v/>
      </c>
      <c r="J1139" s="32"/>
      <c r="R1139" s="24" t="str">
        <f t="shared" si="91"/>
        <v/>
      </c>
      <c r="S1139" s="24" t="str">
        <f t="shared" si="92"/>
        <v/>
      </c>
      <c r="T1139" t="str">
        <f t="shared" si="89"/>
        <v/>
      </c>
    </row>
    <row r="1140" spans="1:20">
      <c r="A1140" s="22" t="s">
        <v>1234</v>
      </c>
      <c r="H1140" s="22" t="str">
        <f t="shared" si="90"/>
        <v/>
      </c>
      <c r="J1140" s="32"/>
      <c r="R1140" s="24" t="str">
        <f t="shared" si="91"/>
        <v/>
      </c>
      <c r="S1140" s="24" t="str">
        <f t="shared" si="92"/>
        <v/>
      </c>
      <c r="T1140" t="str">
        <f t="shared" si="89"/>
        <v/>
      </c>
    </row>
    <row r="1141" spans="1:20">
      <c r="A1141" s="22" t="s">
        <v>1235</v>
      </c>
      <c r="H1141" s="22" t="str">
        <f t="shared" si="90"/>
        <v/>
      </c>
      <c r="J1141" s="32"/>
      <c r="R1141" s="24" t="str">
        <f t="shared" si="91"/>
        <v/>
      </c>
      <c r="S1141" s="24" t="str">
        <f t="shared" si="92"/>
        <v/>
      </c>
      <c r="T1141" t="str">
        <f t="shared" si="89"/>
        <v/>
      </c>
    </row>
    <row r="1142" spans="1:20">
      <c r="A1142" s="22" t="s">
        <v>1236</v>
      </c>
      <c r="H1142" s="22" t="str">
        <f t="shared" si="90"/>
        <v/>
      </c>
      <c r="J1142" s="32"/>
      <c r="R1142" s="24" t="str">
        <f t="shared" si="91"/>
        <v/>
      </c>
      <c r="S1142" s="24" t="str">
        <f t="shared" si="92"/>
        <v/>
      </c>
      <c r="T1142" t="str">
        <f t="shared" si="89"/>
        <v/>
      </c>
    </row>
    <row r="1143" spans="1:20">
      <c r="A1143" s="22" t="s">
        <v>1237</v>
      </c>
      <c r="H1143" s="22" t="str">
        <f t="shared" si="90"/>
        <v/>
      </c>
      <c r="J1143" s="32"/>
      <c r="R1143" s="24" t="str">
        <f t="shared" si="91"/>
        <v/>
      </c>
      <c r="S1143" s="24" t="str">
        <f t="shared" si="92"/>
        <v/>
      </c>
      <c r="T1143" t="str">
        <f t="shared" si="89"/>
        <v/>
      </c>
    </row>
    <row r="1144" spans="1:20">
      <c r="A1144" s="22" t="s">
        <v>1238</v>
      </c>
      <c r="H1144" s="22" t="str">
        <f t="shared" si="90"/>
        <v/>
      </c>
      <c r="J1144" s="32"/>
      <c r="R1144" s="24" t="str">
        <f t="shared" si="91"/>
        <v/>
      </c>
      <c r="S1144" s="24" t="str">
        <f t="shared" si="92"/>
        <v/>
      </c>
      <c r="T1144" t="str">
        <f t="shared" si="89"/>
        <v/>
      </c>
    </row>
    <row r="1145" spans="1:20">
      <c r="A1145" s="22" t="s">
        <v>1239</v>
      </c>
      <c r="H1145" s="22" t="str">
        <f t="shared" si="90"/>
        <v/>
      </c>
      <c r="J1145" s="32"/>
      <c r="R1145" s="24" t="str">
        <f t="shared" si="91"/>
        <v/>
      </c>
      <c r="S1145" s="24" t="str">
        <f t="shared" si="92"/>
        <v/>
      </c>
      <c r="T1145" t="str">
        <f t="shared" si="89"/>
        <v/>
      </c>
    </row>
    <row r="1146" spans="1:20">
      <c r="A1146" s="22" t="s">
        <v>1240</v>
      </c>
      <c r="H1146" s="22" t="str">
        <f t="shared" si="90"/>
        <v/>
      </c>
      <c r="J1146" s="32"/>
      <c r="R1146" s="24" t="str">
        <f t="shared" si="91"/>
        <v/>
      </c>
      <c r="S1146" s="24" t="str">
        <f t="shared" si="92"/>
        <v/>
      </c>
      <c r="T1146" t="str">
        <f t="shared" si="89"/>
        <v/>
      </c>
    </row>
    <row r="1147" spans="1:20">
      <c r="A1147" s="22" t="s">
        <v>1241</v>
      </c>
      <c r="H1147" s="22" t="str">
        <f t="shared" si="90"/>
        <v/>
      </c>
      <c r="J1147" s="32"/>
      <c r="R1147" s="24" t="str">
        <f t="shared" si="91"/>
        <v/>
      </c>
      <c r="S1147" s="24" t="str">
        <f t="shared" si="92"/>
        <v/>
      </c>
      <c r="T1147" t="str">
        <f t="shared" si="89"/>
        <v/>
      </c>
    </row>
    <row r="1148" spans="1:20">
      <c r="A1148" s="22" t="s">
        <v>1242</v>
      </c>
      <c r="H1148" s="22" t="str">
        <f t="shared" si="90"/>
        <v/>
      </c>
      <c r="J1148" s="32"/>
      <c r="R1148" s="24" t="str">
        <f t="shared" si="91"/>
        <v/>
      </c>
      <c r="S1148" s="24" t="str">
        <f t="shared" si="92"/>
        <v/>
      </c>
      <c r="T1148" t="str">
        <f t="shared" si="89"/>
        <v/>
      </c>
    </row>
    <row r="1149" spans="1:20">
      <c r="A1149" s="22" t="s">
        <v>1243</v>
      </c>
      <c r="H1149" s="22" t="str">
        <f t="shared" si="90"/>
        <v/>
      </c>
      <c r="J1149" s="32"/>
      <c r="R1149" s="24" t="str">
        <f t="shared" si="91"/>
        <v/>
      </c>
      <c r="S1149" s="24" t="str">
        <f t="shared" si="92"/>
        <v/>
      </c>
      <c r="T1149" t="str">
        <f t="shared" si="89"/>
        <v/>
      </c>
    </row>
    <row r="1150" spans="1:20">
      <c r="A1150" s="22" t="s">
        <v>1244</v>
      </c>
      <c r="H1150" s="22" t="str">
        <f t="shared" si="90"/>
        <v/>
      </c>
      <c r="J1150" s="32"/>
      <c r="R1150" s="24" t="str">
        <f t="shared" si="91"/>
        <v/>
      </c>
      <c r="S1150" s="24" t="str">
        <f t="shared" si="92"/>
        <v/>
      </c>
      <c r="T1150" t="str">
        <f t="shared" si="89"/>
        <v/>
      </c>
    </row>
    <row r="1151" spans="1:20">
      <c r="A1151" s="22" t="s">
        <v>1245</v>
      </c>
      <c r="H1151" s="22" t="str">
        <f t="shared" si="90"/>
        <v/>
      </c>
      <c r="J1151" s="32"/>
      <c r="R1151" s="24" t="str">
        <f t="shared" si="91"/>
        <v/>
      </c>
      <c r="S1151" s="24" t="str">
        <f t="shared" si="92"/>
        <v/>
      </c>
      <c r="T1151" t="str">
        <f t="shared" si="89"/>
        <v/>
      </c>
    </row>
    <row r="1152" spans="1:20">
      <c r="A1152" s="22" t="s">
        <v>1246</v>
      </c>
      <c r="H1152" s="22" t="str">
        <f t="shared" si="90"/>
        <v/>
      </c>
      <c r="J1152" s="32"/>
      <c r="R1152" s="24" t="str">
        <f t="shared" si="91"/>
        <v/>
      </c>
      <c r="S1152" s="24" t="str">
        <f t="shared" si="92"/>
        <v/>
      </c>
      <c r="T1152" t="str">
        <f t="shared" si="89"/>
        <v/>
      </c>
    </row>
    <row r="1153" spans="1:20">
      <c r="A1153" s="22" t="s">
        <v>1247</v>
      </c>
      <c r="H1153" s="22" t="str">
        <f t="shared" si="90"/>
        <v/>
      </c>
      <c r="J1153" s="32"/>
      <c r="R1153" s="24" t="str">
        <f t="shared" si="91"/>
        <v/>
      </c>
      <c r="S1153" s="24" t="str">
        <f t="shared" si="92"/>
        <v/>
      </c>
      <c r="T1153" t="str">
        <f t="shared" si="89"/>
        <v/>
      </c>
    </row>
    <row r="1154" spans="1:20">
      <c r="A1154" s="22" t="s">
        <v>1248</v>
      </c>
      <c r="H1154" s="22" t="str">
        <f t="shared" si="90"/>
        <v/>
      </c>
      <c r="J1154" s="32"/>
      <c r="R1154" s="24" t="str">
        <f t="shared" si="91"/>
        <v/>
      </c>
      <c r="S1154" s="24" t="str">
        <f t="shared" si="92"/>
        <v/>
      </c>
      <c r="T1154" t="str">
        <f t="shared" si="89"/>
        <v/>
      </c>
    </row>
    <row r="1155" spans="1:20">
      <c r="A1155" s="22" t="s">
        <v>1249</v>
      </c>
      <c r="H1155" s="22" t="str">
        <f t="shared" si="90"/>
        <v/>
      </c>
      <c r="J1155" s="32"/>
      <c r="R1155" s="24" t="str">
        <f t="shared" si="91"/>
        <v/>
      </c>
      <c r="S1155" s="24" t="str">
        <f t="shared" si="92"/>
        <v/>
      </c>
      <c r="T1155" t="str">
        <f t="shared" si="89"/>
        <v/>
      </c>
    </row>
    <row r="1156" spans="1:20">
      <c r="A1156" s="22" t="s">
        <v>1250</v>
      </c>
      <c r="H1156" s="22" t="str">
        <f t="shared" si="90"/>
        <v/>
      </c>
      <c r="J1156" s="32"/>
      <c r="R1156" s="24" t="str">
        <f t="shared" si="91"/>
        <v/>
      </c>
      <c r="S1156" s="24" t="str">
        <f t="shared" si="92"/>
        <v/>
      </c>
      <c r="T1156" t="str">
        <f t="shared" si="89"/>
        <v/>
      </c>
    </row>
    <row r="1157" spans="1:20">
      <c r="A1157" s="22" t="s">
        <v>1251</v>
      </c>
      <c r="H1157" s="22" t="str">
        <f t="shared" si="90"/>
        <v/>
      </c>
      <c r="J1157" s="32"/>
      <c r="R1157" s="24" t="str">
        <f t="shared" si="91"/>
        <v/>
      </c>
      <c r="S1157" s="24" t="str">
        <f t="shared" si="92"/>
        <v/>
      </c>
      <c r="T1157" t="str">
        <f t="shared" si="89"/>
        <v/>
      </c>
    </row>
    <row r="1158" spans="1:20">
      <c r="A1158" s="22" t="s">
        <v>1252</v>
      </c>
      <c r="H1158" s="22" t="str">
        <f t="shared" si="90"/>
        <v/>
      </c>
      <c r="J1158" s="32"/>
      <c r="R1158" s="24" t="str">
        <f t="shared" si="91"/>
        <v/>
      </c>
      <c r="S1158" s="24" t="str">
        <f t="shared" si="92"/>
        <v/>
      </c>
      <c r="T1158" t="str">
        <f t="shared" si="89"/>
        <v/>
      </c>
    </row>
    <row r="1159" spans="1:20">
      <c r="A1159" s="22" t="s">
        <v>1253</v>
      </c>
      <c r="H1159" s="22" t="str">
        <f t="shared" si="90"/>
        <v/>
      </c>
      <c r="J1159" s="32"/>
      <c r="R1159" s="24" t="str">
        <f t="shared" si="91"/>
        <v/>
      </c>
      <c r="S1159" s="24" t="str">
        <f t="shared" si="92"/>
        <v/>
      </c>
      <c r="T1159" t="str">
        <f t="shared" si="89"/>
        <v/>
      </c>
    </row>
    <row r="1160" spans="1:20">
      <c r="A1160" s="22" t="s">
        <v>1254</v>
      </c>
      <c r="H1160" s="22" t="str">
        <f t="shared" si="90"/>
        <v/>
      </c>
      <c r="J1160" s="32"/>
      <c r="R1160" s="24" t="str">
        <f t="shared" si="91"/>
        <v/>
      </c>
      <c r="S1160" s="24" t="str">
        <f t="shared" si="92"/>
        <v/>
      </c>
      <c r="T1160" t="str">
        <f t="shared" si="89"/>
        <v/>
      </c>
    </row>
    <row r="1161" spans="1:20">
      <c r="A1161" s="22" t="s">
        <v>1255</v>
      </c>
      <c r="H1161" s="22" t="str">
        <f t="shared" si="90"/>
        <v/>
      </c>
      <c r="J1161" s="32"/>
      <c r="R1161" s="24" t="str">
        <f t="shared" si="91"/>
        <v/>
      </c>
      <c r="S1161" s="24" t="str">
        <f t="shared" si="92"/>
        <v/>
      </c>
      <c r="T1161" t="str">
        <f t="shared" si="89"/>
        <v/>
      </c>
    </row>
    <row r="1162" spans="1:20">
      <c r="A1162" s="22" t="s">
        <v>1256</v>
      </c>
      <c r="H1162" s="22" t="str">
        <f t="shared" si="90"/>
        <v/>
      </c>
      <c r="J1162" s="32"/>
      <c r="R1162" s="24" t="str">
        <f t="shared" si="91"/>
        <v/>
      </c>
      <c r="S1162" s="24" t="str">
        <f t="shared" si="92"/>
        <v/>
      </c>
      <c r="T1162" t="str">
        <f t="shared" si="89"/>
        <v/>
      </c>
    </row>
    <row r="1163" spans="1:20">
      <c r="A1163" s="22" t="s">
        <v>1257</v>
      </c>
      <c r="H1163" s="22" t="str">
        <f t="shared" si="90"/>
        <v/>
      </c>
      <c r="J1163" s="32"/>
      <c r="R1163" s="24" t="str">
        <f t="shared" si="91"/>
        <v/>
      </c>
      <c r="S1163" s="24" t="str">
        <f t="shared" si="92"/>
        <v/>
      </c>
      <c r="T1163" t="str">
        <f t="shared" si="89"/>
        <v/>
      </c>
    </row>
    <row r="1164" spans="1:20">
      <c r="A1164" s="22" t="s">
        <v>1258</v>
      </c>
      <c r="H1164" s="22" t="str">
        <f t="shared" si="90"/>
        <v/>
      </c>
      <c r="J1164" s="32"/>
      <c r="R1164" s="24" t="str">
        <f t="shared" si="91"/>
        <v/>
      </c>
      <c r="S1164" s="24" t="str">
        <f t="shared" si="92"/>
        <v/>
      </c>
      <c r="T1164" t="str">
        <f t="shared" si="89"/>
        <v/>
      </c>
    </row>
    <row r="1165" spans="1:20">
      <c r="A1165" s="22" t="s">
        <v>1259</v>
      </c>
      <c r="H1165" s="22" t="str">
        <f t="shared" si="90"/>
        <v/>
      </c>
      <c r="J1165" s="32"/>
      <c r="R1165" s="24" t="str">
        <f t="shared" si="91"/>
        <v/>
      </c>
      <c r="S1165" s="24" t="str">
        <f t="shared" si="92"/>
        <v/>
      </c>
      <c r="T1165" t="str">
        <f t="shared" si="89"/>
        <v/>
      </c>
    </row>
    <row r="1166" spans="1:20">
      <c r="A1166" s="22" t="s">
        <v>1260</v>
      </c>
      <c r="H1166" s="22" t="str">
        <f t="shared" si="90"/>
        <v/>
      </c>
      <c r="J1166" s="32"/>
      <c r="R1166" s="24" t="str">
        <f t="shared" si="91"/>
        <v/>
      </c>
      <c r="S1166" s="24" t="str">
        <f t="shared" si="92"/>
        <v/>
      </c>
      <c r="T1166" t="str">
        <f t="shared" si="89"/>
        <v/>
      </c>
    </row>
    <row r="1167" spans="1:20">
      <c r="A1167" s="22" t="s">
        <v>1261</v>
      </c>
      <c r="H1167" s="22" t="str">
        <f t="shared" si="90"/>
        <v/>
      </c>
      <c r="J1167" s="32"/>
      <c r="R1167" s="24" t="str">
        <f t="shared" si="91"/>
        <v/>
      </c>
      <c r="S1167" s="24" t="str">
        <f t="shared" si="92"/>
        <v/>
      </c>
      <c r="T1167" t="str">
        <f t="shared" ref="T1167:T1230" si="93">IF(OR(C1167="",I1167&lt;&gt;"ENTRADA"),"",TEXT(B1167,"AAMMDD")&amp;"-"&amp;TEXT(VALUE(SUBSTITUTE(A1167,"MOV-","")),"000"))</f>
        <v/>
      </c>
    </row>
    <row r="1168" spans="1:20">
      <c r="A1168" s="22" t="s">
        <v>1262</v>
      </c>
      <c r="H1168" s="22" t="str">
        <f t="shared" ref="H1168:H1231" si="94">+T1168</f>
        <v/>
      </c>
      <c r="J1168" s="32"/>
      <c r="R1168" s="24" t="str">
        <f t="shared" ref="R1168:R1231" si="95">IF(H1168="","",H1168&amp;I1168)</f>
        <v/>
      </c>
      <c r="S1168" s="24" t="str">
        <f t="shared" ref="S1168:S1231" si="96">IF(C1168="","",C1168&amp;I1168)</f>
        <v/>
      </c>
      <c r="T1168" t="str">
        <f t="shared" si="93"/>
        <v/>
      </c>
    </row>
    <row r="1169" spans="1:20">
      <c r="A1169" s="22" t="s">
        <v>1263</v>
      </c>
      <c r="H1169" s="22" t="str">
        <f t="shared" si="94"/>
        <v/>
      </c>
      <c r="J1169" s="32"/>
      <c r="R1169" s="24" t="str">
        <f t="shared" si="95"/>
        <v/>
      </c>
      <c r="S1169" s="24" t="str">
        <f t="shared" si="96"/>
        <v/>
      </c>
      <c r="T1169" t="str">
        <f t="shared" si="93"/>
        <v/>
      </c>
    </row>
    <row r="1170" spans="1:20">
      <c r="A1170" s="22" t="s">
        <v>1264</v>
      </c>
      <c r="H1170" s="22" t="str">
        <f t="shared" si="94"/>
        <v/>
      </c>
      <c r="J1170" s="32"/>
      <c r="R1170" s="24" t="str">
        <f t="shared" si="95"/>
        <v/>
      </c>
      <c r="S1170" s="24" t="str">
        <f t="shared" si="96"/>
        <v/>
      </c>
      <c r="T1170" t="str">
        <f t="shared" si="93"/>
        <v/>
      </c>
    </row>
    <row r="1171" spans="1:20">
      <c r="A1171" s="22" t="s">
        <v>1265</v>
      </c>
      <c r="H1171" s="22" t="str">
        <f t="shared" si="94"/>
        <v/>
      </c>
      <c r="J1171" s="32"/>
      <c r="R1171" s="24" t="str">
        <f t="shared" si="95"/>
        <v/>
      </c>
      <c r="S1171" s="24" t="str">
        <f t="shared" si="96"/>
        <v/>
      </c>
      <c r="T1171" t="str">
        <f t="shared" si="93"/>
        <v/>
      </c>
    </row>
    <row r="1172" spans="1:20">
      <c r="A1172" s="22" t="s">
        <v>1266</v>
      </c>
      <c r="H1172" s="22" t="str">
        <f t="shared" si="94"/>
        <v/>
      </c>
      <c r="J1172" s="32"/>
      <c r="R1172" s="24" t="str">
        <f t="shared" si="95"/>
        <v/>
      </c>
      <c r="S1172" s="24" t="str">
        <f t="shared" si="96"/>
        <v/>
      </c>
      <c r="T1172" t="str">
        <f t="shared" si="93"/>
        <v/>
      </c>
    </row>
    <row r="1173" spans="1:20">
      <c r="A1173" s="22" t="s">
        <v>1267</v>
      </c>
      <c r="H1173" s="22" t="str">
        <f t="shared" si="94"/>
        <v/>
      </c>
      <c r="J1173" s="32"/>
      <c r="R1173" s="24" t="str">
        <f t="shared" si="95"/>
        <v/>
      </c>
      <c r="S1173" s="24" t="str">
        <f t="shared" si="96"/>
        <v/>
      </c>
      <c r="T1173" t="str">
        <f t="shared" si="93"/>
        <v/>
      </c>
    </row>
    <row r="1174" spans="1:20">
      <c r="A1174" s="22" t="s">
        <v>1268</v>
      </c>
      <c r="H1174" s="22" t="str">
        <f t="shared" si="94"/>
        <v/>
      </c>
      <c r="J1174" s="32"/>
      <c r="R1174" s="24" t="str">
        <f t="shared" si="95"/>
        <v/>
      </c>
      <c r="S1174" s="24" t="str">
        <f t="shared" si="96"/>
        <v/>
      </c>
      <c r="T1174" t="str">
        <f t="shared" si="93"/>
        <v/>
      </c>
    </row>
    <row r="1175" spans="1:20">
      <c r="A1175" s="22" t="s">
        <v>1269</v>
      </c>
      <c r="H1175" s="22" t="str">
        <f t="shared" si="94"/>
        <v/>
      </c>
      <c r="J1175" s="32"/>
      <c r="R1175" s="24" t="str">
        <f t="shared" si="95"/>
        <v/>
      </c>
      <c r="S1175" s="24" t="str">
        <f t="shared" si="96"/>
        <v/>
      </c>
      <c r="T1175" t="str">
        <f t="shared" si="93"/>
        <v/>
      </c>
    </row>
    <row r="1176" spans="1:20">
      <c r="A1176" s="22" t="s">
        <v>1270</v>
      </c>
      <c r="H1176" s="22" t="str">
        <f t="shared" si="94"/>
        <v/>
      </c>
      <c r="J1176" s="32"/>
      <c r="R1176" s="24" t="str">
        <f t="shared" si="95"/>
        <v/>
      </c>
      <c r="S1176" s="24" t="str">
        <f t="shared" si="96"/>
        <v/>
      </c>
      <c r="T1176" t="str">
        <f t="shared" si="93"/>
        <v/>
      </c>
    </row>
    <row r="1177" spans="1:20">
      <c r="A1177" s="22" t="s">
        <v>1271</v>
      </c>
      <c r="H1177" s="22" t="str">
        <f t="shared" si="94"/>
        <v/>
      </c>
      <c r="J1177" s="32"/>
      <c r="R1177" s="24" t="str">
        <f t="shared" si="95"/>
        <v/>
      </c>
      <c r="S1177" s="24" t="str">
        <f t="shared" si="96"/>
        <v/>
      </c>
      <c r="T1177" t="str">
        <f t="shared" si="93"/>
        <v/>
      </c>
    </row>
    <row r="1178" spans="1:20">
      <c r="A1178" s="22" t="s">
        <v>1272</v>
      </c>
      <c r="H1178" s="22" t="str">
        <f t="shared" si="94"/>
        <v/>
      </c>
      <c r="J1178" s="32"/>
      <c r="R1178" s="24" t="str">
        <f t="shared" si="95"/>
        <v/>
      </c>
      <c r="S1178" s="24" t="str">
        <f t="shared" si="96"/>
        <v/>
      </c>
      <c r="T1178" t="str">
        <f t="shared" si="93"/>
        <v/>
      </c>
    </row>
    <row r="1179" spans="1:20">
      <c r="A1179" s="22" t="s">
        <v>1273</v>
      </c>
      <c r="H1179" s="22" t="str">
        <f t="shared" si="94"/>
        <v/>
      </c>
      <c r="J1179" s="32"/>
      <c r="R1179" s="24" t="str">
        <f t="shared" si="95"/>
        <v/>
      </c>
      <c r="S1179" s="24" t="str">
        <f t="shared" si="96"/>
        <v/>
      </c>
      <c r="T1179" t="str">
        <f t="shared" si="93"/>
        <v/>
      </c>
    </row>
    <row r="1180" spans="1:20">
      <c r="A1180" s="22" t="s">
        <v>1274</v>
      </c>
      <c r="H1180" s="22" t="str">
        <f t="shared" si="94"/>
        <v/>
      </c>
      <c r="J1180" s="32"/>
      <c r="R1180" s="24" t="str">
        <f t="shared" si="95"/>
        <v/>
      </c>
      <c r="S1180" s="24" t="str">
        <f t="shared" si="96"/>
        <v/>
      </c>
      <c r="T1180" t="str">
        <f t="shared" si="93"/>
        <v/>
      </c>
    </row>
    <row r="1181" spans="1:20">
      <c r="A1181" s="22" t="s">
        <v>1275</v>
      </c>
      <c r="H1181" s="22" t="str">
        <f t="shared" si="94"/>
        <v/>
      </c>
      <c r="J1181" s="32"/>
      <c r="R1181" s="24" t="str">
        <f t="shared" si="95"/>
        <v/>
      </c>
      <c r="S1181" s="24" t="str">
        <f t="shared" si="96"/>
        <v/>
      </c>
      <c r="T1181" t="str">
        <f t="shared" si="93"/>
        <v/>
      </c>
    </row>
    <row r="1182" spans="1:20">
      <c r="A1182" s="22" t="s">
        <v>1276</v>
      </c>
      <c r="H1182" s="22" t="str">
        <f t="shared" si="94"/>
        <v/>
      </c>
      <c r="J1182" s="32"/>
      <c r="R1182" s="24" t="str">
        <f t="shared" si="95"/>
        <v/>
      </c>
      <c r="S1182" s="24" t="str">
        <f t="shared" si="96"/>
        <v/>
      </c>
      <c r="T1182" t="str">
        <f t="shared" si="93"/>
        <v/>
      </c>
    </row>
    <row r="1183" spans="1:20">
      <c r="A1183" s="22" t="s">
        <v>1277</v>
      </c>
      <c r="H1183" s="22" t="str">
        <f t="shared" si="94"/>
        <v/>
      </c>
      <c r="J1183" s="32"/>
      <c r="R1183" s="24" t="str">
        <f t="shared" si="95"/>
        <v/>
      </c>
      <c r="S1183" s="24" t="str">
        <f t="shared" si="96"/>
        <v/>
      </c>
      <c r="T1183" t="str">
        <f t="shared" si="93"/>
        <v/>
      </c>
    </row>
    <row r="1184" spans="1:20">
      <c r="A1184" s="22" t="s">
        <v>1278</v>
      </c>
      <c r="H1184" s="22" t="str">
        <f t="shared" si="94"/>
        <v/>
      </c>
      <c r="J1184" s="32"/>
      <c r="R1184" s="24" t="str">
        <f t="shared" si="95"/>
        <v/>
      </c>
      <c r="S1184" s="24" t="str">
        <f t="shared" si="96"/>
        <v/>
      </c>
      <c r="T1184" t="str">
        <f t="shared" si="93"/>
        <v/>
      </c>
    </row>
    <row r="1185" spans="1:20">
      <c r="A1185" s="22" t="s">
        <v>1279</v>
      </c>
      <c r="H1185" s="22" t="str">
        <f t="shared" si="94"/>
        <v/>
      </c>
      <c r="J1185" s="32"/>
      <c r="R1185" s="24" t="str">
        <f t="shared" si="95"/>
        <v/>
      </c>
      <c r="S1185" s="24" t="str">
        <f t="shared" si="96"/>
        <v/>
      </c>
      <c r="T1185" t="str">
        <f t="shared" si="93"/>
        <v/>
      </c>
    </row>
    <row r="1186" spans="1:20">
      <c r="A1186" s="22" t="s">
        <v>1280</v>
      </c>
      <c r="H1186" s="22" t="str">
        <f t="shared" si="94"/>
        <v/>
      </c>
      <c r="J1186" s="32"/>
      <c r="R1186" s="24" t="str">
        <f t="shared" si="95"/>
        <v/>
      </c>
      <c r="S1186" s="24" t="str">
        <f t="shared" si="96"/>
        <v/>
      </c>
      <c r="T1186" t="str">
        <f t="shared" si="93"/>
        <v/>
      </c>
    </row>
    <row r="1187" spans="1:20">
      <c r="A1187" s="22" t="s">
        <v>1281</v>
      </c>
      <c r="H1187" s="22" t="str">
        <f t="shared" si="94"/>
        <v/>
      </c>
      <c r="J1187" s="32"/>
      <c r="R1187" s="24" t="str">
        <f t="shared" si="95"/>
        <v/>
      </c>
      <c r="S1187" s="24" t="str">
        <f t="shared" si="96"/>
        <v/>
      </c>
      <c r="T1187" t="str">
        <f t="shared" si="93"/>
        <v/>
      </c>
    </row>
    <row r="1188" spans="1:20">
      <c r="A1188" s="22" t="s">
        <v>1282</v>
      </c>
      <c r="H1188" s="22" t="str">
        <f t="shared" si="94"/>
        <v/>
      </c>
      <c r="J1188" s="32"/>
      <c r="R1188" s="24" t="str">
        <f t="shared" si="95"/>
        <v/>
      </c>
      <c r="S1188" s="24" t="str">
        <f t="shared" si="96"/>
        <v/>
      </c>
      <c r="T1188" t="str">
        <f t="shared" si="93"/>
        <v/>
      </c>
    </row>
    <row r="1189" spans="1:20">
      <c r="A1189" s="22" t="s">
        <v>1283</v>
      </c>
      <c r="H1189" s="22" t="str">
        <f t="shared" si="94"/>
        <v/>
      </c>
      <c r="J1189" s="32"/>
      <c r="R1189" s="24" t="str">
        <f t="shared" si="95"/>
        <v/>
      </c>
      <c r="S1189" s="24" t="str">
        <f t="shared" si="96"/>
        <v/>
      </c>
      <c r="T1189" t="str">
        <f t="shared" si="93"/>
        <v/>
      </c>
    </row>
    <row r="1190" spans="1:20">
      <c r="A1190" s="22" t="s">
        <v>1284</v>
      </c>
      <c r="H1190" s="22" t="str">
        <f t="shared" si="94"/>
        <v/>
      </c>
      <c r="J1190" s="32"/>
      <c r="R1190" s="24" t="str">
        <f t="shared" si="95"/>
        <v/>
      </c>
      <c r="S1190" s="24" t="str">
        <f t="shared" si="96"/>
        <v/>
      </c>
      <c r="T1190" t="str">
        <f t="shared" si="93"/>
        <v/>
      </c>
    </row>
    <row r="1191" spans="1:20">
      <c r="A1191" s="22" t="s">
        <v>1285</v>
      </c>
      <c r="H1191" s="22" t="str">
        <f t="shared" si="94"/>
        <v/>
      </c>
      <c r="J1191" s="32"/>
      <c r="R1191" s="24" t="str">
        <f t="shared" si="95"/>
        <v/>
      </c>
      <c r="S1191" s="24" t="str">
        <f t="shared" si="96"/>
        <v/>
      </c>
      <c r="T1191" t="str">
        <f t="shared" si="93"/>
        <v/>
      </c>
    </row>
    <row r="1192" spans="1:20">
      <c r="A1192" s="22" t="s">
        <v>1286</v>
      </c>
      <c r="H1192" s="22" t="str">
        <f t="shared" si="94"/>
        <v/>
      </c>
      <c r="J1192" s="32"/>
      <c r="R1192" s="24" t="str">
        <f t="shared" si="95"/>
        <v/>
      </c>
      <c r="S1192" s="24" t="str">
        <f t="shared" si="96"/>
        <v/>
      </c>
      <c r="T1192" t="str">
        <f t="shared" si="93"/>
        <v/>
      </c>
    </row>
    <row r="1193" spans="1:20">
      <c r="A1193" s="22" t="s">
        <v>1287</v>
      </c>
      <c r="H1193" s="22" t="str">
        <f t="shared" si="94"/>
        <v/>
      </c>
      <c r="J1193" s="32"/>
      <c r="R1193" s="24" t="str">
        <f t="shared" si="95"/>
        <v/>
      </c>
      <c r="S1193" s="24" t="str">
        <f t="shared" si="96"/>
        <v/>
      </c>
      <c r="T1193" t="str">
        <f t="shared" si="93"/>
        <v/>
      </c>
    </row>
    <row r="1194" spans="1:20">
      <c r="A1194" s="22" t="s">
        <v>1288</v>
      </c>
      <c r="H1194" s="22" t="str">
        <f t="shared" si="94"/>
        <v/>
      </c>
      <c r="J1194" s="32"/>
      <c r="R1194" s="24" t="str">
        <f t="shared" si="95"/>
        <v/>
      </c>
      <c r="S1194" s="24" t="str">
        <f t="shared" si="96"/>
        <v/>
      </c>
      <c r="T1194" t="str">
        <f t="shared" si="93"/>
        <v/>
      </c>
    </row>
    <row r="1195" spans="1:20">
      <c r="A1195" s="22" t="s">
        <v>1289</v>
      </c>
      <c r="H1195" s="22" t="str">
        <f t="shared" si="94"/>
        <v/>
      </c>
      <c r="J1195" s="32"/>
      <c r="R1195" s="24" t="str">
        <f t="shared" si="95"/>
        <v/>
      </c>
      <c r="S1195" s="24" t="str">
        <f t="shared" si="96"/>
        <v/>
      </c>
      <c r="T1195" t="str">
        <f t="shared" si="93"/>
        <v/>
      </c>
    </row>
    <row r="1196" spans="1:20">
      <c r="A1196" s="22" t="s">
        <v>1290</v>
      </c>
      <c r="H1196" s="22" t="str">
        <f t="shared" si="94"/>
        <v/>
      </c>
      <c r="J1196" s="32"/>
      <c r="R1196" s="24" t="str">
        <f t="shared" si="95"/>
        <v/>
      </c>
      <c r="S1196" s="24" t="str">
        <f t="shared" si="96"/>
        <v/>
      </c>
      <c r="T1196" t="str">
        <f t="shared" si="93"/>
        <v/>
      </c>
    </row>
    <row r="1197" spans="1:20">
      <c r="A1197" s="22" t="s">
        <v>1291</v>
      </c>
      <c r="H1197" s="22" t="str">
        <f t="shared" si="94"/>
        <v/>
      </c>
      <c r="J1197" s="32"/>
      <c r="R1197" s="24" t="str">
        <f t="shared" si="95"/>
        <v/>
      </c>
      <c r="S1197" s="24" t="str">
        <f t="shared" si="96"/>
        <v/>
      </c>
      <c r="T1197" t="str">
        <f t="shared" si="93"/>
        <v/>
      </c>
    </row>
    <row r="1198" spans="1:20">
      <c r="A1198" s="22" t="s">
        <v>1292</v>
      </c>
      <c r="H1198" s="22" t="str">
        <f t="shared" si="94"/>
        <v/>
      </c>
      <c r="J1198" s="32"/>
      <c r="R1198" s="24" t="str">
        <f t="shared" si="95"/>
        <v/>
      </c>
      <c r="S1198" s="24" t="str">
        <f t="shared" si="96"/>
        <v/>
      </c>
      <c r="T1198" t="str">
        <f t="shared" si="93"/>
        <v/>
      </c>
    </row>
    <row r="1199" spans="1:20">
      <c r="A1199" s="22" t="s">
        <v>1293</v>
      </c>
      <c r="H1199" s="22" t="str">
        <f t="shared" si="94"/>
        <v/>
      </c>
      <c r="J1199" s="32"/>
      <c r="R1199" s="24" t="str">
        <f t="shared" si="95"/>
        <v/>
      </c>
      <c r="S1199" s="24" t="str">
        <f t="shared" si="96"/>
        <v/>
      </c>
      <c r="T1199" t="str">
        <f t="shared" si="93"/>
        <v/>
      </c>
    </row>
    <row r="1200" spans="1:20">
      <c r="A1200" s="22" t="s">
        <v>1294</v>
      </c>
      <c r="H1200" s="22" t="str">
        <f t="shared" si="94"/>
        <v/>
      </c>
      <c r="J1200" s="32"/>
      <c r="R1200" s="24" t="str">
        <f t="shared" si="95"/>
        <v/>
      </c>
      <c r="S1200" s="24" t="str">
        <f t="shared" si="96"/>
        <v/>
      </c>
      <c r="T1200" t="str">
        <f t="shared" si="93"/>
        <v/>
      </c>
    </row>
    <row r="1201" spans="1:20">
      <c r="A1201" s="22" t="s">
        <v>1295</v>
      </c>
      <c r="H1201" s="22" t="str">
        <f t="shared" si="94"/>
        <v/>
      </c>
      <c r="J1201" s="32"/>
      <c r="R1201" s="24" t="str">
        <f t="shared" si="95"/>
        <v/>
      </c>
      <c r="S1201" s="24" t="str">
        <f t="shared" si="96"/>
        <v/>
      </c>
      <c r="T1201" t="str">
        <f t="shared" si="93"/>
        <v/>
      </c>
    </row>
    <row r="1202" spans="1:20">
      <c r="A1202" s="22" t="s">
        <v>1296</v>
      </c>
      <c r="H1202" s="22" t="str">
        <f t="shared" si="94"/>
        <v/>
      </c>
      <c r="J1202" s="32"/>
      <c r="R1202" s="24" t="str">
        <f t="shared" si="95"/>
        <v/>
      </c>
      <c r="S1202" s="24" t="str">
        <f t="shared" si="96"/>
        <v/>
      </c>
      <c r="T1202" t="str">
        <f t="shared" si="93"/>
        <v/>
      </c>
    </row>
    <row r="1203" spans="1:20">
      <c r="A1203" s="22" t="s">
        <v>1297</v>
      </c>
      <c r="H1203" s="22" t="str">
        <f t="shared" si="94"/>
        <v/>
      </c>
      <c r="J1203" s="32"/>
      <c r="R1203" s="24" t="str">
        <f t="shared" si="95"/>
        <v/>
      </c>
      <c r="S1203" s="24" t="str">
        <f t="shared" si="96"/>
        <v/>
      </c>
      <c r="T1203" t="str">
        <f t="shared" si="93"/>
        <v/>
      </c>
    </row>
    <row r="1204" spans="1:20">
      <c r="A1204" s="22" t="s">
        <v>1298</v>
      </c>
      <c r="H1204" s="22" t="str">
        <f t="shared" si="94"/>
        <v/>
      </c>
      <c r="J1204" s="32"/>
      <c r="R1204" s="24" t="str">
        <f t="shared" si="95"/>
        <v/>
      </c>
      <c r="S1204" s="24" t="str">
        <f t="shared" si="96"/>
        <v/>
      </c>
      <c r="T1204" t="str">
        <f t="shared" si="93"/>
        <v/>
      </c>
    </row>
    <row r="1205" spans="1:20">
      <c r="A1205" s="22" t="s">
        <v>1299</v>
      </c>
      <c r="H1205" s="22" t="str">
        <f t="shared" si="94"/>
        <v/>
      </c>
      <c r="J1205" s="32"/>
      <c r="R1205" s="24" t="str">
        <f t="shared" si="95"/>
        <v/>
      </c>
      <c r="S1205" s="24" t="str">
        <f t="shared" si="96"/>
        <v/>
      </c>
      <c r="T1205" t="str">
        <f t="shared" si="93"/>
        <v/>
      </c>
    </row>
    <row r="1206" spans="1:20">
      <c r="A1206" s="22" t="s">
        <v>1300</v>
      </c>
      <c r="H1206" s="22" t="str">
        <f t="shared" si="94"/>
        <v/>
      </c>
      <c r="J1206" s="32"/>
      <c r="R1206" s="24" t="str">
        <f t="shared" si="95"/>
        <v/>
      </c>
      <c r="S1206" s="24" t="str">
        <f t="shared" si="96"/>
        <v/>
      </c>
      <c r="T1206" t="str">
        <f t="shared" si="93"/>
        <v/>
      </c>
    </row>
    <row r="1207" spans="1:20">
      <c r="A1207" s="22" t="s">
        <v>1301</v>
      </c>
      <c r="H1207" s="22" t="str">
        <f t="shared" si="94"/>
        <v/>
      </c>
      <c r="J1207" s="32"/>
      <c r="R1207" s="24" t="str">
        <f t="shared" si="95"/>
        <v/>
      </c>
      <c r="S1207" s="24" t="str">
        <f t="shared" si="96"/>
        <v/>
      </c>
      <c r="T1207" t="str">
        <f t="shared" si="93"/>
        <v/>
      </c>
    </row>
    <row r="1208" spans="1:20">
      <c r="A1208" s="22" t="s">
        <v>1302</v>
      </c>
      <c r="H1208" s="22" t="str">
        <f t="shared" si="94"/>
        <v/>
      </c>
      <c r="J1208" s="32"/>
      <c r="R1208" s="24" t="str">
        <f t="shared" si="95"/>
        <v/>
      </c>
      <c r="S1208" s="24" t="str">
        <f t="shared" si="96"/>
        <v/>
      </c>
      <c r="T1208" t="str">
        <f t="shared" si="93"/>
        <v/>
      </c>
    </row>
    <row r="1209" spans="1:20">
      <c r="A1209" s="22" t="s">
        <v>1303</v>
      </c>
      <c r="H1209" s="22" t="str">
        <f t="shared" si="94"/>
        <v/>
      </c>
      <c r="J1209" s="32"/>
      <c r="R1209" s="24" t="str">
        <f t="shared" si="95"/>
        <v/>
      </c>
      <c r="S1209" s="24" t="str">
        <f t="shared" si="96"/>
        <v/>
      </c>
      <c r="T1209" t="str">
        <f t="shared" si="93"/>
        <v/>
      </c>
    </row>
    <row r="1210" spans="1:20">
      <c r="A1210" s="22" t="s">
        <v>1304</v>
      </c>
      <c r="H1210" s="22" t="str">
        <f t="shared" si="94"/>
        <v/>
      </c>
      <c r="J1210" s="32"/>
      <c r="R1210" s="24" t="str">
        <f t="shared" si="95"/>
        <v/>
      </c>
      <c r="S1210" s="24" t="str">
        <f t="shared" si="96"/>
        <v/>
      </c>
      <c r="T1210" t="str">
        <f t="shared" si="93"/>
        <v/>
      </c>
    </row>
    <row r="1211" spans="1:20">
      <c r="A1211" s="22" t="s">
        <v>1305</v>
      </c>
      <c r="H1211" s="22" t="str">
        <f t="shared" si="94"/>
        <v/>
      </c>
      <c r="J1211" s="32"/>
      <c r="R1211" s="24" t="str">
        <f t="shared" si="95"/>
        <v/>
      </c>
      <c r="S1211" s="24" t="str">
        <f t="shared" si="96"/>
        <v/>
      </c>
      <c r="T1211" t="str">
        <f t="shared" si="93"/>
        <v/>
      </c>
    </row>
    <row r="1212" spans="1:20">
      <c r="A1212" s="22" t="s">
        <v>1306</v>
      </c>
      <c r="H1212" s="22" t="str">
        <f t="shared" si="94"/>
        <v/>
      </c>
      <c r="J1212" s="32"/>
      <c r="R1212" s="24" t="str">
        <f t="shared" si="95"/>
        <v/>
      </c>
      <c r="S1212" s="24" t="str">
        <f t="shared" si="96"/>
        <v/>
      </c>
      <c r="T1212" t="str">
        <f t="shared" si="93"/>
        <v/>
      </c>
    </row>
    <row r="1213" spans="1:20">
      <c r="A1213" s="22" t="s">
        <v>1307</v>
      </c>
      <c r="H1213" s="22" t="str">
        <f t="shared" si="94"/>
        <v/>
      </c>
      <c r="J1213" s="32"/>
      <c r="R1213" s="24" t="str">
        <f t="shared" si="95"/>
        <v/>
      </c>
      <c r="S1213" s="24" t="str">
        <f t="shared" si="96"/>
        <v/>
      </c>
      <c r="T1213" t="str">
        <f t="shared" si="93"/>
        <v/>
      </c>
    </row>
    <row r="1214" spans="1:20">
      <c r="A1214" s="22" t="s">
        <v>1308</v>
      </c>
      <c r="H1214" s="22" t="str">
        <f t="shared" si="94"/>
        <v/>
      </c>
      <c r="J1214" s="32"/>
      <c r="R1214" s="24" t="str">
        <f t="shared" si="95"/>
        <v/>
      </c>
      <c r="S1214" s="24" t="str">
        <f t="shared" si="96"/>
        <v/>
      </c>
      <c r="T1214" t="str">
        <f t="shared" si="93"/>
        <v/>
      </c>
    </row>
    <row r="1215" spans="1:20">
      <c r="A1215" s="22" t="s">
        <v>1309</v>
      </c>
      <c r="H1215" s="22" t="str">
        <f t="shared" si="94"/>
        <v/>
      </c>
      <c r="J1215" s="32"/>
      <c r="R1215" s="24" t="str">
        <f t="shared" si="95"/>
        <v/>
      </c>
      <c r="S1215" s="24" t="str">
        <f t="shared" si="96"/>
        <v/>
      </c>
      <c r="T1215" t="str">
        <f t="shared" si="93"/>
        <v/>
      </c>
    </row>
    <row r="1216" spans="1:20">
      <c r="A1216" s="22" t="s">
        <v>1310</v>
      </c>
      <c r="H1216" s="22" t="str">
        <f t="shared" si="94"/>
        <v/>
      </c>
      <c r="J1216" s="32"/>
      <c r="R1216" s="24" t="str">
        <f t="shared" si="95"/>
        <v/>
      </c>
      <c r="S1216" s="24" t="str">
        <f t="shared" si="96"/>
        <v/>
      </c>
      <c r="T1216" t="str">
        <f t="shared" si="93"/>
        <v/>
      </c>
    </row>
    <row r="1217" spans="1:20">
      <c r="A1217" s="22" t="s">
        <v>1311</v>
      </c>
      <c r="H1217" s="22" t="str">
        <f t="shared" si="94"/>
        <v/>
      </c>
      <c r="J1217" s="32"/>
      <c r="R1217" s="24" t="str">
        <f t="shared" si="95"/>
        <v/>
      </c>
      <c r="S1217" s="24" t="str">
        <f t="shared" si="96"/>
        <v/>
      </c>
      <c r="T1217" t="str">
        <f t="shared" si="93"/>
        <v/>
      </c>
    </row>
    <row r="1218" spans="1:20">
      <c r="A1218" s="22" t="s">
        <v>1312</v>
      </c>
      <c r="H1218" s="22" t="str">
        <f t="shared" si="94"/>
        <v/>
      </c>
      <c r="J1218" s="32"/>
      <c r="R1218" s="24" t="str">
        <f t="shared" si="95"/>
        <v/>
      </c>
      <c r="S1218" s="24" t="str">
        <f t="shared" si="96"/>
        <v/>
      </c>
      <c r="T1218" t="str">
        <f t="shared" si="93"/>
        <v/>
      </c>
    </row>
    <row r="1219" spans="1:20">
      <c r="A1219" s="22" t="s">
        <v>1313</v>
      </c>
      <c r="H1219" s="22" t="str">
        <f t="shared" si="94"/>
        <v/>
      </c>
      <c r="J1219" s="32"/>
      <c r="R1219" s="24" t="str">
        <f t="shared" si="95"/>
        <v/>
      </c>
      <c r="S1219" s="24" t="str">
        <f t="shared" si="96"/>
        <v/>
      </c>
      <c r="T1219" t="str">
        <f t="shared" si="93"/>
        <v/>
      </c>
    </row>
    <row r="1220" spans="1:20">
      <c r="A1220" s="22" t="s">
        <v>1314</v>
      </c>
      <c r="H1220" s="22" t="str">
        <f t="shared" si="94"/>
        <v/>
      </c>
      <c r="J1220" s="32"/>
      <c r="R1220" s="24" t="str">
        <f t="shared" si="95"/>
        <v/>
      </c>
      <c r="S1220" s="24" t="str">
        <f t="shared" si="96"/>
        <v/>
      </c>
      <c r="T1220" t="str">
        <f t="shared" si="93"/>
        <v/>
      </c>
    </row>
    <row r="1221" spans="1:20">
      <c r="A1221" s="22" t="s">
        <v>1315</v>
      </c>
      <c r="H1221" s="22" t="str">
        <f t="shared" si="94"/>
        <v/>
      </c>
      <c r="J1221" s="32"/>
      <c r="R1221" s="24" t="str">
        <f t="shared" si="95"/>
        <v/>
      </c>
      <c r="S1221" s="24" t="str">
        <f t="shared" si="96"/>
        <v/>
      </c>
      <c r="T1221" t="str">
        <f t="shared" si="93"/>
        <v/>
      </c>
    </row>
    <row r="1222" spans="1:20">
      <c r="A1222" s="22" t="s">
        <v>1316</v>
      </c>
      <c r="H1222" s="22" t="str">
        <f t="shared" si="94"/>
        <v/>
      </c>
      <c r="J1222" s="32"/>
      <c r="R1222" s="24" t="str">
        <f t="shared" si="95"/>
        <v/>
      </c>
      <c r="S1222" s="24" t="str">
        <f t="shared" si="96"/>
        <v/>
      </c>
      <c r="T1222" t="str">
        <f t="shared" si="93"/>
        <v/>
      </c>
    </row>
    <row r="1223" spans="1:20">
      <c r="A1223" s="22" t="s">
        <v>1317</v>
      </c>
      <c r="H1223" s="22" t="str">
        <f t="shared" si="94"/>
        <v/>
      </c>
      <c r="J1223" s="32"/>
      <c r="R1223" s="24" t="str">
        <f t="shared" si="95"/>
        <v/>
      </c>
      <c r="S1223" s="24" t="str">
        <f t="shared" si="96"/>
        <v/>
      </c>
      <c r="T1223" t="str">
        <f t="shared" si="93"/>
        <v/>
      </c>
    </row>
    <row r="1224" spans="1:20">
      <c r="A1224" s="22" t="s">
        <v>1318</v>
      </c>
      <c r="H1224" s="22" t="str">
        <f t="shared" si="94"/>
        <v/>
      </c>
      <c r="J1224" s="32"/>
      <c r="R1224" s="24" t="str">
        <f t="shared" si="95"/>
        <v/>
      </c>
      <c r="S1224" s="24" t="str">
        <f t="shared" si="96"/>
        <v/>
      </c>
      <c r="T1224" t="str">
        <f t="shared" si="93"/>
        <v/>
      </c>
    </row>
    <row r="1225" spans="1:20">
      <c r="A1225" s="22" t="s">
        <v>1319</v>
      </c>
      <c r="H1225" s="22" t="str">
        <f t="shared" si="94"/>
        <v/>
      </c>
      <c r="J1225" s="32"/>
      <c r="R1225" s="24" t="str">
        <f t="shared" si="95"/>
        <v/>
      </c>
      <c r="S1225" s="24" t="str">
        <f t="shared" si="96"/>
        <v/>
      </c>
      <c r="T1225" t="str">
        <f t="shared" si="93"/>
        <v/>
      </c>
    </row>
    <row r="1226" spans="1:20">
      <c r="A1226" s="22" t="s">
        <v>1320</v>
      </c>
      <c r="H1226" s="22" t="str">
        <f t="shared" si="94"/>
        <v/>
      </c>
      <c r="J1226" s="32"/>
      <c r="R1226" s="24" t="str">
        <f t="shared" si="95"/>
        <v/>
      </c>
      <c r="S1226" s="24" t="str">
        <f t="shared" si="96"/>
        <v/>
      </c>
      <c r="T1226" t="str">
        <f t="shared" si="93"/>
        <v/>
      </c>
    </row>
    <row r="1227" spans="1:20">
      <c r="A1227" s="22" t="s">
        <v>1321</v>
      </c>
      <c r="H1227" s="22" t="str">
        <f t="shared" si="94"/>
        <v/>
      </c>
      <c r="J1227" s="32"/>
      <c r="R1227" s="24" t="str">
        <f t="shared" si="95"/>
        <v/>
      </c>
      <c r="S1227" s="24" t="str">
        <f t="shared" si="96"/>
        <v/>
      </c>
      <c r="T1227" t="str">
        <f t="shared" si="93"/>
        <v/>
      </c>
    </row>
    <row r="1228" spans="1:20">
      <c r="A1228" s="22" t="s">
        <v>1322</v>
      </c>
      <c r="H1228" s="22" t="str">
        <f t="shared" si="94"/>
        <v/>
      </c>
      <c r="J1228" s="32"/>
      <c r="R1228" s="24" t="str">
        <f t="shared" si="95"/>
        <v/>
      </c>
      <c r="S1228" s="24" t="str">
        <f t="shared" si="96"/>
        <v/>
      </c>
      <c r="T1228" t="str">
        <f t="shared" si="93"/>
        <v/>
      </c>
    </row>
    <row r="1229" spans="1:20">
      <c r="A1229" s="22" t="s">
        <v>1323</v>
      </c>
      <c r="H1229" s="22" t="str">
        <f t="shared" si="94"/>
        <v/>
      </c>
      <c r="J1229" s="32"/>
      <c r="R1229" s="24" t="str">
        <f t="shared" si="95"/>
        <v/>
      </c>
      <c r="S1229" s="24" t="str">
        <f t="shared" si="96"/>
        <v/>
      </c>
      <c r="T1229" t="str">
        <f t="shared" si="93"/>
        <v/>
      </c>
    </row>
    <row r="1230" spans="1:20">
      <c r="A1230" s="22" t="s">
        <v>1324</v>
      </c>
      <c r="H1230" s="22" t="str">
        <f t="shared" si="94"/>
        <v/>
      </c>
      <c r="J1230" s="32"/>
      <c r="R1230" s="24" t="str">
        <f t="shared" si="95"/>
        <v/>
      </c>
      <c r="S1230" s="24" t="str">
        <f t="shared" si="96"/>
        <v/>
      </c>
      <c r="T1230" t="str">
        <f t="shared" si="93"/>
        <v/>
      </c>
    </row>
    <row r="1231" spans="1:20">
      <c r="A1231" s="22" t="s">
        <v>1325</v>
      </c>
      <c r="H1231" s="22" t="str">
        <f t="shared" si="94"/>
        <v/>
      </c>
      <c r="J1231" s="32"/>
      <c r="R1231" s="24" t="str">
        <f t="shared" si="95"/>
        <v/>
      </c>
      <c r="S1231" s="24" t="str">
        <f t="shared" si="96"/>
        <v/>
      </c>
      <c r="T1231" t="str">
        <f t="shared" ref="T1231:T1294" si="97">IF(OR(C1231="",I1231&lt;&gt;"ENTRADA"),"",TEXT(B1231,"AAMMDD")&amp;"-"&amp;TEXT(VALUE(SUBSTITUTE(A1231,"MOV-","")),"000"))</f>
        <v/>
      </c>
    </row>
    <row r="1232" spans="1:20">
      <c r="A1232" s="22" t="s">
        <v>1326</v>
      </c>
      <c r="H1232" s="22" t="str">
        <f t="shared" ref="H1232:H1295" si="98">+T1232</f>
        <v/>
      </c>
      <c r="J1232" s="32"/>
      <c r="R1232" s="24" t="str">
        <f t="shared" ref="R1232:R1295" si="99">IF(H1232="","",H1232&amp;I1232)</f>
        <v/>
      </c>
      <c r="S1232" s="24" t="str">
        <f t="shared" ref="S1232:S1295" si="100">IF(C1232="","",C1232&amp;I1232)</f>
        <v/>
      </c>
      <c r="T1232" t="str">
        <f t="shared" si="97"/>
        <v/>
      </c>
    </row>
    <row r="1233" spans="1:20">
      <c r="A1233" s="22" t="s">
        <v>1327</v>
      </c>
      <c r="H1233" s="22" t="str">
        <f t="shared" si="98"/>
        <v/>
      </c>
      <c r="J1233" s="32"/>
      <c r="R1233" s="24" t="str">
        <f t="shared" si="99"/>
        <v/>
      </c>
      <c r="S1233" s="24" t="str">
        <f t="shared" si="100"/>
        <v/>
      </c>
      <c r="T1233" t="str">
        <f t="shared" si="97"/>
        <v/>
      </c>
    </row>
    <row r="1234" spans="1:20">
      <c r="A1234" s="22" t="s">
        <v>1328</v>
      </c>
      <c r="H1234" s="22" t="str">
        <f t="shared" si="98"/>
        <v/>
      </c>
      <c r="J1234" s="32"/>
      <c r="R1234" s="24" t="str">
        <f t="shared" si="99"/>
        <v/>
      </c>
      <c r="S1234" s="24" t="str">
        <f t="shared" si="100"/>
        <v/>
      </c>
      <c r="T1234" t="str">
        <f t="shared" si="97"/>
        <v/>
      </c>
    </row>
    <row r="1235" spans="1:20">
      <c r="A1235" s="22" t="s">
        <v>1329</v>
      </c>
      <c r="H1235" s="22" t="str">
        <f t="shared" si="98"/>
        <v/>
      </c>
      <c r="J1235" s="32"/>
      <c r="R1235" s="24" t="str">
        <f t="shared" si="99"/>
        <v/>
      </c>
      <c r="S1235" s="24" t="str">
        <f t="shared" si="100"/>
        <v/>
      </c>
      <c r="T1235" t="str">
        <f t="shared" si="97"/>
        <v/>
      </c>
    </row>
    <row r="1236" spans="1:20">
      <c r="A1236" s="22" t="s">
        <v>1330</v>
      </c>
      <c r="H1236" s="22" t="str">
        <f t="shared" si="98"/>
        <v/>
      </c>
      <c r="J1236" s="32"/>
      <c r="R1236" s="24" t="str">
        <f t="shared" si="99"/>
        <v/>
      </c>
      <c r="S1236" s="24" t="str">
        <f t="shared" si="100"/>
        <v/>
      </c>
      <c r="T1236" t="str">
        <f t="shared" si="97"/>
        <v/>
      </c>
    </row>
    <row r="1237" spans="1:20">
      <c r="A1237" s="22" t="s">
        <v>1331</v>
      </c>
      <c r="H1237" s="22" t="str">
        <f t="shared" si="98"/>
        <v/>
      </c>
      <c r="J1237" s="32"/>
      <c r="R1237" s="24" t="str">
        <f t="shared" si="99"/>
        <v/>
      </c>
      <c r="S1237" s="24" t="str">
        <f t="shared" si="100"/>
        <v/>
      </c>
      <c r="T1237" t="str">
        <f t="shared" si="97"/>
        <v/>
      </c>
    </row>
    <row r="1238" spans="1:20">
      <c r="A1238" s="22" t="s">
        <v>1332</v>
      </c>
      <c r="H1238" s="22" t="str">
        <f t="shared" si="98"/>
        <v/>
      </c>
      <c r="J1238" s="32"/>
      <c r="R1238" s="24" t="str">
        <f t="shared" si="99"/>
        <v/>
      </c>
      <c r="S1238" s="24" t="str">
        <f t="shared" si="100"/>
        <v/>
      </c>
      <c r="T1238" t="str">
        <f t="shared" si="97"/>
        <v/>
      </c>
    </row>
    <row r="1239" spans="1:20">
      <c r="A1239" s="22" t="s">
        <v>1333</v>
      </c>
      <c r="H1239" s="22" t="str">
        <f t="shared" si="98"/>
        <v/>
      </c>
      <c r="J1239" s="32"/>
      <c r="R1239" s="24" t="str">
        <f t="shared" si="99"/>
        <v/>
      </c>
      <c r="S1239" s="24" t="str">
        <f t="shared" si="100"/>
        <v/>
      </c>
      <c r="T1239" t="str">
        <f t="shared" si="97"/>
        <v/>
      </c>
    </row>
    <row r="1240" spans="1:20">
      <c r="A1240" s="22" t="s">
        <v>1334</v>
      </c>
      <c r="H1240" s="22" t="str">
        <f t="shared" si="98"/>
        <v/>
      </c>
      <c r="J1240" s="32"/>
      <c r="R1240" s="24" t="str">
        <f t="shared" si="99"/>
        <v/>
      </c>
      <c r="S1240" s="24" t="str">
        <f t="shared" si="100"/>
        <v/>
      </c>
      <c r="T1240" t="str">
        <f t="shared" si="97"/>
        <v/>
      </c>
    </row>
    <row r="1241" spans="1:20">
      <c r="A1241" s="22" t="s">
        <v>1335</v>
      </c>
      <c r="H1241" s="22" t="str">
        <f t="shared" si="98"/>
        <v/>
      </c>
      <c r="J1241" s="32"/>
      <c r="R1241" s="24" t="str">
        <f t="shared" si="99"/>
        <v/>
      </c>
      <c r="S1241" s="24" t="str">
        <f t="shared" si="100"/>
        <v/>
      </c>
      <c r="T1241" t="str">
        <f t="shared" si="97"/>
        <v/>
      </c>
    </row>
    <row r="1242" spans="1:20">
      <c r="A1242" s="22" t="s">
        <v>1336</v>
      </c>
      <c r="H1242" s="22" t="str">
        <f t="shared" si="98"/>
        <v/>
      </c>
      <c r="J1242" s="32"/>
      <c r="R1242" s="24" t="str">
        <f t="shared" si="99"/>
        <v/>
      </c>
      <c r="S1242" s="24" t="str">
        <f t="shared" si="100"/>
        <v/>
      </c>
      <c r="T1242" t="str">
        <f t="shared" si="97"/>
        <v/>
      </c>
    </row>
    <row r="1243" spans="1:20">
      <c r="A1243" s="22" t="s">
        <v>1337</v>
      </c>
      <c r="H1243" s="22" t="str">
        <f t="shared" si="98"/>
        <v/>
      </c>
      <c r="J1243" s="32"/>
      <c r="R1243" s="24" t="str">
        <f t="shared" si="99"/>
        <v/>
      </c>
      <c r="S1243" s="24" t="str">
        <f t="shared" si="100"/>
        <v/>
      </c>
      <c r="T1243" t="str">
        <f t="shared" si="97"/>
        <v/>
      </c>
    </row>
    <row r="1244" spans="1:20">
      <c r="A1244" s="22" t="s">
        <v>1338</v>
      </c>
      <c r="H1244" s="22" t="str">
        <f t="shared" si="98"/>
        <v/>
      </c>
      <c r="J1244" s="32"/>
      <c r="R1244" s="24" t="str">
        <f t="shared" si="99"/>
        <v/>
      </c>
      <c r="S1244" s="24" t="str">
        <f t="shared" si="100"/>
        <v/>
      </c>
      <c r="T1244" t="str">
        <f t="shared" si="97"/>
        <v/>
      </c>
    </row>
    <row r="1245" spans="1:20">
      <c r="A1245" s="22" t="s">
        <v>1339</v>
      </c>
      <c r="H1245" s="22" t="str">
        <f t="shared" si="98"/>
        <v/>
      </c>
      <c r="J1245" s="32"/>
      <c r="R1245" s="24" t="str">
        <f t="shared" si="99"/>
        <v/>
      </c>
      <c r="S1245" s="24" t="str">
        <f t="shared" si="100"/>
        <v/>
      </c>
      <c r="T1245" t="str">
        <f t="shared" si="97"/>
        <v/>
      </c>
    </row>
    <row r="1246" spans="1:20">
      <c r="A1246" s="22" t="s">
        <v>1340</v>
      </c>
      <c r="H1246" s="22" t="str">
        <f t="shared" si="98"/>
        <v/>
      </c>
      <c r="J1246" s="32"/>
      <c r="R1246" s="24" t="str">
        <f t="shared" si="99"/>
        <v/>
      </c>
      <c r="S1246" s="24" t="str">
        <f t="shared" si="100"/>
        <v/>
      </c>
      <c r="T1246" t="str">
        <f t="shared" si="97"/>
        <v/>
      </c>
    </row>
    <row r="1247" spans="1:20">
      <c r="A1247" s="22" t="s">
        <v>1341</v>
      </c>
      <c r="H1247" s="22" t="str">
        <f t="shared" si="98"/>
        <v/>
      </c>
      <c r="J1247" s="32"/>
      <c r="R1247" s="24" t="str">
        <f t="shared" si="99"/>
        <v/>
      </c>
      <c r="S1247" s="24" t="str">
        <f t="shared" si="100"/>
        <v/>
      </c>
      <c r="T1247" t="str">
        <f t="shared" si="97"/>
        <v/>
      </c>
    </row>
    <row r="1248" spans="1:20">
      <c r="A1248" s="22" t="s">
        <v>1342</v>
      </c>
      <c r="H1248" s="22" t="str">
        <f t="shared" si="98"/>
        <v/>
      </c>
      <c r="J1248" s="32"/>
      <c r="R1248" s="24" t="str">
        <f t="shared" si="99"/>
        <v/>
      </c>
      <c r="S1248" s="24" t="str">
        <f t="shared" si="100"/>
        <v/>
      </c>
      <c r="T1248" t="str">
        <f t="shared" si="97"/>
        <v/>
      </c>
    </row>
    <row r="1249" spans="1:20">
      <c r="A1249" s="22" t="s">
        <v>1343</v>
      </c>
      <c r="H1249" s="22" t="str">
        <f t="shared" si="98"/>
        <v/>
      </c>
      <c r="J1249" s="32"/>
      <c r="R1249" s="24" t="str">
        <f t="shared" si="99"/>
        <v/>
      </c>
      <c r="S1249" s="24" t="str">
        <f t="shared" si="100"/>
        <v/>
      </c>
      <c r="T1249" t="str">
        <f t="shared" si="97"/>
        <v/>
      </c>
    </row>
    <row r="1250" spans="1:20">
      <c r="A1250" s="22" t="s">
        <v>1344</v>
      </c>
      <c r="H1250" s="22" t="str">
        <f t="shared" si="98"/>
        <v/>
      </c>
      <c r="J1250" s="32"/>
      <c r="R1250" s="24" t="str">
        <f t="shared" si="99"/>
        <v/>
      </c>
      <c r="S1250" s="24" t="str">
        <f t="shared" si="100"/>
        <v/>
      </c>
      <c r="T1250" t="str">
        <f t="shared" si="97"/>
        <v/>
      </c>
    </row>
    <row r="1251" spans="1:20">
      <c r="A1251" s="22" t="s">
        <v>1345</v>
      </c>
      <c r="H1251" s="22" t="str">
        <f t="shared" si="98"/>
        <v/>
      </c>
      <c r="J1251" s="32"/>
      <c r="R1251" s="24" t="str">
        <f t="shared" si="99"/>
        <v/>
      </c>
      <c r="S1251" s="24" t="str">
        <f t="shared" si="100"/>
        <v/>
      </c>
      <c r="T1251" t="str">
        <f t="shared" si="97"/>
        <v/>
      </c>
    </row>
    <row r="1252" spans="1:20">
      <c r="A1252" s="22" t="s">
        <v>1346</v>
      </c>
      <c r="H1252" s="22" t="str">
        <f t="shared" si="98"/>
        <v/>
      </c>
      <c r="J1252" s="32"/>
      <c r="R1252" s="24" t="str">
        <f t="shared" si="99"/>
        <v/>
      </c>
      <c r="S1252" s="24" t="str">
        <f t="shared" si="100"/>
        <v/>
      </c>
      <c r="T1252" t="str">
        <f t="shared" si="97"/>
        <v/>
      </c>
    </row>
    <row r="1253" spans="1:20">
      <c r="A1253" s="22" t="s">
        <v>1347</v>
      </c>
      <c r="H1253" s="22" t="str">
        <f t="shared" si="98"/>
        <v/>
      </c>
      <c r="J1253" s="32"/>
      <c r="R1253" s="24" t="str">
        <f t="shared" si="99"/>
        <v/>
      </c>
      <c r="S1253" s="24" t="str">
        <f t="shared" si="100"/>
        <v/>
      </c>
      <c r="T1253" t="str">
        <f t="shared" si="97"/>
        <v/>
      </c>
    </row>
    <row r="1254" spans="1:20">
      <c r="A1254" s="22" t="s">
        <v>1348</v>
      </c>
      <c r="H1254" s="22" t="str">
        <f t="shared" si="98"/>
        <v/>
      </c>
      <c r="J1254" s="32"/>
      <c r="R1254" s="24" t="str">
        <f t="shared" si="99"/>
        <v/>
      </c>
      <c r="S1254" s="24" t="str">
        <f t="shared" si="100"/>
        <v/>
      </c>
      <c r="T1254" t="str">
        <f t="shared" si="97"/>
        <v/>
      </c>
    </row>
    <row r="1255" spans="1:20">
      <c r="A1255" s="22" t="s">
        <v>1349</v>
      </c>
      <c r="H1255" s="22" t="str">
        <f t="shared" si="98"/>
        <v/>
      </c>
      <c r="J1255" s="32"/>
      <c r="R1255" s="24" t="str">
        <f t="shared" si="99"/>
        <v/>
      </c>
      <c r="S1255" s="24" t="str">
        <f t="shared" si="100"/>
        <v/>
      </c>
      <c r="T1255" t="str">
        <f t="shared" si="97"/>
        <v/>
      </c>
    </row>
    <row r="1256" spans="1:20">
      <c r="A1256" s="22" t="s">
        <v>1350</v>
      </c>
      <c r="H1256" s="22" t="str">
        <f t="shared" si="98"/>
        <v/>
      </c>
      <c r="J1256" s="32"/>
      <c r="R1256" s="24" t="str">
        <f t="shared" si="99"/>
        <v/>
      </c>
      <c r="S1256" s="24" t="str">
        <f t="shared" si="100"/>
        <v/>
      </c>
      <c r="T1256" t="str">
        <f t="shared" si="97"/>
        <v/>
      </c>
    </row>
    <row r="1257" spans="1:20">
      <c r="A1257" s="22" t="s">
        <v>1351</v>
      </c>
      <c r="H1257" s="22" t="str">
        <f t="shared" si="98"/>
        <v/>
      </c>
      <c r="J1257" s="32"/>
      <c r="R1257" s="24" t="str">
        <f t="shared" si="99"/>
        <v/>
      </c>
      <c r="S1257" s="24" t="str">
        <f t="shared" si="100"/>
        <v/>
      </c>
      <c r="T1257" t="str">
        <f t="shared" si="97"/>
        <v/>
      </c>
    </row>
    <row r="1258" spans="1:20">
      <c r="A1258" s="22" t="s">
        <v>1352</v>
      </c>
      <c r="H1258" s="22" t="str">
        <f t="shared" si="98"/>
        <v/>
      </c>
      <c r="J1258" s="32"/>
      <c r="R1258" s="24" t="str">
        <f t="shared" si="99"/>
        <v/>
      </c>
      <c r="S1258" s="24" t="str">
        <f t="shared" si="100"/>
        <v/>
      </c>
      <c r="T1258" t="str">
        <f t="shared" si="97"/>
        <v/>
      </c>
    </row>
    <row r="1259" spans="1:20">
      <c r="A1259" s="22" t="s">
        <v>1353</v>
      </c>
      <c r="H1259" s="22" t="str">
        <f t="shared" si="98"/>
        <v/>
      </c>
      <c r="J1259" s="32"/>
      <c r="R1259" s="24" t="str">
        <f t="shared" si="99"/>
        <v/>
      </c>
      <c r="S1259" s="24" t="str">
        <f t="shared" si="100"/>
        <v/>
      </c>
      <c r="T1259" t="str">
        <f t="shared" si="97"/>
        <v/>
      </c>
    </row>
    <row r="1260" spans="1:20">
      <c r="A1260" s="22" t="s">
        <v>1354</v>
      </c>
      <c r="H1260" s="22" t="str">
        <f t="shared" si="98"/>
        <v/>
      </c>
      <c r="J1260" s="32"/>
      <c r="R1260" s="24" t="str">
        <f t="shared" si="99"/>
        <v/>
      </c>
      <c r="S1260" s="24" t="str">
        <f t="shared" si="100"/>
        <v/>
      </c>
      <c r="T1260" t="str">
        <f t="shared" si="97"/>
        <v/>
      </c>
    </row>
    <row r="1261" spans="1:20">
      <c r="A1261" s="22" t="s">
        <v>1355</v>
      </c>
      <c r="H1261" s="22" t="str">
        <f t="shared" si="98"/>
        <v/>
      </c>
      <c r="J1261" s="32"/>
      <c r="R1261" s="24" t="str">
        <f t="shared" si="99"/>
        <v/>
      </c>
      <c r="S1261" s="24" t="str">
        <f t="shared" si="100"/>
        <v/>
      </c>
      <c r="T1261" t="str">
        <f t="shared" si="97"/>
        <v/>
      </c>
    </row>
    <row r="1262" spans="1:20">
      <c r="A1262" s="22" t="s">
        <v>1356</v>
      </c>
      <c r="H1262" s="22" t="str">
        <f t="shared" si="98"/>
        <v/>
      </c>
      <c r="J1262" s="32"/>
      <c r="R1262" s="24" t="str">
        <f t="shared" si="99"/>
        <v/>
      </c>
      <c r="S1262" s="24" t="str">
        <f t="shared" si="100"/>
        <v/>
      </c>
      <c r="T1262" t="str">
        <f t="shared" si="97"/>
        <v/>
      </c>
    </row>
    <row r="1263" spans="1:20">
      <c r="A1263" s="22" t="s">
        <v>1357</v>
      </c>
      <c r="H1263" s="22" t="str">
        <f t="shared" si="98"/>
        <v/>
      </c>
      <c r="J1263" s="32"/>
      <c r="R1263" s="24" t="str">
        <f t="shared" si="99"/>
        <v/>
      </c>
      <c r="S1263" s="24" t="str">
        <f t="shared" si="100"/>
        <v/>
      </c>
      <c r="T1263" t="str">
        <f t="shared" si="97"/>
        <v/>
      </c>
    </row>
    <row r="1264" spans="1:20">
      <c r="A1264" s="22" t="s">
        <v>1358</v>
      </c>
      <c r="H1264" s="22" t="str">
        <f t="shared" si="98"/>
        <v/>
      </c>
      <c r="J1264" s="32"/>
      <c r="R1264" s="24" t="str">
        <f t="shared" si="99"/>
        <v/>
      </c>
      <c r="S1264" s="24" t="str">
        <f t="shared" si="100"/>
        <v/>
      </c>
      <c r="T1264" t="str">
        <f t="shared" si="97"/>
        <v/>
      </c>
    </row>
    <row r="1265" spans="1:20">
      <c r="A1265" s="22" t="s">
        <v>1359</v>
      </c>
      <c r="H1265" s="22" t="str">
        <f t="shared" si="98"/>
        <v/>
      </c>
      <c r="J1265" s="32"/>
      <c r="R1265" s="24" t="str">
        <f t="shared" si="99"/>
        <v/>
      </c>
      <c r="S1265" s="24" t="str">
        <f t="shared" si="100"/>
        <v/>
      </c>
      <c r="T1265" t="str">
        <f t="shared" si="97"/>
        <v/>
      </c>
    </row>
    <row r="1266" spans="1:20">
      <c r="A1266" s="22" t="s">
        <v>1360</v>
      </c>
      <c r="H1266" s="22" t="str">
        <f t="shared" si="98"/>
        <v/>
      </c>
      <c r="J1266" s="32"/>
      <c r="R1266" s="24" t="str">
        <f t="shared" si="99"/>
        <v/>
      </c>
      <c r="S1266" s="24" t="str">
        <f t="shared" si="100"/>
        <v/>
      </c>
      <c r="T1266" t="str">
        <f t="shared" si="97"/>
        <v/>
      </c>
    </row>
    <row r="1267" spans="1:20">
      <c r="A1267" s="22" t="s">
        <v>1361</v>
      </c>
      <c r="H1267" s="22" t="str">
        <f t="shared" si="98"/>
        <v/>
      </c>
      <c r="J1267" s="32"/>
      <c r="R1267" s="24" t="str">
        <f t="shared" si="99"/>
        <v/>
      </c>
      <c r="S1267" s="24" t="str">
        <f t="shared" si="100"/>
        <v/>
      </c>
      <c r="T1267" t="str">
        <f t="shared" si="97"/>
        <v/>
      </c>
    </row>
    <row r="1268" spans="1:20">
      <c r="A1268" s="22" t="s">
        <v>1362</v>
      </c>
      <c r="H1268" s="22" t="str">
        <f t="shared" si="98"/>
        <v/>
      </c>
      <c r="J1268" s="32"/>
      <c r="R1268" s="24" t="str">
        <f t="shared" si="99"/>
        <v/>
      </c>
      <c r="S1268" s="24" t="str">
        <f t="shared" si="100"/>
        <v/>
      </c>
      <c r="T1268" t="str">
        <f t="shared" si="97"/>
        <v/>
      </c>
    </row>
    <row r="1269" spans="1:20">
      <c r="A1269" s="22" t="s">
        <v>1363</v>
      </c>
      <c r="H1269" s="22" t="str">
        <f t="shared" si="98"/>
        <v/>
      </c>
      <c r="J1269" s="32"/>
      <c r="R1269" s="24" t="str">
        <f t="shared" si="99"/>
        <v/>
      </c>
      <c r="S1269" s="24" t="str">
        <f t="shared" si="100"/>
        <v/>
      </c>
      <c r="T1269" t="str">
        <f t="shared" si="97"/>
        <v/>
      </c>
    </row>
    <row r="1270" spans="1:20">
      <c r="A1270" s="22" t="s">
        <v>1364</v>
      </c>
      <c r="H1270" s="22" t="str">
        <f t="shared" si="98"/>
        <v/>
      </c>
      <c r="J1270" s="32"/>
      <c r="R1270" s="24" t="str">
        <f t="shared" si="99"/>
        <v/>
      </c>
      <c r="S1270" s="24" t="str">
        <f t="shared" si="100"/>
        <v/>
      </c>
      <c r="T1270" t="str">
        <f t="shared" si="97"/>
        <v/>
      </c>
    </row>
    <row r="1271" spans="1:20">
      <c r="A1271" s="22" t="s">
        <v>1365</v>
      </c>
      <c r="H1271" s="22" t="str">
        <f t="shared" si="98"/>
        <v/>
      </c>
      <c r="J1271" s="32"/>
      <c r="R1271" s="24" t="str">
        <f t="shared" si="99"/>
        <v/>
      </c>
      <c r="S1271" s="24" t="str">
        <f t="shared" si="100"/>
        <v/>
      </c>
      <c r="T1271" t="str">
        <f t="shared" si="97"/>
        <v/>
      </c>
    </row>
    <row r="1272" spans="1:20">
      <c r="A1272" s="22" t="s">
        <v>1366</v>
      </c>
      <c r="H1272" s="22" t="str">
        <f t="shared" si="98"/>
        <v/>
      </c>
      <c r="J1272" s="32"/>
      <c r="R1272" s="24" t="str">
        <f t="shared" si="99"/>
        <v/>
      </c>
      <c r="S1272" s="24" t="str">
        <f t="shared" si="100"/>
        <v/>
      </c>
      <c r="T1272" t="str">
        <f t="shared" si="97"/>
        <v/>
      </c>
    </row>
    <row r="1273" spans="1:20">
      <c r="A1273" s="22" t="s">
        <v>1367</v>
      </c>
      <c r="H1273" s="22" t="str">
        <f t="shared" si="98"/>
        <v/>
      </c>
      <c r="J1273" s="32"/>
      <c r="R1273" s="24" t="str">
        <f t="shared" si="99"/>
        <v/>
      </c>
      <c r="S1273" s="24" t="str">
        <f t="shared" si="100"/>
        <v/>
      </c>
      <c r="T1273" t="str">
        <f t="shared" si="97"/>
        <v/>
      </c>
    </row>
    <row r="1274" spans="1:20">
      <c r="A1274" s="22" t="s">
        <v>1368</v>
      </c>
      <c r="H1274" s="22" t="str">
        <f t="shared" si="98"/>
        <v/>
      </c>
      <c r="J1274" s="32"/>
      <c r="R1274" s="24" t="str">
        <f t="shared" si="99"/>
        <v/>
      </c>
      <c r="S1274" s="24" t="str">
        <f t="shared" si="100"/>
        <v/>
      </c>
      <c r="T1274" t="str">
        <f t="shared" si="97"/>
        <v/>
      </c>
    </row>
    <row r="1275" spans="1:20">
      <c r="A1275" s="22" t="s">
        <v>1369</v>
      </c>
      <c r="H1275" s="22" t="str">
        <f t="shared" si="98"/>
        <v/>
      </c>
      <c r="J1275" s="32"/>
      <c r="R1275" s="24" t="str">
        <f t="shared" si="99"/>
        <v/>
      </c>
      <c r="S1275" s="24" t="str">
        <f t="shared" si="100"/>
        <v/>
      </c>
      <c r="T1275" t="str">
        <f t="shared" si="97"/>
        <v/>
      </c>
    </row>
    <row r="1276" spans="1:20">
      <c r="A1276" s="22" t="s">
        <v>1370</v>
      </c>
      <c r="H1276" s="22" t="str">
        <f t="shared" si="98"/>
        <v/>
      </c>
      <c r="J1276" s="32"/>
      <c r="R1276" s="24" t="str">
        <f t="shared" si="99"/>
        <v/>
      </c>
      <c r="S1276" s="24" t="str">
        <f t="shared" si="100"/>
        <v/>
      </c>
      <c r="T1276" t="str">
        <f t="shared" si="97"/>
        <v/>
      </c>
    </row>
    <row r="1277" spans="1:20">
      <c r="A1277" s="22" t="s">
        <v>1371</v>
      </c>
      <c r="H1277" s="22" t="str">
        <f t="shared" si="98"/>
        <v/>
      </c>
      <c r="J1277" s="32"/>
      <c r="R1277" s="24" t="str">
        <f t="shared" si="99"/>
        <v/>
      </c>
      <c r="S1277" s="24" t="str">
        <f t="shared" si="100"/>
        <v/>
      </c>
      <c r="T1277" t="str">
        <f t="shared" si="97"/>
        <v/>
      </c>
    </row>
    <row r="1278" spans="1:20">
      <c r="A1278" s="22" t="s">
        <v>1372</v>
      </c>
      <c r="H1278" s="22" t="str">
        <f t="shared" si="98"/>
        <v/>
      </c>
      <c r="J1278" s="32"/>
      <c r="R1278" s="24" t="str">
        <f t="shared" si="99"/>
        <v/>
      </c>
      <c r="S1278" s="24" t="str">
        <f t="shared" si="100"/>
        <v/>
      </c>
      <c r="T1278" t="str">
        <f t="shared" si="97"/>
        <v/>
      </c>
    </row>
    <row r="1279" spans="1:20">
      <c r="A1279" s="22" t="s">
        <v>1373</v>
      </c>
      <c r="H1279" s="22" t="str">
        <f t="shared" si="98"/>
        <v/>
      </c>
      <c r="J1279" s="32"/>
      <c r="R1279" s="24" t="str">
        <f t="shared" si="99"/>
        <v/>
      </c>
      <c r="S1279" s="24" t="str">
        <f t="shared" si="100"/>
        <v/>
      </c>
      <c r="T1279" t="str">
        <f t="shared" si="97"/>
        <v/>
      </c>
    </row>
    <row r="1280" spans="1:20">
      <c r="A1280" s="22" t="s">
        <v>1374</v>
      </c>
      <c r="H1280" s="22" t="str">
        <f t="shared" si="98"/>
        <v/>
      </c>
      <c r="J1280" s="32"/>
      <c r="R1280" s="24" t="str">
        <f t="shared" si="99"/>
        <v/>
      </c>
      <c r="S1280" s="24" t="str">
        <f t="shared" si="100"/>
        <v/>
      </c>
      <c r="T1280" t="str">
        <f t="shared" si="97"/>
        <v/>
      </c>
    </row>
    <row r="1281" spans="1:20">
      <c r="A1281" s="22" t="s">
        <v>1375</v>
      </c>
      <c r="H1281" s="22" t="str">
        <f t="shared" si="98"/>
        <v/>
      </c>
      <c r="J1281" s="32"/>
      <c r="R1281" s="24" t="str">
        <f t="shared" si="99"/>
        <v/>
      </c>
      <c r="S1281" s="24" t="str">
        <f t="shared" si="100"/>
        <v/>
      </c>
      <c r="T1281" t="str">
        <f t="shared" si="97"/>
        <v/>
      </c>
    </row>
    <row r="1282" spans="1:20">
      <c r="A1282" s="22" t="s">
        <v>1376</v>
      </c>
      <c r="H1282" s="22" t="str">
        <f t="shared" si="98"/>
        <v/>
      </c>
      <c r="J1282" s="32"/>
      <c r="R1282" s="24" t="str">
        <f t="shared" si="99"/>
        <v/>
      </c>
      <c r="S1282" s="24" t="str">
        <f t="shared" si="100"/>
        <v/>
      </c>
      <c r="T1282" t="str">
        <f t="shared" si="97"/>
        <v/>
      </c>
    </row>
    <row r="1283" spans="1:20">
      <c r="A1283" s="22" t="s">
        <v>1377</v>
      </c>
      <c r="H1283" s="22" t="str">
        <f t="shared" si="98"/>
        <v/>
      </c>
      <c r="J1283" s="32"/>
      <c r="R1283" s="24" t="str">
        <f t="shared" si="99"/>
        <v/>
      </c>
      <c r="S1283" s="24" t="str">
        <f t="shared" si="100"/>
        <v/>
      </c>
      <c r="T1283" t="str">
        <f t="shared" si="97"/>
        <v/>
      </c>
    </row>
    <row r="1284" spans="1:20">
      <c r="A1284" s="22" t="s">
        <v>1378</v>
      </c>
      <c r="H1284" s="22" t="str">
        <f t="shared" si="98"/>
        <v/>
      </c>
      <c r="J1284" s="32"/>
      <c r="R1284" s="24" t="str">
        <f t="shared" si="99"/>
        <v/>
      </c>
      <c r="S1284" s="24" t="str">
        <f t="shared" si="100"/>
        <v/>
      </c>
      <c r="T1284" t="str">
        <f t="shared" si="97"/>
        <v/>
      </c>
    </row>
    <row r="1285" spans="1:20">
      <c r="A1285" s="22" t="s">
        <v>1379</v>
      </c>
      <c r="H1285" s="22" t="str">
        <f t="shared" si="98"/>
        <v/>
      </c>
      <c r="J1285" s="32"/>
      <c r="R1285" s="24" t="str">
        <f t="shared" si="99"/>
        <v/>
      </c>
      <c r="S1285" s="24" t="str">
        <f t="shared" si="100"/>
        <v/>
      </c>
      <c r="T1285" t="str">
        <f t="shared" si="97"/>
        <v/>
      </c>
    </row>
    <row r="1286" spans="1:20">
      <c r="A1286" s="22" t="s">
        <v>1380</v>
      </c>
      <c r="H1286" s="22" t="str">
        <f t="shared" si="98"/>
        <v/>
      </c>
      <c r="J1286" s="32"/>
      <c r="R1286" s="24" t="str">
        <f t="shared" si="99"/>
        <v/>
      </c>
      <c r="S1286" s="24" t="str">
        <f t="shared" si="100"/>
        <v/>
      </c>
      <c r="T1286" t="str">
        <f t="shared" si="97"/>
        <v/>
      </c>
    </row>
    <row r="1287" spans="1:20">
      <c r="A1287" s="22" t="s">
        <v>1381</v>
      </c>
      <c r="H1287" s="22" t="str">
        <f t="shared" si="98"/>
        <v/>
      </c>
      <c r="J1287" s="32"/>
      <c r="R1287" s="24" t="str">
        <f t="shared" si="99"/>
        <v/>
      </c>
      <c r="S1287" s="24" t="str">
        <f t="shared" si="100"/>
        <v/>
      </c>
      <c r="T1287" t="str">
        <f t="shared" si="97"/>
        <v/>
      </c>
    </row>
    <row r="1288" spans="1:20">
      <c r="A1288" s="22" t="s">
        <v>1382</v>
      </c>
      <c r="H1288" s="22" t="str">
        <f t="shared" si="98"/>
        <v/>
      </c>
      <c r="J1288" s="32"/>
      <c r="R1288" s="24" t="str">
        <f t="shared" si="99"/>
        <v/>
      </c>
      <c r="S1288" s="24" t="str">
        <f t="shared" si="100"/>
        <v/>
      </c>
      <c r="T1288" t="str">
        <f t="shared" si="97"/>
        <v/>
      </c>
    </row>
    <row r="1289" spans="1:20">
      <c r="A1289" s="22" t="s">
        <v>1383</v>
      </c>
      <c r="H1289" s="22" t="str">
        <f t="shared" si="98"/>
        <v/>
      </c>
      <c r="J1289" s="32"/>
      <c r="R1289" s="24" t="str">
        <f t="shared" si="99"/>
        <v/>
      </c>
      <c r="S1289" s="24" t="str">
        <f t="shared" si="100"/>
        <v/>
      </c>
      <c r="T1289" t="str">
        <f t="shared" si="97"/>
        <v/>
      </c>
    </row>
    <row r="1290" spans="1:20">
      <c r="A1290" s="22" t="s">
        <v>1384</v>
      </c>
      <c r="H1290" s="22" t="str">
        <f t="shared" si="98"/>
        <v/>
      </c>
      <c r="J1290" s="32"/>
      <c r="R1290" s="24" t="str">
        <f t="shared" si="99"/>
        <v/>
      </c>
      <c r="S1290" s="24" t="str">
        <f t="shared" si="100"/>
        <v/>
      </c>
      <c r="T1290" t="str">
        <f t="shared" si="97"/>
        <v/>
      </c>
    </row>
    <row r="1291" spans="1:20">
      <c r="A1291" s="22" t="s">
        <v>1385</v>
      </c>
      <c r="H1291" s="22" t="str">
        <f t="shared" si="98"/>
        <v/>
      </c>
      <c r="J1291" s="32"/>
      <c r="R1291" s="24" t="str">
        <f t="shared" si="99"/>
        <v/>
      </c>
      <c r="S1291" s="24" t="str">
        <f t="shared" si="100"/>
        <v/>
      </c>
      <c r="T1291" t="str">
        <f t="shared" si="97"/>
        <v/>
      </c>
    </row>
    <row r="1292" spans="1:20">
      <c r="A1292" s="22" t="s">
        <v>1386</v>
      </c>
      <c r="H1292" s="22" t="str">
        <f t="shared" si="98"/>
        <v/>
      </c>
      <c r="J1292" s="32"/>
      <c r="R1292" s="24" t="str">
        <f t="shared" si="99"/>
        <v/>
      </c>
      <c r="S1292" s="24" t="str">
        <f t="shared" si="100"/>
        <v/>
      </c>
      <c r="T1292" t="str">
        <f t="shared" si="97"/>
        <v/>
      </c>
    </row>
    <row r="1293" spans="1:20">
      <c r="A1293" s="22" t="s">
        <v>1387</v>
      </c>
      <c r="H1293" s="22" t="str">
        <f t="shared" si="98"/>
        <v/>
      </c>
      <c r="J1293" s="32"/>
      <c r="R1293" s="24" t="str">
        <f t="shared" si="99"/>
        <v/>
      </c>
      <c r="S1293" s="24" t="str">
        <f t="shared" si="100"/>
        <v/>
      </c>
      <c r="T1293" t="str">
        <f t="shared" si="97"/>
        <v/>
      </c>
    </row>
    <row r="1294" spans="1:20">
      <c r="A1294" s="22" t="s">
        <v>1388</v>
      </c>
      <c r="H1294" s="22" t="str">
        <f t="shared" si="98"/>
        <v/>
      </c>
      <c r="J1294" s="32"/>
      <c r="R1294" s="24" t="str">
        <f t="shared" si="99"/>
        <v/>
      </c>
      <c r="S1294" s="24" t="str">
        <f t="shared" si="100"/>
        <v/>
      </c>
      <c r="T1294" t="str">
        <f t="shared" si="97"/>
        <v/>
      </c>
    </row>
    <row r="1295" spans="1:20">
      <c r="A1295" s="22" t="s">
        <v>1389</v>
      </c>
      <c r="H1295" s="22" t="str">
        <f t="shared" si="98"/>
        <v/>
      </c>
      <c r="J1295" s="32"/>
      <c r="R1295" s="24" t="str">
        <f t="shared" si="99"/>
        <v/>
      </c>
      <c r="S1295" s="24" t="str">
        <f t="shared" si="100"/>
        <v/>
      </c>
      <c r="T1295" t="str">
        <f t="shared" ref="T1295:T1358" si="101">IF(OR(C1295="",I1295&lt;&gt;"ENTRADA"),"",TEXT(B1295,"AAMMDD")&amp;"-"&amp;TEXT(VALUE(SUBSTITUTE(A1295,"MOV-","")),"000"))</f>
        <v/>
      </c>
    </row>
    <row r="1296" spans="1:20">
      <c r="A1296" s="22" t="s">
        <v>1390</v>
      </c>
      <c r="H1296" s="22" t="str">
        <f t="shared" ref="H1296:H1359" si="102">+T1296</f>
        <v/>
      </c>
      <c r="J1296" s="32"/>
      <c r="R1296" s="24" t="str">
        <f t="shared" ref="R1296:R1359" si="103">IF(H1296="","",H1296&amp;I1296)</f>
        <v/>
      </c>
      <c r="S1296" s="24" t="str">
        <f t="shared" ref="S1296:S1359" si="104">IF(C1296="","",C1296&amp;I1296)</f>
        <v/>
      </c>
      <c r="T1296" t="str">
        <f t="shared" si="101"/>
        <v/>
      </c>
    </row>
    <row r="1297" spans="1:20">
      <c r="A1297" s="22" t="s">
        <v>1391</v>
      </c>
      <c r="H1297" s="22" t="str">
        <f t="shared" si="102"/>
        <v/>
      </c>
      <c r="J1297" s="32"/>
      <c r="R1297" s="24" t="str">
        <f t="shared" si="103"/>
        <v/>
      </c>
      <c r="S1297" s="24" t="str">
        <f t="shared" si="104"/>
        <v/>
      </c>
      <c r="T1297" t="str">
        <f t="shared" si="101"/>
        <v/>
      </c>
    </row>
    <row r="1298" spans="1:20">
      <c r="A1298" s="22" t="s">
        <v>1392</v>
      </c>
      <c r="H1298" s="22" t="str">
        <f t="shared" si="102"/>
        <v/>
      </c>
      <c r="J1298" s="32"/>
      <c r="R1298" s="24" t="str">
        <f t="shared" si="103"/>
        <v/>
      </c>
      <c r="S1298" s="24" t="str">
        <f t="shared" si="104"/>
        <v/>
      </c>
      <c r="T1298" t="str">
        <f t="shared" si="101"/>
        <v/>
      </c>
    </row>
    <row r="1299" spans="1:20">
      <c r="A1299" s="22" t="s">
        <v>1393</v>
      </c>
      <c r="H1299" s="22" t="str">
        <f t="shared" si="102"/>
        <v/>
      </c>
      <c r="J1299" s="32"/>
      <c r="R1299" s="24" t="str">
        <f t="shared" si="103"/>
        <v/>
      </c>
      <c r="S1299" s="24" t="str">
        <f t="shared" si="104"/>
        <v/>
      </c>
      <c r="T1299" t="str">
        <f t="shared" si="101"/>
        <v/>
      </c>
    </row>
    <row r="1300" spans="1:20">
      <c r="A1300" s="22" t="s">
        <v>1394</v>
      </c>
      <c r="H1300" s="22" t="str">
        <f t="shared" si="102"/>
        <v/>
      </c>
      <c r="J1300" s="32"/>
      <c r="R1300" s="24" t="str">
        <f t="shared" si="103"/>
        <v/>
      </c>
      <c r="S1300" s="24" t="str">
        <f t="shared" si="104"/>
        <v/>
      </c>
      <c r="T1300" t="str">
        <f t="shared" si="101"/>
        <v/>
      </c>
    </row>
    <row r="1301" spans="1:20">
      <c r="A1301" s="22" t="s">
        <v>1395</v>
      </c>
      <c r="H1301" s="22" t="str">
        <f t="shared" si="102"/>
        <v/>
      </c>
      <c r="J1301" s="32"/>
      <c r="R1301" s="24" t="str">
        <f t="shared" si="103"/>
        <v/>
      </c>
      <c r="S1301" s="24" t="str">
        <f t="shared" si="104"/>
        <v/>
      </c>
      <c r="T1301" t="str">
        <f t="shared" si="101"/>
        <v/>
      </c>
    </row>
    <row r="1302" spans="1:20">
      <c r="A1302" s="22" t="s">
        <v>1396</v>
      </c>
      <c r="H1302" s="22" t="str">
        <f t="shared" si="102"/>
        <v/>
      </c>
      <c r="J1302" s="32"/>
      <c r="R1302" s="24" t="str">
        <f t="shared" si="103"/>
        <v/>
      </c>
      <c r="S1302" s="24" t="str">
        <f t="shared" si="104"/>
        <v/>
      </c>
      <c r="T1302" t="str">
        <f t="shared" si="101"/>
        <v/>
      </c>
    </row>
    <row r="1303" spans="1:20">
      <c r="A1303" s="22" t="s">
        <v>1397</v>
      </c>
      <c r="H1303" s="22" t="str">
        <f t="shared" si="102"/>
        <v/>
      </c>
      <c r="J1303" s="32"/>
      <c r="R1303" s="24" t="str">
        <f t="shared" si="103"/>
        <v/>
      </c>
      <c r="S1303" s="24" t="str">
        <f t="shared" si="104"/>
        <v/>
      </c>
      <c r="T1303" t="str">
        <f t="shared" si="101"/>
        <v/>
      </c>
    </row>
    <row r="1304" spans="1:20">
      <c r="A1304" s="22" t="s">
        <v>1398</v>
      </c>
      <c r="H1304" s="22" t="str">
        <f t="shared" si="102"/>
        <v/>
      </c>
      <c r="J1304" s="32"/>
      <c r="R1304" s="24" t="str">
        <f t="shared" si="103"/>
        <v/>
      </c>
      <c r="S1304" s="24" t="str">
        <f t="shared" si="104"/>
        <v/>
      </c>
      <c r="T1304" t="str">
        <f t="shared" si="101"/>
        <v/>
      </c>
    </row>
    <row r="1305" spans="1:20">
      <c r="A1305" s="22" t="s">
        <v>1399</v>
      </c>
      <c r="H1305" s="22" t="str">
        <f t="shared" si="102"/>
        <v/>
      </c>
      <c r="J1305" s="32"/>
      <c r="R1305" s="24" t="str">
        <f t="shared" si="103"/>
        <v/>
      </c>
      <c r="S1305" s="24" t="str">
        <f t="shared" si="104"/>
        <v/>
      </c>
      <c r="T1305" t="str">
        <f t="shared" si="101"/>
        <v/>
      </c>
    </row>
    <row r="1306" spans="1:20">
      <c r="A1306" s="22" t="s">
        <v>1400</v>
      </c>
      <c r="H1306" s="22" t="str">
        <f t="shared" si="102"/>
        <v/>
      </c>
      <c r="J1306" s="32"/>
      <c r="R1306" s="24" t="str">
        <f t="shared" si="103"/>
        <v/>
      </c>
      <c r="S1306" s="24" t="str">
        <f t="shared" si="104"/>
        <v/>
      </c>
      <c r="T1306" t="str">
        <f t="shared" si="101"/>
        <v/>
      </c>
    </row>
    <row r="1307" spans="1:20">
      <c r="A1307" s="22" t="s">
        <v>1401</v>
      </c>
      <c r="H1307" s="22" t="str">
        <f t="shared" si="102"/>
        <v/>
      </c>
      <c r="J1307" s="32"/>
      <c r="R1307" s="24" t="str">
        <f t="shared" si="103"/>
        <v/>
      </c>
      <c r="S1307" s="24" t="str">
        <f t="shared" si="104"/>
        <v/>
      </c>
      <c r="T1307" t="str">
        <f t="shared" si="101"/>
        <v/>
      </c>
    </row>
    <row r="1308" spans="1:20">
      <c r="A1308" s="22" t="s">
        <v>1402</v>
      </c>
      <c r="H1308" s="22" t="str">
        <f t="shared" si="102"/>
        <v/>
      </c>
      <c r="J1308" s="32"/>
      <c r="R1308" s="24" t="str">
        <f t="shared" si="103"/>
        <v/>
      </c>
      <c r="S1308" s="24" t="str">
        <f t="shared" si="104"/>
        <v/>
      </c>
      <c r="T1308" t="str">
        <f t="shared" si="101"/>
        <v/>
      </c>
    </row>
    <row r="1309" spans="1:20">
      <c r="A1309" s="22" t="s">
        <v>1403</v>
      </c>
      <c r="H1309" s="22" t="str">
        <f t="shared" si="102"/>
        <v/>
      </c>
      <c r="J1309" s="32"/>
      <c r="R1309" s="24" t="str">
        <f t="shared" si="103"/>
        <v/>
      </c>
      <c r="S1309" s="24" t="str">
        <f t="shared" si="104"/>
        <v/>
      </c>
      <c r="T1309" t="str">
        <f t="shared" si="101"/>
        <v/>
      </c>
    </row>
    <row r="1310" spans="1:20">
      <c r="A1310" s="22" t="s">
        <v>1404</v>
      </c>
      <c r="H1310" s="22" t="str">
        <f t="shared" si="102"/>
        <v/>
      </c>
      <c r="J1310" s="32"/>
      <c r="R1310" s="24" t="str">
        <f t="shared" si="103"/>
        <v/>
      </c>
      <c r="S1310" s="24" t="str">
        <f t="shared" si="104"/>
        <v/>
      </c>
      <c r="T1310" t="str">
        <f t="shared" si="101"/>
        <v/>
      </c>
    </row>
    <row r="1311" spans="1:20">
      <c r="A1311" s="22" t="s">
        <v>1405</v>
      </c>
      <c r="H1311" s="22" t="str">
        <f t="shared" si="102"/>
        <v/>
      </c>
      <c r="J1311" s="32"/>
      <c r="R1311" s="24" t="str">
        <f t="shared" si="103"/>
        <v/>
      </c>
      <c r="S1311" s="24" t="str">
        <f t="shared" si="104"/>
        <v/>
      </c>
      <c r="T1311" t="str">
        <f t="shared" si="101"/>
        <v/>
      </c>
    </row>
    <row r="1312" spans="1:20">
      <c r="A1312" s="22" t="s">
        <v>1406</v>
      </c>
      <c r="H1312" s="22" t="str">
        <f t="shared" si="102"/>
        <v/>
      </c>
      <c r="J1312" s="32"/>
      <c r="R1312" s="24" t="str">
        <f t="shared" si="103"/>
        <v/>
      </c>
      <c r="S1312" s="24" t="str">
        <f t="shared" si="104"/>
        <v/>
      </c>
      <c r="T1312" t="str">
        <f t="shared" si="101"/>
        <v/>
      </c>
    </row>
    <row r="1313" spans="1:20">
      <c r="A1313" s="22" t="s">
        <v>1407</v>
      </c>
      <c r="H1313" s="22" t="str">
        <f t="shared" si="102"/>
        <v/>
      </c>
      <c r="J1313" s="32"/>
      <c r="R1313" s="24" t="str">
        <f t="shared" si="103"/>
        <v/>
      </c>
      <c r="S1313" s="24" t="str">
        <f t="shared" si="104"/>
        <v/>
      </c>
      <c r="T1313" t="str">
        <f t="shared" si="101"/>
        <v/>
      </c>
    </row>
    <row r="1314" spans="1:20">
      <c r="A1314" s="22" t="s">
        <v>1408</v>
      </c>
      <c r="H1314" s="22" t="str">
        <f t="shared" si="102"/>
        <v/>
      </c>
      <c r="J1314" s="32"/>
      <c r="R1314" s="24" t="str">
        <f t="shared" si="103"/>
        <v/>
      </c>
      <c r="S1314" s="24" t="str">
        <f t="shared" si="104"/>
        <v/>
      </c>
      <c r="T1314" t="str">
        <f t="shared" si="101"/>
        <v/>
      </c>
    </row>
    <row r="1315" spans="1:20">
      <c r="A1315" s="22" t="s">
        <v>1409</v>
      </c>
      <c r="H1315" s="22" t="str">
        <f t="shared" si="102"/>
        <v/>
      </c>
      <c r="J1315" s="32"/>
      <c r="R1315" s="24" t="str">
        <f t="shared" si="103"/>
        <v/>
      </c>
      <c r="S1315" s="24" t="str">
        <f t="shared" si="104"/>
        <v/>
      </c>
      <c r="T1315" t="str">
        <f t="shared" si="101"/>
        <v/>
      </c>
    </row>
    <row r="1316" spans="1:20">
      <c r="A1316" s="22" t="s">
        <v>1410</v>
      </c>
      <c r="H1316" s="22" t="str">
        <f t="shared" si="102"/>
        <v/>
      </c>
      <c r="J1316" s="32"/>
      <c r="R1316" s="24" t="str">
        <f t="shared" si="103"/>
        <v/>
      </c>
      <c r="S1316" s="24" t="str">
        <f t="shared" si="104"/>
        <v/>
      </c>
      <c r="T1316" t="str">
        <f t="shared" si="101"/>
        <v/>
      </c>
    </row>
    <row r="1317" spans="1:20">
      <c r="A1317" s="22" t="s">
        <v>1411</v>
      </c>
      <c r="H1317" s="22" t="str">
        <f t="shared" si="102"/>
        <v/>
      </c>
      <c r="J1317" s="32"/>
      <c r="R1317" s="24" t="str">
        <f t="shared" si="103"/>
        <v/>
      </c>
      <c r="S1317" s="24" t="str">
        <f t="shared" si="104"/>
        <v/>
      </c>
      <c r="T1317" t="str">
        <f t="shared" si="101"/>
        <v/>
      </c>
    </row>
    <row r="1318" spans="1:20">
      <c r="A1318" s="22" t="s">
        <v>1412</v>
      </c>
      <c r="H1318" s="22" t="str">
        <f t="shared" si="102"/>
        <v/>
      </c>
      <c r="J1318" s="32"/>
      <c r="R1318" s="24" t="str">
        <f t="shared" si="103"/>
        <v/>
      </c>
      <c r="S1318" s="24" t="str">
        <f t="shared" si="104"/>
        <v/>
      </c>
      <c r="T1318" t="str">
        <f t="shared" si="101"/>
        <v/>
      </c>
    </row>
    <row r="1319" spans="1:20">
      <c r="A1319" s="22" t="s">
        <v>1413</v>
      </c>
      <c r="H1319" s="22" t="str">
        <f t="shared" si="102"/>
        <v/>
      </c>
      <c r="J1319" s="32"/>
      <c r="R1319" s="24" t="str">
        <f t="shared" si="103"/>
        <v/>
      </c>
      <c r="S1319" s="24" t="str">
        <f t="shared" si="104"/>
        <v/>
      </c>
      <c r="T1319" t="str">
        <f t="shared" si="101"/>
        <v/>
      </c>
    </row>
    <row r="1320" spans="1:20">
      <c r="A1320" s="22" t="s">
        <v>1414</v>
      </c>
      <c r="H1320" s="22" t="str">
        <f t="shared" si="102"/>
        <v/>
      </c>
      <c r="J1320" s="32"/>
      <c r="R1320" s="24" t="str">
        <f t="shared" si="103"/>
        <v/>
      </c>
      <c r="S1320" s="24" t="str">
        <f t="shared" si="104"/>
        <v/>
      </c>
      <c r="T1320" t="str">
        <f t="shared" si="101"/>
        <v/>
      </c>
    </row>
    <row r="1321" spans="1:20">
      <c r="A1321" s="22" t="s">
        <v>1415</v>
      </c>
      <c r="H1321" s="22" t="str">
        <f t="shared" si="102"/>
        <v/>
      </c>
      <c r="J1321" s="32"/>
      <c r="R1321" s="24" t="str">
        <f t="shared" si="103"/>
        <v/>
      </c>
      <c r="S1321" s="24" t="str">
        <f t="shared" si="104"/>
        <v/>
      </c>
      <c r="T1321" t="str">
        <f t="shared" si="101"/>
        <v/>
      </c>
    </row>
    <row r="1322" spans="1:20">
      <c r="A1322" s="22" t="s">
        <v>1416</v>
      </c>
      <c r="H1322" s="22" t="str">
        <f t="shared" si="102"/>
        <v/>
      </c>
      <c r="J1322" s="32"/>
      <c r="R1322" s="24" t="str">
        <f t="shared" si="103"/>
        <v/>
      </c>
      <c r="S1322" s="24" t="str">
        <f t="shared" si="104"/>
        <v/>
      </c>
      <c r="T1322" t="str">
        <f t="shared" si="101"/>
        <v/>
      </c>
    </row>
    <row r="1323" spans="1:20">
      <c r="A1323" s="22" t="s">
        <v>1417</v>
      </c>
      <c r="H1323" s="22" t="str">
        <f t="shared" si="102"/>
        <v/>
      </c>
      <c r="J1323" s="32"/>
      <c r="R1323" s="24" t="str">
        <f t="shared" si="103"/>
        <v/>
      </c>
      <c r="S1323" s="24" t="str">
        <f t="shared" si="104"/>
        <v/>
      </c>
      <c r="T1323" t="str">
        <f t="shared" si="101"/>
        <v/>
      </c>
    </row>
    <row r="1324" spans="1:20">
      <c r="A1324" s="22" t="s">
        <v>1418</v>
      </c>
      <c r="H1324" s="22" t="str">
        <f t="shared" si="102"/>
        <v/>
      </c>
      <c r="J1324" s="32"/>
      <c r="R1324" s="24" t="str">
        <f t="shared" si="103"/>
        <v/>
      </c>
      <c r="S1324" s="24" t="str">
        <f t="shared" si="104"/>
        <v/>
      </c>
      <c r="T1324" t="str">
        <f t="shared" si="101"/>
        <v/>
      </c>
    </row>
    <row r="1325" spans="1:20">
      <c r="A1325" s="22" t="s">
        <v>1419</v>
      </c>
      <c r="H1325" s="22" t="str">
        <f t="shared" si="102"/>
        <v/>
      </c>
      <c r="J1325" s="32"/>
      <c r="R1325" s="24" t="str">
        <f t="shared" si="103"/>
        <v/>
      </c>
      <c r="S1325" s="24" t="str">
        <f t="shared" si="104"/>
        <v/>
      </c>
      <c r="T1325" t="str">
        <f t="shared" si="101"/>
        <v/>
      </c>
    </row>
    <row r="1326" spans="1:20">
      <c r="A1326" s="22" t="s">
        <v>1420</v>
      </c>
      <c r="H1326" s="22" t="str">
        <f t="shared" si="102"/>
        <v/>
      </c>
      <c r="J1326" s="32"/>
      <c r="R1326" s="24" t="str">
        <f t="shared" si="103"/>
        <v/>
      </c>
      <c r="S1326" s="24" t="str">
        <f t="shared" si="104"/>
        <v/>
      </c>
      <c r="T1326" t="str">
        <f t="shared" si="101"/>
        <v/>
      </c>
    </row>
    <row r="1327" spans="1:20">
      <c r="A1327" s="22" t="s">
        <v>1421</v>
      </c>
      <c r="H1327" s="22" t="str">
        <f t="shared" si="102"/>
        <v/>
      </c>
      <c r="J1327" s="32"/>
      <c r="R1327" s="24" t="str">
        <f t="shared" si="103"/>
        <v/>
      </c>
      <c r="S1327" s="24" t="str">
        <f t="shared" si="104"/>
        <v/>
      </c>
      <c r="T1327" t="str">
        <f t="shared" si="101"/>
        <v/>
      </c>
    </row>
    <row r="1328" spans="1:20">
      <c r="A1328" s="22" t="s">
        <v>1422</v>
      </c>
      <c r="H1328" s="22" t="str">
        <f t="shared" si="102"/>
        <v/>
      </c>
      <c r="J1328" s="32"/>
      <c r="R1328" s="24" t="str">
        <f t="shared" si="103"/>
        <v/>
      </c>
      <c r="S1328" s="24" t="str">
        <f t="shared" si="104"/>
        <v/>
      </c>
      <c r="T1328" t="str">
        <f t="shared" si="101"/>
        <v/>
      </c>
    </row>
    <row r="1329" spans="1:20">
      <c r="A1329" s="22" t="s">
        <v>1423</v>
      </c>
      <c r="H1329" s="22" t="str">
        <f t="shared" si="102"/>
        <v/>
      </c>
      <c r="J1329" s="32"/>
      <c r="R1329" s="24" t="str">
        <f t="shared" si="103"/>
        <v/>
      </c>
      <c r="S1329" s="24" t="str">
        <f t="shared" si="104"/>
        <v/>
      </c>
      <c r="T1329" t="str">
        <f t="shared" si="101"/>
        <v/>
      </c>
    </row>
    <row r="1330" spans="1:20">
      <c r="A1330" s="22" t="s">
        <v>1424</v>
      </c>
      <c r="H1330" s="22" t="str">
        <f t="shared" si="102"/>
        <v/>
      </c>
      <c r="J1330" s="32"/>
      <c r="R1330" s="24" t="str">
        <f t="shared" si="103"/>
        <v/>
      </c>
      <c r="S1330" s="24" t="str">
        <f t="shared" si="104"/>
        <v/>
      </c>
      <c r="T1330" t="str">
        <f t="shared" si="101"/>
        <v/>
      </c>
    </row>
    <row r="1331" spans="1:20">
      <c r="A1331" s="22" t="s">
        <v>1425</v>
      </c>
      <c r="H1331" s="22" t="str">
        <f t="shared" si="102"/>
        <v/>
      </c>
      <c r="J1331" s="32"/>
      <c r="R1331" s="24" t="str">
        <f t="shared" si="103"/>
        <v/>
      </c>
      <c r="S1331" s="24" t="str">
        <f t="shared" si="104"/>
        <v/>
      </c>
      <c r="T1331" t="str">
        <f t="shared" si="101"/>
        <v/>
      </c>
    </row>
    <row r="1332" spans="1:20">
      <c r="A1332" s="22" t="s">
        <v>1426</v>
      </c>
      <c r="H1332" s="22" t="str">
        <f t="shared" si="102"/>
        <v/>
      </c>
      <c r="J1332" s="32"/>
      <c r="R1332" s="24" t="str">
        <f t="shared" si="103"/>
        <v/>
      </c>
      <c r="S1332" s="24" t="str">
        <f t="shared" si="104"/>
        <v/>
      </c>
      <c r="T1332" t="str">
        <f t="shared" si="101"/>
        <v/>
      </c>
    </row>
    <row r="1333" spans="1:20">
      <c r="A1333" s="22" t="s">
        <v>1427</v>
      </c>
      <c r="H1333" s="22" t="str">
        <f t="shared" si="102"/>
        <v/>
      </c>
      <c r="J1333" s="32"/>
      <c r="R1333" s="24" t="str">
        <f t="shared" si="103"/>
        <v/>
      </c>
      <c r="S1333" s="24" t="str">
        <f t="shared" si="104"/>
        <v/>
      </c>
      <c r="T1333" t="str">
        <f t="shared" si="101"/>
        <v/>
      </c>
    </row>
    <row r="1334" spans="1:20">
      <c r="A1334" s="22" t="s">
        <v>1428</v>
      </c>
      <c r="H1334" s="22" t="str">
        <f t="shared" si="102"/>
        <v/>
      </c>
      <c r="J1334" s="32"/>
      <c r="R1334" s="24" t="str">
        <f t="shared" si="103"/>
        <v/>
      </c>
      <c r="S1334" s="24" t="str">
        <f t="shared" si="104"/>
        <v/>
      </c>
      <c r="T1334" t="str">
        <f t="shared" si="101"/>
        <v/>
      </c>
    </row>
    <row r="1335" spans="1:20">
      <c r="A1335" s="22" t="s">
        <v>1429</v>
      </c>
      <c r="H1335" s="22" t="str">
        <f t="shared" si="102"/>
        <v/>
      </c>
      <c r="J1335" s="32"/>
      <c r="R1335" s="24" t="str">
        <f t="shared" si="103"/>
        <v/>
      </c>
      <c r="S1335" s="24" t="str">
        <f t="shared" si="104"/>
        <v/>
      </c>
      <c r="T1335" t="str">
        <f t="shared" si="101"/>
        <v/>
      </c>
    </row>
    <row r="1336" spans="1:20">
      <c r="A1336" s="22" t="s">
        <v>1430</v>
      </c>
      <c r="H1336" s="22" t="str">
        <f t="shared" si="102"/>
        <v/>
      </c>
      <c r="J1336" s="32"/>
      <c r="R1336" s="24" t="str">
        <f t="shared" si="103"/>
        <v/>
      </c>
      <c r="S1336" s="24" t="str">
        <f t="shared" si="104"/>
        <v/>
      </c>
      <c r="T1336" t="str">
        <f t="shared" si="101"/>
        <v/>
      </c>
    </row>
    <row r="1337" spans="1:20">
      <c r="A1337" s="22" t="s">
        <v>1431</v>
      </c>
      <c r="H1337" s="22" t="str">
        <f t="shared" si="102"/>
        <v/>
      </c>
      <c r="J1337" s="32"/>
      <c r="R1337" s="24" t="str">
        <f t="shared" si="103"/>
        <v/>
      </c>
      <c r="S1337" s="24" t="str">
        <f t="shared" si="104"/>
        <v/>
      </c>
      <c r="T1337" t="str">
        <f t="shared" si="101"/>
        <v/>
      </c>
    </row>
    <row r="1338" spans="1:20">
      <c r="A1338" s="22" t="s">
        <v>1432</v>
      </c>
      <c r="H1338" s="22" t="str">
        <f t="shared" si="102"/>
        <v/>
      </c>
      <c r="J1338" s="32"/>
      <c r="R1338" s="24" t="str">
        <f t="shared" si="103"/>
        <v/>
      </c>
      <c r="S1338" s="24" t="str">
        <f t="shared" si="104"/>
        <v/>
      </c>
      <c r="T1338" t="str">
        <f t="shared" si="101"/>
        <v/>
      </c>
    </row>
    <row r="1339" spans="1:20">
      <c r="A1339" s="22" t="s">
        <v>1433</v>
      </c>
      <c r="H1339" s="22" t="str">
        <f t="shared" si="102"/>
        <v/>
      </c>
      <c r="J1339" s="32"/>
      <c r="R1339" s="24" t="str">
        <f t="shared" si="103"/>
        <v/>
      </c>
      <c r="S1339" s="24" t="str">
        <f t="shared" si="104"/>
        <v/>
      </c>
      <c r="T1339" t="str">
        <f t="shared" si="101"/>
        <v/>
      </c>
    </row>
    <row r="1340" spans="1:20">
      <c r="A1340" s="22" t="s">
        <v>1434</v>
      </c>
      <c r="H1340" s="22" t="str">
        <f t="shared" si="102"/>
        <v/>
      </c>
      <c r="J1340" s="32"/>
      <c r="R1340" s="24" t="str">
        <f t="shared" si="103"/>
        <v/>
      </c>
      <c r="S1340" s="24" t="str">
        <f t="shared" si="104"/>
        <v/>
      </c>
      <c r="T1340" t="str">
        <f t="shared" si="101"/>
        <v/>
      </c>
    </row>
    <row r="1341" spans="1:20">
      <c r="A1341" s="22" t="s">
        <v>1435</v>
      </c>
      <c r="H1341" s="22" t="str">
        <f t="shared" si="102"/>
        <v/>
      </c>
      <c r="J1341" s="32"/>
      <c r="R1341" s="24" t="str">
        <f t="shared" si="103"/>
        <v/>
      </c>
      <c r="S1341" s="24" t="str">
        <f t="shared" si="104"/>
        <v/>
      </c>
      <c r="T1341" t="str">
        <f t="shared" si="101"/>
        <v/>
      </c>
    </row>
    <row r="1342" spans="1:20">
      <c r="A1342" s="22" t="s">
        <v>1436</v>
      </c>
      <c r="H1342" s="22" t="str">
        <f t="shared" si="102"/>
        <v/>
      </c>
      <c r="J1342" s="32"/>
      <c r="R1342" s="24" t="str">
        <f t="shared" si="103"/>
        <v/>
      </c>
      <c r="S1342" s="24" t="str">
        <f t="shared" si="104"/>
        <v/>
      </c>
      <c r="T1342" t="str">
        <f t="shared" si="101"/>
        <v/>
      </c>
    </row>
    <row r="1343" spans="1:20">
      <c r="A1343" s="22" t="s">
        <v>1437</v>
      </c>
      <c r="H1343" s="22" t="str">
        <f t="shared" si="102"/>
        <v/>
      </c>
      <c r="J1343" s="32"/>
      <c r="R1343" s="24" t="str">
        <f t="shared" si="103"/>
        <v/>
      </c>
      <c r="S1343" s="24" t="str">
        <f t="shared" si="104"/>
        <v/>
      </c>
      <c r="T1343" t="str">
        <f t="shared" si="101"/>
        <v/>
      </c>
    </row>
    <row r="1344" spans="1:20">
      <c r="A1344" s="22" t="s">
        <v>1438</v>
      </c>
      <c r="H1344" s="22" t="str">
        <f t="shared" si="102"/>
        <v/>
      </c>
      <c r="J1344" s="32"/>
      <c r="R1344" s="24" t="str">
        <f t="shared" si="103"/>
        <v/>
      </c>
      <c r="S1344" s="24" t="str">
        <f t="shared" si="104"/>
        <v/>
      </c>
      <c r="T1344" t="str">
        <f t="shared" si="101"/>
        <v/>
      </c>
    </row>
    <row r="1345" spans="1:20">
      <c r="A1345" s="22" t="s">
        <v>1439</v>
      </c>
      <c r="H1345" s="22" t="str">
        <f t="shared" si="102"/>
        <v/>
      </c>
      <c r="J1345" s="32"/>
      <c r="R1345" s="24" t="str">
        <f t="shared" si="103"/>
        <v/>
      </c>
      <c r="S1345" s="24" t="str">
        <f t="shared" si="104"/>
        <v/>
      </c>
      <c r="T1345" t="str">
        <f t="shared" si="101"/>
        <v/>
      </c>
    </row>
    <row r="1346" spans="1:20">
      <c r="A1346" s="22" t="s">
        <v>1440</v>
      </c>
      <c r="H1346" s="22" t="str">
        <f t="shared" si="102"/>
        <v/>
      </c>
      <c r="J1346" s="32"/>
      <c r="R1346" s="24" t="str">
        <f t="shared" si="103"/>
        <v/>
      </c>
      <c r="S1346" s="24" t="str">
        <f t="shared" si="104"/>
        <v/>
      </c>
      <c r="T1346" t="str">
        <f t="shared" si="101"/>
        <v/>
      </c>
    </row>
    <row r="1347" spans="1:20">
      <c r="A1347" s="22" t="s">
        <v>1441</v>
      </c>
      <c r="H1347" s="22" t="str">
        <f t="shared" si="102"/>
        <v/>
      </c>
      <c r="J1347" s="32"/>
      <c r="R1347" s="24" t="str">
        <f t="shared" si="103"/>
        <v/>
      </c>
      <c r="S1347" s="24" t="str">
        <f t="shared" si="104"/>
        <v/>
      </c>
      <c r="T1347" t="str">
        <f t="shared" si="101"/>
        <v/>
      </c>
    </row>
    <row r="1348" spans="1:20">
      <c r="A1348" s="22" t="s">
        <v>1442</v>
      </c>
      <c r="H1348" s="22" t="str">
        <f t="shared" si="102"/>
        <v/>
      </c>
      <c r="J1348" s="32"/>
      <c r="R1348" s="24" t="str">
        <f t="shared" si="103"/>
        <v/>
      </c>
      <c r="S1348" s="24" t="str">
        <f t="shared" si="104"/>
        <v/>
      </c>
      <c r="T1348" t="str">
        <f t="shared" si="101"/>
        <v/>
      </c>
    </row>
    <row r="1349" spans="1:20">
      <c r="A1349" s="22" t="s">
        <v>1443</v>
      </c>
      <c r="H1349" s="22" t="str">
        <f t="shared" si="102"/>
        <v/>
      </c>
      <c r="J1349" s="32"/>
      <c r="R1349" s="24" t="str">
        <f t="shared" si="103"/>
        <v/>
      </c>
      <c r="S1349" s="24" t="str">
        <f t="shared" si="104"/>
        <v/>
      </c>
      <c r="T1349" t="str">
        <f t="shared" si="101"/>
        <v/>
      </c>
    </row>
    <row r="1350" spans="1:20">
      <c r="A1350" s="22" t="s">
        <v>1444</v>
      </c>
      <c r="H1350" s="22" t="str">
        <f t="shared" si="102"/>
        <v/>
      </c>
      <c r="J1350" s="32"/>
      <c r="R1350" s="24" t="str">
        <f t="shared" si="103"/>
        <v/>
      </c>
      <c r="S1350" s="24" t="str">
        <f t="shared" si="104"/>
        <v/>
      </c>
      <c r="T1350" t="str">
        <f t="shared" si="101"/>
        <v/>
      </c>
    </row>
    <row r="1351" spans="1:20">
      <c r="A1351" s="22" t="s">
        <v>1445</v>
      </c>
      <c r="H1351" s="22" t="str">
        <f t="shared" si="102"/>
        <v/>
      </c>
      <c r="J1351" s="32"/>
      <c r="R1351" s="24" t="str">
        <f t="shared" si="103"/>
        <v/>
      </c>
      <c r="S1351" s="24" t="str">
        <f t="shared" si="104"/>
        <v/>
      </c>
      <c r="T1351" t="str">
        <f t="shared" si="101"/>
        <v/>
      </c>
    </row>
    <row r="1352" spans="1:20">
      <c r="A1352" s="22" t="s">
        <v>1446</v>
      </c>
      <c r="H1352" s="22" t="str">
        <f t="shared" si="102"/>
        <v/>
      </c>
      <c r="J1352" s="32"/>
      <c r="R1352" s="24" t="str">
        <f t="shared" si="103"/>
        <v/>
      </c>
      <c r="S1352" s="24" t="str">
        <f t="shared" si="104"/>
        <v/>
      </c>
      <c r="T1352" t="str">
        <f t="shared" si="101"/>
        <v/>
      </c>
    </row>
    <row r="1353" spans="1:20">
      <c r="A1353" s="22" t="s">
        <v>1447</v>
      </c>
      <c r="H1353" s="22" t="str">
        <f t="shared" si="102"/>
        <v/>
      </c>
      <c r="J1353" s="32"/>
      <c r="R1353" s="24" t="str">
        <f t="shared" si="103"/>
        <v/>
      </c>
      <c r="S1353" s="24" t="str">
        <f t="shared" si="104"/>
        <v/>
      </c>
      <c r="T1353" t="str">
        <f t="shared" si="101"/>
        <v/>
      </c>
    </row>
    <row r="1354" spans="1:20">
      <c r="A1354" s="22" t="s">
        <v>1448</v>
      </c>
      <c r="H1354" s="22" t="str">
        <f t="shared" si="102"/>
        <v/>
      </c>
      <c r="J1354" s="32"/>
      <c r="R1354" s="24" t="str">
        <f t="shared" si="103"/>
        <v/>
      </c>
      <c r="S1354" s="24" t="str">
        <f t="shared" si="104"/>
        <v/>
      </c>
      <c r="T1354" t="str">
        <f t="shared" si="101"/>
        <v/>
      </c>
    </row>
    <row r="1355" spans="1:20">
      <c r="A1355" s="22" t="s">
        <v>1449</v>
      </c>
      <c r="H1355" s="22" t="str">
        <f t="shared" si="102"/>
        <v/>
      </c>
      <c r="J1355" s="32"/>
      <c r="R1355" s="24" t="str">
        <f t="shared" si="103"/>
        <v/>
      </c>
      <c r="S1355" s="24" t="str">
        <f t="shared" si="104"/>
        <v/>
      </c>
      <c r="T1355" t="str">
        <f t="shared" si="101"/>
        <v/>
      </c>
    </row>
    <row r="1356" spans="1:20">
      <c r="A1356" s="22" t="s">
        <v>1450</v>
      </c>
      <c r="H1356" s="22" t="str">
        <f t="shared" si="102"/>
        <v/>
      </c>
      <c r="J1356" s="32"/>
      <c r="R1356" s="24" t="str">
        <f t="shared" si="103"/>
        <v/>
      </c>
      <c r="S1356" s="24" t="str">
        <f t="shared" si="104"/>
        <v/>
      </c>
      <c r="T1356" t="str">
        <f t="shared" si="101"/>
        <v/>
      </c>
    </row>
    <row r="1357" spans="1:20">
      <c r="A1357" s="22" t="s">
        <v>1451</v>
      </c>
      <c r="H1357" s="22" t="str">
        <f t="shared" si="102"/>
        <v/>
      </c>
      <c r="J1357" s="32"/>
      <c r="R1357" s="24" t="str">
        <f t="shared" si="103"/>
        <v/>
      </c>
      <c r="S1357" s="24" t="str">
        <f t="shared" si="104"/>
        <v/>
      </c>
      <c r="T1357" t="str">
        <f t="shared" si="101"/>
        <v/>
      </c>
    </row>
    <row r="1358" spans="1:20">
      <c r="A1358" s="22" t="s">
        <v>1452</v>
      </c>
      <c r="H1358" s="22" t="str">
        <f t="shared" si="102"/>
        <v/>
      </c>
      <c r="J1358" s="32"/>
      <c r="R1358" s="24" t="str">
        <f t="shared" si="103"/>
        <v/>
      </c>
      <c r="S1358" s="24" t="str">
        <f t="shared" si="104"/>
        <v/>
      </c>
      <c r="T1358" t="str">
        <f t="shared" si="101"/>
        <v/>
      </c>
    </row>
    <row r="1359" spans="1:20">
      <c r="A1359" s="22" t="s">
        <v>1453</v>
      </c>
      <c r="H1359" s="22" t="str">
        <f t="shared" si="102"/>
        <v/>
      </c>
      <c r="J1359" s="32"/>
      <c r="R1359" s="24" t="str">
        <f t="shared" si="103"/>
        <v/>
      </c>
      <c r="S1359" s="24" t="str">
        <f t="shared" si="104"/>
        <v/>
      </c>
      <c r="T1359" t="str">
        <f t="shared" ref="T1359:T1422" si="105">IF(OR(C1359="",I1359&lt;&gt;"ENTRADA"),"",TEXT(B1359,"AAMMDD")&amp;"-"&amp;TEXT(VALUE(SUBSTITUTE(A1359,"MOV-","")),"000"))</f>
        <v/>
      </c>
    </row>
    <row r="1360" spans="1:20">
      <c r="A1360" s="22" t="s">
        <v>1454</v>
      </c>
      <c r="H1360" s="22" t="str">
        <f t="shared" ref="H1360:H1423" si="106">+T1360</f>
        <v/>
      </c>
      <c r="J1360" s="32"/>
      <c r="R1360" s="24" t="str">
        <f t="shared" ref="R1360:R1423" si="107">IF(H1360="","",H1360&amp;I1360)</f>
        <v/>
      </c>
      <c r="S1360" s="24" t="str">
        <f t="shared" ref="S1360:S1423" si="108">IF(C1360="","",C1360&amp;I1360)</f>
        <v/>
      </c>
      <c r="T1360" t="str">
        <f t="shared" si="105"/>
        <v/>
      </c>
    </row>
    <row r="1361" spans="1:20">
      <c r="A1361" s="22" t="s">
        <v>1455</v>
      </c>
      <c r="H1361" s="22" t="str">
        <f t="shared" si="106"/>
        <v/>
      </c>
      <c r="J1361" s="32"/>
      <c r="R1361" s="24" t="str">
        <f t="shared" si="107"/>
        <v/>
      </c>
      <c r="S1361" s="24" t="str">
        <f t="shared" si="108"/>
        <v/>
      </c>
      <c r="T1361" t="str">
        <f t="shared" si="105"/>
        <v/>
      </c>
    </row>
    <row r="1362" spans="1:20">
      <c r="A1362" s="22" t="s">
        <v>1456</v>
      </c>
      <c r="H1362" s="22" t="str">
        <f t="shared" si="106"/>
        <v/>
      </c>
      <c r="J1362" s="32"/>
      <c r="R1362" s="24" t="str">
        <f t="shared" si="107"/>
        <v/>
      </c>
      <c r="S1362" s="24" t="str">
        <f t="shared" si="108"/>
        <v/>
      </c>
      <c r="T1362" t="str">
        <f t="shared" si="105"/>
        <v/>
      </c>
    </row>
    <row r="1363" spans="1:20">
      <c r="A1363" s="22" t="s">
        <v>1457</v>
      </c>
      <c r="H1363" s="22" t="str">
        <f t="shared" si="106"/>
        <v/>
      </c>
      <c r="J1363" s="32"/>
      <c r="R1363" s="24" t="str">
        <f t="shared" si="107"/>
        <v/>
      </c>
      <c r="S1363" s="24" t="str">
        <f t="shared" si="108"/>
        <v/>
      </c>
      <c r="T1363" t="str">
        <f t="shared" si="105"/>
        <v/>
      </c>
    </row>
    <row r="1364" spans="1:20">
      <c r="A1364" s="22" t="s">
        <v>1458</v>
      </c>
      <c r="H1364" s="22" t="str">
        <f t="shared" si="106"/>
        <v/>
      </c>
      <c r="J1364" s="32"/>
      <c r="R1364" s="24" t="str">
        <f t="shared" si="107"/>
        <v/>
      </c>
      <c r="S1364" s="24" t="str">
        <f t="shared" si="108"/>
        <v/>
      </c>
      <c r="T1364" t="str">
        <f t="shared" si="105"/>
        <v/>
      </c>
    </row>
    <row r="1365" spans="1:20">
      <c r="A1365" s="22" t="s">
        <v>1459</v>
      </c>
      <c r="H1365" s="22" t="str">
        <f t="shared" si="106"/>
        <v/>
      </c>
      <c r="J1365" s="32"/>
      <c r="R1365" s="24" t="str">
        <f t="shared" si="107"/>
        <v/>
      </c>
      <c r="S1365" s="24" t="str">
        <f t="shared" si="108"/>
        <v/>
      </c>
      <c r="T1365" t="str">
        <f t="shared" si="105"/>
        <v/>
      </c>
    </row>
    <row r="1366" spans="1:20">
      <c r="A1366" s="22" t="s">
        <v>1460</v>
      </c>
      <c r="H1366" s="22" t="str">
        <f t="shared" si="106"/>
        <v/>
      </c>
      <c r="J1366" s="32"/>
      <c r="R1366" s="24" t="str">
        <f t="shared" si="107"/>
        <v/>
      </c>
      <c r="S1366" s="24" t="str">
        <f t="shared" si="108"/>
        <v/>
      </c>
      <c r="T1366" t="str">
        <f t="shared" si="105"/>
        <v/>
      </c>
    </row>
    <row r="1367" spans="1:20">
      <c r="A1367" s="22" t="s">
        <v>1461</v>
      </c>
      <c r="H1367" s="22" t="str">
        <f t="shared" si="106"/>
        <v/>
      </c>
      <c r="J1367" s="32"/>
      <c r="R1367" s="24" t="str">
        <f t="shared" si="107"/>
        <v/>
      </c>
      <c r="S1367" s="24" t="str">
        <f t="shared" si="108"/>
        <v/>
      </c>
      <c r="T1367" t="str">
        <f t="shared" si="105"/>
        <v/>
      </c>
    </row>
    <row r="1368" spans="1:20">
      <c r="A1368" s="22" t="s">
        <v>1462</v>
      </c>
      <c r="H1368" s="22" t="str">
        <f t="shared" si="106"/>
        <v/>
      </c>
      <c r="J1368" s="32"/>
      <c r="R1368" s="24" t="str">
        <f t="shared" si="107"/>
        <v/>
      </c>
      <c r="S1368" s="24" t="str">
        <f t="shared" si="108"/>
        <v/>
      </c>
      <c r="T1368" t="str">
        <f t="shared" si="105"/>
        <v/>
      </c>
    </row>
    <row r="1369" spans="1:20">
      <c r="A1369" s="22" t="s">
        <v>1463</v>
      </c>
      <c r="H1369" s="22" t="str">
        <f t="shared" si="106"/>
        <v/>
      </c>
      <c r="J1369" s="32"/>
      <c r="R1369" s="24" t="str">
        <f t="shared" si="107"/>
        <v/>
      </c>
      <c r="S1369" s="24" t="str">
        <f t="shared" si="108"/>
        <v/>
      </c>
      <c r="T1369" t="str">
        <f t="shared" si="105"/>
        <v/>
      </c>
    </row>
    <row r="1370" spans="1:20">
      <c r="A1370" s="22" t="s">
        <v>1464</v>
      </c>
      <c r="H1370" s="22" t="str">
        <f t="shared" si="106"/>
        <v/>
      </c>
      <c r="J1370" s="32"/>
      <c r="R1370" s="24" t="str">
        <f t="shared" si="107"/>
        <v/>
      </c>
      <c r="S1370" s="24" t="str">
        <f t="shared" si="108"/>
        <v/>
      </c>
      <c r="T1370" t="str">
        <f t="shared" si="105"/>
        <v/>
      </c>
    </row>
    <row r="1371" spans="1:20">
      <c r="A1371" s="22" t="s">
        <v>1465</v>
      </c>
      <c r="H1371" s="22" t="str">
        <f t="shared" si="106"/>
        <v/>
      </c>
      <c r="J1371" s="32"/>
      <c r="R1371" s="24" t="str">
        <f t="shared" si="107"/>
        <v/>
      </c>
      <c r="S1371" s="24" t="str">
        <f t="shared" si="108"/>
        <v/>
      </c>
      <c r="T1371" t="str">
        <f t="shared" si="105"/>
        <v/>
      </c>
    </row>
    <row r="1372" spans="1:20">
      <c r="A1372" s="22" t="s">
        <v>1466</v>
      </c>
      <c r="H1372" s="22" t="str">
        <f t="shared" si="106"/>
        <v/>
      </c>
      <c r="J1372" s="32"/>
      <c r="R1372" s="24" t="str">
        <f t="shared" si="107"/>
        <v/>
      </c>
      <c r="S1372" s="24" t="str">
        <f t="shared" si="108"/>
        <v/>
      </c>
      <c r="T1372" t="str">
        <f t="shared" si="105"/>
        <v/>
      </c>
    </row>
    <row r="1373" spans="1:20">
      <c r="A1373" s="22" t="s">
        <v>1467</v>
      </c>
      <c r="H1373" s="22" t="str">
        <f t="shared" si="106"/>
        <v/>
      </c>
      <c r="J1373" s="32"/>
      <c r="R1373" s="24" t="str">
        <f t="shared" si="107"/>
        <v/>
      </c>
      <c r="S1373" s="24" t="str">
        <f t="shared" si="108"/>
        <v/>
      </c>
      <c r="T1373" t="str">
        <f t="shared" si="105"/>
        <v/>
      </c>
    </row>
    <row r="1374" spans="1:20">
      <c r="A1374" s="22" t="s">
        <v>1468</v>
      </c>
      <c r="H1374" s="22" t="str">
        <f t="shared" si="106"/>
        <v/>
      </c>
      <c r="J1374" s="32"/>
      <c r="R1374" s="24" t="str">
        <f t="shared" si="107"/>
        <v/>
      </c>
      <c r="S1374" s="24" t="str">
        <f t="shared" si="108"/>
        <v/>
      </c>
      <c r="T1374" t="str">
        <f t="shared" si="105"/>
        <v/>
      </c>
    </row>
    <row r="1375" spans="1:20">
      <c r="A1375" s="22" t="s">
        <v>1469</v>
      </c>
      <c r="H1375" s="22" t="str">
        <f t="shared" si="106"/>
        <v/>
      </c>
      <c r="J1375" s="32"/>
      <c r="R1375" s="24" t="str">
        <f t="shared" si="107"/>
        <v/>
      </c>
      <c r="S1375" s="24" t="str">
        <f t="shared" si="108"/>
        <v/>
      </c>
      <c r="T1375" t="str">
        <f t="shared" si="105"/>
        <v/>
      </c>
    </row>
    <row r="1376" spans="1:20">
      <c r="A1376" s="22" t="s">
        <v>1470</v>
      </c>
      <c r="H1376" s="22" t="str">
        <f t="shared" si="106"/>
        <v/>
      </c>
      <c r="J1376" s="32"/>
      <c r="R1376" s="24" t="str">
        <f t="shared" si="107"/>
        <v/>
      </c>
      <c r="S1376" s="24" t="str">
        <f t="shared" si="108"/>
        <v/>
      </c>
      <c r="T1376" t="str">
        <f t="shared" si="105"/>
        <v/>
      </c>
    </row>
    <row r="1377" spans="1:20">
      <c r="A1377" s="22" t="s">
        <v>1471</v>
      </c>
      <c r="H1377" s="22" t="str">
        <f t="shared" si="106"/>
        <v/>
      </c>
      <c r="J1377" s="32"/>
      <c r="R1377" s="24" t="str">
        <f t="shared" si="107"/>
        <v/>
      </c>
      <c r="S1377" s="24" t="str">
        <f t="shared" si="108"/>
        <v/>
      </c>
      <c r="T1377" t="str">
        <f t="shared" si="105"/>
        <v/>
      </c>
    </row>
    <row r="1378" spans="1:20">
      <c r="A1378" s="22" t="s">
        <v>1472</v>
      </c>
      <c r="H1378" s="22" t="str">
        <f t="shared" si="106"/>
        <v/>
      </c>
      <c r="J1378" s="32"/>
      <c r="R1378" s="24" t="str">
        <f t="shared" si="107"/>
        <v/>
      </c>
      <c r="S1378" s="24" t="str">
        <f t="shared" si="108"/>
        <v/>
      </c>
      <c r="T1378" t="str">
        <f t="shared" si="105"/>
        <v/>
      </c>
    </row>
    <row r="1379" spans="1:20">
      <c r="A1379" s="22" t="s">
        <v>1473</v>
      </c>
      <c r="H1379" s="22" t="str">
        <f t="shared" si="106"/>
        <v/>
      </c>
      <c r="J1379" s="32"/>
      <c r="R1379" s="24" t="str">
        <f t="shared" si="107"/>
        <v/>
      </c>
      <c r="S1379" s="24" t="str">
        <f t="shared" si="108"/>
        <v/>
      </c>
      <c r="T1379" t="str">
        <f t="shared" si="105"/>
        <v/>
      </c>
    </row>
    <row r="1380" spans="1:20">
      <c r="A1380" s="22" t="s">
        <v>1474</v>
      </c>
      <c r="H1380" s="22" t="str">
        <f t="shared" si="106"/>
        <v/>
      </c>
      <c r="J1380" s="32"/>
      <c r="R1380" s="24" t="str">
        <f t="shared" si="107"/>
        <v/>
      </c>
      <c r="S1380" s="24" t="str">
        <f t="shared" si="108"/>
        <v/>
      </c>
      <c r="T1380" t="str">
        <f t="shared" si="105"/>
        <v/>
      </c>
    </row>
    <row r="1381" spans="1:20">
      <c r="A1381" s="22" t="s">
        <v>1475</v>
      </c>
      <c r="H1381" s="22" t="str">
        <f t="shared" si="106"/>
        <v/>
      </c>
      <c r="J1381" s="32"/>
      <c r="R1381" s="24" t="str">
        <f t="shared" si="107"/>
        <v/>
      </c>
      <c r="S1381" s="24" t="str">
        <f t="shared" si="108"/>
        <v/>
      </c>
      <c r="T1381" t="str">
        <f t="shared" si="105"/>
        <v/>
      </c>
    </row>
    <row r="1382" spans="1:20">
      <c r="A1382" s="22" t="s">
        <v>1476</v>
      </c>
      <c r="H1382" s="22" t="str">
        <f t="shared" si="106"/>
        <v/>
      </c>
      <c r="J1382" s="32"/>
      <c r="R1382" s="24" t="str">
        <f t="shared" si="107"/>
        <v/>
      </c>
      <c r="S1382" s="24" t="str">
        <f t="shared" si="108"/>
        <v/>
      </c>
      <c r="T1382" t="str">
        <f t="shared" si="105"/>
        <v/>
      </c>
    </row>
    <row r="1383" spans="1:20">
      <c r="A1383" s="22" t="s">
        <v>1477</v>
      </c>
      <c r="H1383" s="22" t="str">
        <f t="shared" si="106"/>
        <v/>
      </c>
      <c r="J1383" s="32"/>
      <c r="R1383" s="24" t="str">
        <f t="shared" si="107"/>
        <v/>
      </c>
      <c r="S1383" s="24" t="str">
        <f t="shared" si="108"/>
        <v/>
      </c>
      <c r="T1383" t="str">
        <f t="shared" si="105"/>
        <v/>
      </c>
    </row>
    <row r="1384" spans="1:20">
      <c r="A1384" s="22" t="s">
        <v>1478</v>
      </c>
      <c r="H1384" s="22" t="str">
        <f t="shared" si="106"/>
        <v/>
      </c>
      <c r="J1384" s="32"/>
      <c r="R1384" s="24" t="str">
        <f t="shared" si="107"/>
        <v/>
      </c>
      <c r="S1384" s="24" t="str">
        <f t="shared" si="108"/>
        <v/>
      </c>
      <c r="T1384" t="str">
        <f t="shared" si="105"/>
        <v/>
      </c>
    </row>
    <row r="1385" spans="1:20">
      <c r="A1385" s="22" t="s">
        <v>1479</v>
      </c>
      <c r="H1385" s="22" t="str">
        <f t="shared" si="106"/>
        <v/>
      </c>
      <c r="J1385" s="32"/>
      <c r="R1385" s="24" t="str">
        <f t="shared" si="107"/>
        <v/>
      </c>
      <c r="S1385" s="24" t="str">
        <f t="shared" si="108"/>
        <v/>
      </c>
      <c r="T1385" t="str">
        <f t="shared" si="105"/>
        <v/>
      </c>
    </row>
    <row r="1386" spans="1:20">
      <c r="A1386" s="22" t="s">
        <v>1480</v>
      </c>
      <c r="H1386" s="22" t="str">
        <f t="shared" si="106"/>
        <v/>
      </c>
      <c r="J1386" s="32"/>
      <c r="R1386" s="24" t="str">
        <f t="shared" si="107"/>
        <v/>
      </c>
      <c r="S1386" s="24" t="str">
        <f t="shared" si="108"/>
        <v/>
      </c>
      <c r="T1386" t="str">
        <f t="shared" si="105"/>
        <v/>
      </c>
    </row>
    <row r="1387" spans="1:20">
      <c r="A1387" s="22" t="s">
        <v>1481</v>
      </c>
      <c r="H1387" s="22" t="str">
        <f t="shared" si="106"/>
        <v/>
      </c>
      <c r="J1387" s="32"/>
      <c r="R1387" s="24" t="str">
        <f t="shared" si="107"/>
        <v/>
      </c>
      <c r="S1387" s="24" t="str">
        <f t="shared" si="108"/>
        <v/>
      </c>
      <c r="T1387" t="str">
        <f t="shared" si="105"/>
        <v/>
      </c>
    </row>
    <row r="1388" spans="1:20">
      <c r="A1388" s="22" t="s">
        <v>1482</v>
      </c>
      <c r="H1388" s="22" t="str">
        <f t="shared" si="106"/>
        <v/>
      </c>
      <c r="J1388" s="32"/>
      <c r="R1388" s="24" t="str">
        <f t="shared" si="107"/>
        <v/>
      </c>
      <c r="S1388" s="24" t="str">
        <f t="shared" si="108"/>
        <v/>
      </c>
      <c r="T1388" t="str">
        <f t="shared" si="105"/>
        <v/>
      </c>
    </row>
    <row r="1389" spans="1:20">
      <c r="A1389" s="22" t="s">
        <v>1483</v>
      </c>
      <c r="H1389" s="22" t="str">
        <f t="shared" si="106"/>
        <v/>
      </c>
      <c r="J1389" s="32"/>
      <c r="R1389" s="24" t="str">
        <f t="shared" si="107"/>
        <v/>
      </c>
      <c r="S1389" s="24" t="str">
        <f t="shared" si="108"/>
        <v/>
      </c>
      <c r="T1389" t="str">
        <f t="shared" si="105"/>
        <v/>
      </c>
    </row>
    <row r="1390" spans="1:20">
      <c r="A1390" s="22" t="s">
        <v>1484</v>
      </c>
      <c r="H1390" s="22" t="str">
        <f t="shared" si="106"/>
        <v/>
      </c>
      <c r="J1390" s="32"/>
      <c r="R1390" s="24" t="str">
        <f t="shared" si="107"/>
        <v/>
      </c>
      <c r="S1390" s="24" t="str">
        <f t="shared" si="108"/>
        <v/>
      </c>
      <c r="T1390" t="str">
        <f t="shared" si="105"/>
        <v/>
      </c>
    </row>
    <row r="1391" spans="1:20">
      <c r="A1391" s="22" t="s">
        <v>1485</v>
      </c>
      <c r="H1391" s="22" t="str">
        <f t="shared" si="106"/>
        <v/>
      </c>
      <c r="J1391" s="32"/>
      <c r="R1391" s="24" t="str">
        <f t="shared" si="107"/>
        <v/>
      </c>
      <c r="S1391" s="24" t="str">
        <f t="shared" si="108"/>
        <v/>
      </c>
      <c r="T1391" t="str">
        <f t="shared" si="105"/>
        <v/>
      </c>
    </row>
    <row r="1392" spans="1:20">
      <c r="A1392" s="22" t="s">
        <v>1486</v>
      </c>
      <c r="H1392" s="22" t="str">
        <f t="shared" si="106"/>
        <v/>
      </c>
      <c r="J1392" s="32"/>
      <c r="R1392" s="24" t="str">
        <f t="shared" si="107"/>
        <v/>
      </c>
      <c r="S1392" s="24" t="str">
        <f t="shared" si="108"/>
        <v/>
      </c>
      <c r="T1392" t="str">
        <f t="shared" si="105"/>
        <v/>
      </c>
    </row>
    <row r="1393" spans="1:20">
      <c r="A1393" s="22" t="s">
        <v>1487</v>
      </c>
      <c r="H1393" s="22" t="str">
        <f t="shared" si="106"/>
        <v/>
      </c>
      <c r="J1393" s="32"/>
      <c r="R1393" s="24" t="str">
        <f t="shared" si="107"/>
        <v/>
      </c>
      <c r="S1393" s="24" t="str">
        <f t="shared" si="108"/>
        <v/>
      </c>
      <c r="T1393" t="str">
        <f t="shared" si="105"/>
        <v/>
      </c>
    </row>
    <row r="1394" spans="1:20">
      <c r="A1394" s="22" t="s">
        <v>1488</v>
      </c>
      <c r="H1394" s="22" t="str">
        <f t="shared" si="106"/>
        <v/>
      </c>
      <c r="J1394" s="32"/>
      <c r="R1394" s="24" t="str">
        <f t="shared" si="107"/>
        <v/>
      </c>
      <c r="S1394" s="24" t="str">
        <f t="shared" si="108"/>
        <v/>
      </c>
      <c r="T1394" t="str">
        <f t="shared" si="105"/>
        <v/>
      </c>
    </row>
    <row r="1395" spans="1:20">
      <c r="A1395" s="22" t="s">
        <v>1489</v>
      </c>
      <c r="H1395" s="22" t="str">
        <f t="shared" si="106"/>
        <v/>
      </c>
      <c r="J1395" s="32"/>
      <c r="R1395" s="24" t="str">
        <f t="shared" si="107"/>
        <v/>
      </c>
      <c r="S1395" s="24" t="str">
        <f t="shared" si="108"/>
        <v/>
      </c>
      <c r="T1395" t="str">
        <f t="shared" si="105"/>
        <v/>
      </c>
    </row>
    <row r="1396" spans="1:20">
      <c r="A1396" s="22" t="s">
        <v>1490</v>
      </c>
      <c r="H1396" s="22" t="str">
        <f t="shared" si="106"/>
        <v/>
      </c>
      <c r="J1396" s="32"/>
      <c r="R1396" s="24" t="str">
        <f t="shared" si="107"/>
        <v/>
      </c>
      <c r="S1396" s="24" t="str">
        <f t="shared" si="108"/>
        <v/>
      </c>
      <c r="T1396" t="str">
        <f t="shared" si="105"/>
        <v/>
      </c>
    </row>
    <row r="1397" spans="1:20">
      <c r="A1397" s="22" t="s">
        <v>1491</v>
      </c>
      <c r="H1397" s="22" t="str">
        <f t="shared" si="106"/>
        <v/>
      </c>
      <c r="J1397" s="32"/>
      <c r="R1397" s="24" t="str">
        <f t="shared" si="107"/>
        <v/>
      </c>
      <c r="S1397" s="24" t="str">
        <f t="shared" si="108"/>
        <v/>
      </c>
      <c r="T1397" t="str">
        <f t="shared" si="105"/>
        <v/>
      </c>
    </row>
    <row r="1398" spans="1:20">
      <c r="A1398" s="22" t="s">
        <v>1492</v>
      </c>
      <c r="H1398" s="22" t="str">
        <f t="shared" si="106"/>
        <v/>
      </c>
      <c r="J1398" s="32"/>
      <c r="R1398" s="24" t="str">
        <f t="shared" si="107"/>
        <v/>
      </c>
      <c r="S1398" s="24" t="str">
        <f t="shared" si="108"/>
        <v/>
      </c>
      <c r="T1398" t="str">
        <f t="shared" si="105"/>
        <v/>
      </c>
    </row>
    <row r="1399" spans="1:20">
      <c r="A1399" s="22" t="s">
        <v>1493</v>
      </c>
      <c r="H1399" s="22" t="str">
        <f t="shared" si="106"/>
        <v/>
      </c>
      <c r="J1399" s="32"/>
      <c r="R1399" s="24" t="str">
        <f t="shared" si="107"/>
        <v/>
      </c>
      <c r="S1399" s="24" t="str">
        <f t="shared" si="108"/>
        <v/>
      </c>
      <c r="T1399" t="str">
        <f t="shared" si="105"/>
        <v/>
      </c>
    </row>
    <row r="1400" spans="1:20">
      <c r="A1400" s="22" t="s">
        <v>1494</v>
      </c>
      <c r="H1400" s="22" t="str">
        <f t="shared" si="106"/>
        <v/>
      </c>
      <c r="J1400" s="32"/>
      <c r="R1400" s="24" t="str">
        <f t="shared" si="107"/>
        <v/>
      </c>
      <c r="S1400" s="24" t="str">
        <f t="shared" si="108"/>
        <v/>
      </c>
      <c r="T1400" t="str">
        <f t="shared" si="105"/>
        <v/>
      </c>
    </row>
    <row r="1401" spans="1:20">
      <c r="A1401" s="22" t="s">
        <v>1495</v>
      </c>
      <c r="H1401" s="22" t="str">
        <f t="shared" si="106"/>
        <v/>
      </c>
      <c r="J1401" s="32"/>
      <c r="R1401" s="24" t="str">
        <f t="shared" si="107"/>
        <v/>
      </c>
      <c r="S1401" s="24" t="str">
        <f t="shared" si="108"/>
        <v/>
      </c>
      <c r="T1401" t="str">
        <f t="shared" si="105"/>
        <v/>
      </c>
    </row>
    <row r="1402" spans="1:20">
      <c r="A1402" s="22" t="s">
        <v>1496</v>
      </c>
      <c r="H1402" s="22" t="str">
        <f t="shared" si="106"/>
        <v/>
      </c>
      <c r="J1402" s="32"/>
      <c r="R1402" s="24" t="str">
        <f t="shared" si="107"/>
        <v/>
      </c>
      <c r="S1402" s="24" t="str">
        <f t="shared" si="108"/>
        <v/>
      </c>
      <c r="T1402" t="str">
        <f t="shared" si="105"/>
        <v/>
      </c>
    </row>
    <row r="1403" spans="1:20">
      <c r="A1403" s="22" t="s">
        <v>1497</v>
      </c>
      <c r="H1403" s="22" t="str">
        <f t="shared" si="106"/>
        <v/>
      </c>
      <c r="J1403" s="32"/>
      <c r="R1403" s="24" t="str">
        <f t="shared" si="107"/>
        <v/>
      </c>
      <c r="S1403" s="24" t="str">
        <f t="shared" si="108"/>
        <v/>
      </c>
      <c r="T1403" t="str">
        <f t="shared" si="105"/>
        <v/>
      </c>
    </row>
    <row r="1404" spans="1:20">
      <c r="A1404" s="22" t="s">
        <v>1498</v>
      </c>
      <c r="H1404" s="22" t="str">
        <f t="shared" si="106"/>
        <v/>
      </c>
      <c r="J1404" s="32"/>
      <c r="R1404" s="24" t="str">
        <f t="shared" si="107"/>
        <v/>
      </c>
      <c r="S1404" s="24" t="str">
        <f t="shared" si="108"/>
        <v/>
      </c>
      <c r="T1404" t="str">
        <f t="shared" si="105"/>
        <v/>
      </c>
    </row>
    <row r="1405" spans="1:20">
      <c r="A1405" s="22" t="s">
        <v>1499</v>
      </c>
      <c r="H1405" s="22" t="str">
        <f t="shared" si="106"/>
        <v/>
      </c>
      <c r="J1405" s="32"/>
      <c r="R1405" s="24" t="str">
        <f t="shared" si="107"/>
        <v/>
      </c>
      <c r="S1405" s="24" t="str">
        <f t="shared" si="108"/>
        <v/>
      </c>
      <c r="T1405" t="str">
        <f t="shared" si="105"/>
        <v/>
      </c>
    </row>
    <row r="1406" spans="1:20">
      <c r="A1406" s="22" t="s">
        <v>1500</v>
      </c>
      <c r="H1406" s="22" t="str">
        <f t="shared" si="106"/>
        <v/>
      </c>
      <c r="J1406" s="32"/>
      <c r="R1406" s="24" t="str">
        <f t="shared" si="107"/>
        <v/>
      </c>
      <c r="S1406" s="24" t="str">
        <f t="shared" si="108"/>
        <v/>
      </c>
      <c r="T1406" t="str">
        <f t="shared" si="105"/>
        <v/>
      </c>
    </row>
    <row r="1407" spans="1:20">
      <c r="A1407" s="22" t="s">
        <v>1501</v>
      </c>
      <c r="H1407" s="22" t="str">
        <f t="shared" si="106"/>
        <v/>
      </c>
      <c r="J1407" s="32"/>
      <c r="R1407" s="24" t="str">
        <f t="shared" si="107"/>
        <v/>
      </c>
      <c r="S1407" s="24" t="str">
        <f t="shared" si="108"/>
        <v/>
      </c>
      <c r="T1407" t="str">
        <f t="shared" si="105"/>
        <v/>
      </c>
    </row>
    <row r="1408" spans="1:20">
      <c r="A1408" s="22" t="s">
        <v>1502</v>
      </c>
      <c r="H1408" s="22" t="str">
        <f t="shared" si="106"/>
        <v/>
      </c>
      <c r="J1408" s="32"/>
      <c r="R1408" s="24" t="str">
        <f t="shared" si="107"/>
        <v/>
      </c>
      <c r="S1408" s="24" t="str">
        <f t="shared" si="108"/>
        <v/>
      </c>
      <c r="T1408" t="str">
        <f t="shared" si="105"/>
        <v/>
      </c>
    </row>
    <row r="1409" spans="1:20">
      <c r="A1409" s="22" t="s">
        <v>1503</v>
      </c>
      <c r="H1409" s="22" t="str">
        <f t="shared" si="106"/>
        <v/>
      </c>
      <c r="J1409" s="32"/>
      <c r="R1409" s="24" t="str">
        <f t="shared" si="107"/>
        <v/>
      </c>
      <c r="S1409" s="24" t="str">
        <f t="shared" si="108"/>
        <v/>
      </c>
      <c r="T1409" t="str">
        <f t="shared" si="105"/>
        <v/>
      </c>
    </row>
    <row r="1410" spans="1:20">
      <c r="A1410" s="22" t="s">
        <v>1504</v>
      </c>
      <c r="H1410" s="22" t="str">
        <f t="shared" si="106"/>
        <v/>
      </c>
      <c r="J1410" s="32"/>
      <c r="R1410" s="24" t="str">
        <f t="shared" si="107"/>
        <v/>
      </c>
      <c r="S1410" s="24" t="str">
        <f t="shared" si="108"/>
        <v/>
      </c>
      <c r="T1410" t="str">
        <f t="shared" si="105"/>
        <v/>
      </c>
    </row>
    <row r="1411" spans="1:20">
      <c r="A1411" s="22" t="s">
        <v>1505</v>
      </c>
      <c r="H1411" s="22" t="str">
        <f t="shared" si="106"/>
        <v/>
      </c>
      <c r="J1411" s="32"/>
      <c r="R1411" s="24" t="str">
        <f t="shared" si="107"/>
        <v/>
      </c>
      <c r="S1411" s="24" t="str">
        <f t="shared" si="108"/>
        <v/>
      </c>
      <c r="T1411" t="str">
        <f t="shared" si="105"/>
        <v/>
      </c>
    </row>
    <row r="1412" spans="1:20">
      <c r="A1412" s="22" t="s">
        <v>1506</v>
      </c>
      <c r="H1412" s="22" t="str">
        <f t="shared" si="106"/>
        <v/>
      </c>
      <c r="J1412" s="32"/>
      <c r="R1412" s="24" t="str">
        <f t="shared" si="107"/>
        <v/>
      </c>
      <c r="S1412" s="24" t="str">
        <f t="shared" si="108"/>
        <v/>
      </c>
      <c r="T1412" t="str">
        <f t="shared" si="105"/>
        <v/>
      </c>
    </row>
    <row r="1413" spans="1:20">
      <c r="A1413" s="22" t="s">
        <v>1507</v>
      </c>
      <c r="H1413" s="22" t="str">
        <f t="shared" si="106"/>
        <v/>
      </c>
      <c r="J1413" s="32"/>
      <c r="R1413" s="24" t="str">
        <f t="shared" si="107"/>
        <v/>
      </c>
      <c r="S1413" s="24" t="str">
        <f t="shared" si="108"/>
        <v/>
      </c>
      <c r="T1413" t="str">
        <f t="shared" si="105"/>
        <v/>
      </c>
    </row>
    <row r="1414" spans="1:20">
      <c r="A1414" s="22" t="s">
        <v>1508</v>
      </c>
      <c r="H1414" s="22" t="str">
        <f t="shared" si="106"/>
        <v/>
      </c>
      <c r="J1414" s="32"/>
      <c r="R1414" s="24" t="str">
        <f t="shared" si="107"/>
        <v/>
      </c>
      <c r="S1414" s="24" t="str">
        <f t="shared" si="108"/>
        <v/>
      </c>
      <c r="T1414" t="str">
        <f t="shared" si="105"/>
        <v/>
      </c>
    </row>
    <row r="1415" spans="1:20">
      <c r="A1415" s="22" t="s">
        <v>1509</v>
      </c>
      <c r="H1415" s="22" t="str">
        <f t="shared" si="106"/>
        <v/>
      </c>
      <c r="J1415" s="32"/>
      <c r="R1415" s="24" t="str">
        <f t="shared" si="107"/>
        <v/>
      </c>
      <c r="S1415" s="24" t="str">
        <f t="shared" si="108"/>
        <v/>
      </c>
      <c r="T1415" t="str">
        <f t="shared" si="105"/>
        <v/>
      </c>
    </row>
    <row r="1416" spans="1:20">
      <c r="A1416" s="22" t="s">
        <v>1510</v>
      </c>
      <c r="H1416" s="22" t="str">
        <f t="shared" si="106"/>
        <v/>
      </c>
      <c r="J1416" s="32"/>
      <c r="R1416" s="24" t="str">
        <f t="shared" si="107"/>
        <v/>
      </c>
      <c r="S1416" s="24" t="str">
        <f t="shared" si="108"/>
        <v/>
      </c>
      <c r="T1416" t="str">
        <f t="shared" si="105"/>
        <v/>
      </c>
    </row>
    <row r="1417" spans="1:20">
      <c r="A1417" s="22" t="s">
        <v>1511</v>
      </c>
      <c r="H1417" s="22" t="str">
        <f t="shared" si="106"/>
        <v/>
      </c>
      <c r="J1417" s="32"/>
      <c r="R1417" s="24" t="str">
        <f t="shared" si="107"/>
        <v/>
      </c>
      <c r="S1417" s="24" t="str">
        <f t="shared" si="108"/>
        <v/>
      </c>
      <c r="T1417" t="str">
        <f t="shared" si="105"/>
        <v/>
      </c>
    </row>
    <row r="1418" spans="1:20">
      <c r="A1418" s="22" t="s">
        <v>1512</v>
      </c>
      <c r="H1418" s="22" t="str">
        <f t="shared" si="106"/>
        <v/>
      </c>
      <c r="J1418" s="32"/>
      <c r="R1418" s="24" t="str">
        <f t="shared" si="107"/>
        <v/>
      </c>
      <c r="S1418" s="24" t="str">
        <f t="shared" si="108"/>
        <v/>
      </c>
      <c r="T1418" t="str">
        <f t="shared" si="105"/>
        <v/>
      </c>
    </row>
    <row r="1419" spans="1:20">
      <c r="A1419" s="22" t="s">
        <v>1513</v>
      </c>
      <c r="H1419" s="22" t="str">
        <f t="shared" si="106"/>
        <v/>
      </c>
      <c r="J1419" s="32"/>
      <c r="R1419" s="24" t="str">
        <f t="shared" si="107"/>
        <v/>
      </c>
      <c r="S1419" s="24" t="str">
        <f t="shared" si="108"/>
        <v/>
      </c>
      <c r="T1419" t="str">
        <f t="shared" si="105"/>
        <v/>
      </c>
    </row>
    <row r="1420" spans="1:20">
      <c r="A1420" s="22" t="s">
        <v>1514</v>
      </c>
      <c r="H1420" s="22" t="str">
        <f t="shared" si="106"/>
        <v/>
      </c>
      <c r="J1420" s="32"/>
      <c r="R1420" s="24" t="str">
        <f t="shared" si="107"/>
        <v/>
      </c>
      <c r="S1420" s="24" t="str">
        <f t="shared" si="108"/>
        <v/>
      </c>
      <c r="T1420" t="str">
        <f t="shared" si="105"/>
        <v/>
      </c>
    </row>
    <row r="1421" spans="1:20">
      <c r="A1421" s="22" t="s">
        <v>1515</v>
      </c>
      <c r="H1421" s="22" t="str">
        <f t="shared" si="106"/>
        <v/>
      </c>
      <c r="J1421" s="32"/>
      <c r="R1421" s="24" t="str">
        <f t="shared" si="107"/>
        <v/>
      </c>
      <c r="S1421" s="24" t="str">
        <f t="shared" si="108"/>
        <v/>
      </c>
      <c r="T1421" t="str">
        <f t="shared" si="105"/>
        <v/>
      </c>
    </row>
    <row r="1422" spans="1:20">
      <c r="A1422" s="22" t="s">
        <v>1516</v>
      </c>
      <c r="H1422" s="22" t="str">
        <f t="shared" si="106"/>
        <v/>
      </c>
      <c r="J1422" s="32"/>
      <c r="R1422" s="24" t="str">
        <f t="shared" si="107"/>
        <v/>
      </c>
      <c r="S1422" s="24" t="str">
        <f t="shared" si="108"/>
        <v/>
      </c>
      <c r="T1422" t="str">
        <f t="shared" si="105"/>
        <v/>
      </c>
    </row>
    <row r="1423" spans="1:20">
      <c r="A1423" s="22" t="s">
        <v>1517</v>
      </c>
      <c r="H1423" s="22" t="str">
        <f t="shared" si="106"/>
        <v/>
      </c>
      <c r="J1423" s="32"/>
      <c r="R1423" s="24" t="str">
        <f t="shared" si="107"/>
        <v/>
      </c>
      <c r="S1423" s="24" t="str">
        <f t="shared" si="108"/>
        <v/>
      </c>
      <c r="T1423" t="str">
        <f t="shared" ref="T1423:T1486" si="109">IF(OR(C1423="",I1423&lt;&gt;"ENTRADA"),"",TEXT(B1423,"AAMMDD")&amp;"-"&amp;TEXT(VALUE(SUBSTITUTE(A1423,"MOV-","")),"000"))</f>
        <v/>
      </c>
    </row>
    <row r="1424" spans="1:20">
      <c r="A1424" s="22" t="s">
        <v>1518</v>
      </c>
      <c r="H1424" s="22" t="str">
        <f t="shared" ref="H1424:H1487" si="110">+T1424</f>
        <v/>
      </c>
      <c r="J1424" s="32"/>
      <c r="R1424" s="24" t="str">
        <f t="shared" ref="R1424:R1487" si="111">IF(H1424="","",H1424&amp;I1424)</f>
        <v/>
      </c>
      <c r="S1424" s="24" t="str">
        <f t="shared" ref="S1424:S1487" si="112">IF(C1424="","",C1424&amp;I1424)</f>
        <v/>
      </c>
      <c r="T1424" t="str">
        <f t="shared" si="109"/>
        <v/>
      </c>
    </row>
    <row r="1425" spans="1:20">
      <c r="A1425" s="22" t="s">
        <v>1519</v>
      </c>
      <c r="H1425" s="22" t="str">
        <f t="shared" si="110"/>
        <v/>
      </c>
      <c r="J1425" s="32"/>
      <c r="R1425" s="24" t="str">
        <f t="shared" si="111"/>
        <v/>
      </c>
      <c r="S1425" s="24" t="str">
        <f t="shared" si="112"/>
        <v/>
      </c>
      <c r="T1425" t="str">
        <f t="shared" si="109"/>
        <v/>
      </c>
    </row>
    <row r="1426" spans="1:20">
      <c r="A1426" s="22" t="s">
        <v>1520</v>
      </c>
      <c r="H1426" s="22" t="str">
        <f t="shared" si="110"/>
        <v/>
      </c>
      <c r="J1426" s="32"/>
      <c r="R1426" s="24" t="str">
        <f t="shared" si="111"/>
        <v/>
      </c>
      <c r="S1426" s="24" t="str">
        <f t="shared" si="112"/>
        <v/>
      </c>
      <c r="T1426" t="str">
        <f t="shared" si="109"/>
        <v/>
      </c>
    </row>
    <row r="1427" spans="1:20">
      <c r="A1427" s="22" t="s">
        <v>1521</v>
      </c>
      <c r="H1427" s="22" t="str">
        <f t="shared" si="110"/>
        <v/>
      </c>
      <c r="J1427" s="32"/>
      <c r="R1427" s="24" t="str">
        <f t="shared" si="111"/>
        <v/>
      </c>
      <c r="S1427" s="24" t="str">
        <f t="shared" si="112"/>
        <v/>
      </c>
      <c r="T1427" t="str">
        <f t="shared" si="109"/>
        <v/>
      </c>
    </row>
    <row r="1428" spans="1:20">
      <c r="A1428" s="22" t="s">
        <v>1522</v>
      </c>
      <c r="H1428" s="22" t="str">
        <f t="shared" si="110"/>
        <v/>
      </c>
      <c r="J1428" s="32"/>
      <c r="R1428" s="24" t="str">
        <f t="shared" si="111"/>
        <v/>
      </c>
      <c r="S1428" s="24" t="str">
        <f t="shared" si="112"/>
        <v/>
      </c>
      <c r="T1428" t="str">
        <f t="shared" si="109"/>
        <v/>
      </c>
    </row>
    <row r="1429" spans="1:20">
      <c r="A1429" s="22" t="s">
        <v>1523</v>
      </c>
      <c r="H1429" s="22" t="str">
        <f t="shared" si="110"/>
        <v/>
      </c>
      <c r="J1429" s="32"/>
      <c r="R1429" s="24" t="str">
        <f t="shared" si="111"/>
        <v/>
      </c>
      <c r="S1429" s="24" t="str">
        <f t="shared" si="112"/>
        <v/>
      </c>
      <c r="T1429" t="str">
        <f t="shared" si="109"/>
        <v/>
      </c>
    </row>
    <row r="1430" spans="1:20">
      <c r="A1430" s="22" t="s">
        <v>1524</v>
      </c>
      <c r="H1430" s="22" t="str">
        <f t="shared" si="110"/>
        <v/>
      </c>
      <c r="J1430" s="32"/>
      <c r="R1430" s="24" t="str">
        <f t="shared" si="111"/>
        <v/>
      </c>
      <c r="S1430" s="24" t="str">
        <f t="shared" si="112"/>
        <v/>
      </c>
      <c r="T1430" t="str">
        <f t="shared" si="109"/>
        <v/>
      </c>
    </row>
    <row r="1431" spans="1:20">
      <c r="A1431" s="22" t="s">
        <v>1525</v>
      </c>
      <c r="H1431" s="22" t="str">
        <f t="shared" si="110"/>
        <v/>
      </c>
      <c r="J1431" s="32"/>
      <c r="R1431" s="24" t="str">
        <f t="shared" si="111"/>
        <v/>
      </c>
      <c r="S1431" s="24" t="str">
        <f t="shared" si="112"/>
        <v/>
      </c>
      <c r="T1431" t="str">
        <f t="shared" si="109"/>
        <v/>
      </c>
    </row>
    <row r="1432" spans="1:20">
      <c r="A1432" s="22" t="s">
        <v>1526</v>
      </c>
      <c r="H1432" s="22" t="str">
        <f t="shared" si="110"/>
        <v/>
      </c>
      <c r="J1432" s="32"/>
      <c r="R1432" s="24" t="str">
        <f t="shared" si="111"/>
        <v/>
      </c>
      <c r="S1432" s="24" t="str">
        <f t="shared" si="112"/>
        <v/>
      </c>
      <c r="T1432" t="str">
        <f t="shared" si="109"/>
        <v/>
      </c>
    </row>
    <row r="1433" spans="1:20">
      <c r="A1433" s="22" t="s">
        <v>1527</v>
      </c>
      <c r="H1433" s="22" t="str">
        <f t="shared" si="110"/>
        <v/>
      </c>
      <c r="J1433" s="32"/>
      <c r="R1433" s="24" t="str">
        <f t="shared" si="111"/>
        <v/>
      </c>
      <c r="S1433" s="24" t="str">
        <f t="shared" si="112"/>
        <v/>
      </c>
      <c r="T1433" t="str">
        <f t="shared" si="109"/>
        <v/>
      </c>
    </row>
    <row r="1434" spans="1:20">
      <c r="A1434" s="22" t="s">
        <v>1528</v>
      </c>
      <c r="H1434" s="22" t="str">
        <f t="shared" si="110"/>
        <v/>
      </c>
      <c r="J1434" s="32"/>
      <c r="R1434" s="24" t="str">
        <f t="shared" si="111"/>
        <v/>
      </c>
      <c r="S1434" s="24" t="str">
        <f t="shared" si="112"/>
        <v/>
      </c>
      <c r="T1434" t="str">
        <f t="shared" si="109"/>
        <v/>
      </c>
    </row>
    <row r="1435" spans="1:20">
      <c r="A1435" s="22" t="s">
        <v>1529</v>
      </c>
      <c r="H1435" s="22" t="str">
        <f t="shared" si="110"/>
        <v/>
      </c>
      <c r="J1435" s="32"/>
      <c r="R1435" s="24" t="str">
        <f t="shared" si="111"/>
        <v/>
      </c>
      <c r="S1435" s="24" t="str">
        <f t="shared" si="112"/>
        <v/>
      </c>
      <c r="T1435" t="str">
        <f t="shared" si="109"/>
        <v/>
      </c>
    </row>
    <row r="1436" spans="1:20">
      <c r="A1436" s="22" t="s">
        <v>1530</v>
      </c>
      <c r="H1436" s="22" t="str">
        <f t="shared" si="110"/>
        <v/>
      </c>
      <c r="J1436" s="32"/>
      <c r="R1436" s="24" t="str">
        <f t="shared" si="111"/>
        <v/>
      </c>
      <c r="S1436" s="24" t="str">
        <f t="shared" si="112"/>
        <v/>
      </c>
      <c r="T1436" t="str">
        <f t="shared" si="109"/>
        <v/>
      </c>
    </row>
    <row r="1437" spans="1:20">
      <c r="A1437" s="22" t="s">
        <v>1531</v>
      </c>
      <c r="H1437" s="22" t="str">
        <f t="shared" si="110"/>
        <v/>
      </c>
      <c r="J1437" s="32"/>
      <c r="R1437" s="24" t="str">
        <f t="shared" si="111"/>
        <v/>
      </c>
      <c r="S1437" s="24" t="str">
        <f t="shared" si="112"/>
        <v/>
      </c>
      <c r="T1437" t="str">
        <f t="shared" si="109"/>
        <v/>
      </c>
    </row>
    <row r="1438" spans="1:20">
      <c r="A1438" s="22" t="s">
        <v>1532</v>
      </c>
      <c r="H1438" s="22" t="str">
        <f t="shared" si="110"/>
        <v/>
      </c>
      <c r="J1438" s="32"/>
      <c r="R1438" s="24" t="str">
        <f t="shared" si="111"/>
        <v/>
      </c>
      <c r="S1438" s="24" t="str">
        <f t="shared" si="112"/>
        <v/>
      </c>
      <c r="T1438" t="str">
        <f t="shared" si="109"/>
        <v/>
      </c>
    </row>
    <row r="1439" spans="1:20">
      <c r="A1439" s="22" t="s">
        <v>1533</v>
      </c>
      <c r="H1439" s="22" t="str">
        <f t="shared" si="110"/>
        <v/>
      </c>
      <c r="J1439" s="32"/>
      <c r="R1439" s="24" t="str">
        <f t="shared" si="111"/>
        <v/>
      </c>
      <c r="S1439" s="24" t="str">
        <f t="shared" si="112"/>
        <v/>
      </c>
      <c r="T1439" t="str">
        <f t="shared" si="109"/>
        <v/>
      </c>
    </row>
    <row r="1440" spans="1:20">
      <c r="A1440" s="22" t="s">
        <v>1534</v>
      </c>
      <c r="H1440" s="22" t="str">
        <f t="shared" si="110"/>
        <v/>
      </c>
      <c r="J1440" s="32"/>
      <c r="R1440" s="24" t="str">
        <f t="shared" si="111"/>
        <v/>
      </c>
      <c r="S1440" s="24" t="str">
        <f t="shared" si="112"/>
        <v/>
      </c>
      <c r="T1440" t="str">
        <f t="shared" si="109"/>
        <v/>
      </c>
    </row>
    <row r="1441" spans="1:20">
      <c r="A1441" s="22" t="s">
        <v>1535</v>
      </c>
      <c r="H1441" s="22" t="str">
        <f t="shared" si="110"/>
        <v/>
      </c>
      <c r="J1441" s="32"/>
      <c r="R1441" s="24" t="str">
        <f t="shared" si="111"/>
        <v/>
      </c>
      <c r="S1441" s="24" t="str">
        <f t="shared" si="112"/>
        <v/>
      </c>
      <c r="T1441" t="str">
        <f t="shared" si="109"/>
        <v/>
      </c>
    </row>
    <row r="1442" spans="1:20">
      <c r="A1442" s="22" t="s">
        <v>1536</v>
      </c>
      <c r="H1442" s="22" t="str">
        <f t="shared" si="110"/>
        <v/>
      </c>
      <c r="J1442" s="32"/>
      <c r="R1442" s="24" t="str">
        <f t="shared" si="111"/>
        <v/>
      </c>
      <c r="S1442" s="24" t="str">
        <f t="shared" si="112"/>
        <v/>
      </c>
      <c r="T1442" t="str">
        <f t="shared" si="109"/>
        <v/>
      </c>
    </row>
    <row r="1443" spans="1:20">
      <c r="A1443" s="22" t="s">
        <v>1537</v>
      </c>
      <c r="H1443" s="22" t="str">
        <f t="shared" si="110"/>
        <v/>
      </c>
      <c r="J1443" s="32"/>
      <c r="R1443" s="24" t="str">
        <f t="shared" si="111"/>
        <v/>
      </c>
      <c r="S1443" s="24" t="str">
        <f t="shared" si="112"/>
        <v/>
      </c>
      <c r="T1443" t="str">
        <f t="shared" si="109"/>
        <v/>
      </c>
    </row>
    <row r="1444" spans="1:20">
      <c r="A1444" s="22" t="s">
        <v>1538</v>
      </c>
      <c r="H1444" s="22" t="str">
        <f t="shared" si="110"/>
        <v/>
      </c>
      <c r="J1444" s="32"/>
      <c r="R1444" s="24" t="str">
        <f t="shared" si="111"/>
        <v/>
      </c>
      <c r="S1444" s="24" t="str">
        <f t="shared" si="112"/>
        <v/>
      </c>
      <c r="T1444" t="str">
        <f t="shared" si="109"/>
        <v/>
      </c>
    </row>
    <row r="1445" spans="1:20">
      <c r="A1445" s="22" t="s">
        <v>1539</v>
      </c>
      <c r="H1445" s="22" t="str">
        <f t="shared" si="110"/>
        <v/>
      </c>
      <c r="J1445" s="32"/>
      <c r="R1445" s="24" t="str">
        <f t="shared" si="111"/>
        <v/>
      </c>
      <c r="S1445" s="24" t="str">
        <f t="shared" si="112"/>
        <v/>
      </c>
      <c r="T1445" t="str">
        <f t="shared" si="109"/>
        <v/>
      </c>
    </row>
    <row r="1446" spans="1:20">
      <c r="A1446" s="22" t="s">
        <v>1540</v>
      </c>
      <c r="H1446" s="22" t="str">
        <f t="shared" si="110"/>
        <v/>
      </c>
      <c r="J1446" s="32"/>
      <c r="R1446" s="24" t="str">
        <f t="shared" si="111"/>
        <v/>
      </c>
      <c r="S1446" s="24" t="str">
        <f t="shared" si="112"/>
        <v/>
      </c>
      <c r="T1446" t="str">
        <f t="shared" si="109"/>
        <v/>
      </c>
    </row>
    <row r="1447" spans="1:20">
      <c r="A1447" s="22" t="s">
        <v>1541</v>
      </c>
      <c r="H1447" s="22" t="str">
        <f t="shared" si="110"/>
        <v/>
      </c>
      <c r="J1447" s="32"/>
      <c r="R1447" s="24" t="str">
        <f t="shared" si="111"/>
        <v/>
      </c>
      <c r="S1447" s="24" t="str">
        <f t="shared" si="112"/>
        <v/>
      </c>
      <c r="T1447" t="str">
        <f t="shared" si="109"/>
        <v/>
      </c>
    </row>
    <row r="1448" spans="1:20">
      <c r="A1448" s="22" t="s">
        <v>1542</v>
      </c>
      <c r="H1448" s="22" t="str">
        <f t="shared" si="110"/>
        <v/>
      </c>
      <c r="J1448" s="32"/>
      <c r="R1448" s="24" t="str">
        <f t="shared" si="111"/>
        <v/>
      </c>
      <c r="S1448" s="24" t="str">
        <f t="shared" si="112"/>
        <v/>
      </c>
      <c r="T1448" t="str">
        <f t="shared" si="109"/>
        <v/>
      </c>
    </row>
    <row r="1449" spans="1:20">
      <c r="A1449" s="22" t="s">
        <v>1543</v>
      </c>
      <c r="H1449" s="22" t="str">
        <f t="shared" si="110"/>
        <v/>
      </c>
      <c r="J1449" s="32"/>
      <c r="R1449" s="24" t="str">
        <f t="shared" si="111"/>
        <v/>
      </c>
      <c r="S1449" s="24" t="str">
        <f t="shared" si="112"/>
        <v/>
      </c>
      <c r="T1449" t="str">
        <f t="shared" si="109"/>
        <v/>
      </c>
    </row>
    <row r="1450" spans="1:20">
      <c r="A1450" s="22" t="s">
        <v>1544</v>
      </c>
      <c r="H1450" s="22" t="str">
        <f t="shared" si="110"/>
        <v/>
      </c>
      <c r="J1450" s="32"/>
      <c r="R1450" s="24" t="str">
        <f t="shared" si="111"/>
        <v/>
      </c>
      <c r="S1450" s="24" t="str">
        <f t="shared" si="112"/>
        <v/>
      </c>
      <c r="T1450" t="str">
        <f t="shared" si="109"/>
        <v/>
      </c>
    </row>
    <row r="1451" spans="1:20">
      <c r="A1451" s="22" t="s">
        <v>1545</v>
      </c>
      <c r="H1451" s="22" t="str">
        <f t="shared" si="110"/>
        <v/>
      </c>
      <c r="J1451" s="32"/>
      <c r="R1451" s="24" t="str">
        <f t="shared" si="111"/>
        <v/>
      </c>
      <c r="S1451" s="24" t="str">
        <f t="shared" si="112"/>
        <v/>
      </c>
      <c r="T1451" t="str">
        <f t="shared" si="109"/>
        <v/>
      </c>
    </row>
    <row r="1452" spans="1:20">
      <c r="A1452" s="22" t="s">
        <v>1546</v>
      </c>
      <c r="H1452" s="22" t="str">
        <f t="shared" si="110"/>
        <v/>
      </c>
      <c r="J1452" s="32"/>
      <c r="R1452" s="24" t="str">
        <f t="shared" si="111"/>
        <v/>
      </c>
      <c r="S1452" s="24" t="str">
        <f t="shared" si="112"/>
        <v/>
      </c>
      <c r="T1452" t="str">
        <f t="shared" si="109"/>
        <v/>
      </c>
    </row>
    <row r="1453" spans="1:20">
      <c r="A1453" s="22" t="s">
        <v>1547</v>
      </c>
      <c r="H1453" s="22" t="str">
        <f t="shared" si="110"/>
        <v/>
      </c>
      <c r="J1453" s="32"/>
      <c r="R1453" s="24" t="str">
        <f t="shared" si="111"/>
        <v/>
      </c>
      <c r="S1453" s="24" t="str">
        <f t="shared" si="112"/>
        <v/>
      </c>
      <c r="T1453" t="str">
        <f t="shared" si="109"/>
        <v/>
      </c>
    </row>
    <row r="1454" spans="1:20">
      <c r="A1454" s="22" t="s">
        <v>1548</v>
      </c>
      <c r="H1454" s="22" t="str">
        <f t="shared" si="110"/>
        <v/>
      </c>
      <c r="J1454" s="32"/>
      <c r="R1454" s="24" t="str">
        <f t="shared" si="111"/>
        <v/>
      </c>
      <c r="S1454" s="24" t="str">
        <f t="shared" si="112"/>
        <v/>
      </c>
      <c r="T1454" t="str">
        <f t="shared" si="109"/>
        <v/>
      </c>
    </row>
    <row r="1455" spans="1:20">
      <c r="A1455" s="22" t="s">
        <v>1549</v>
      </c>
      <c r="H1455" s="22" t="str">
        <f t="shared" si="110"/>
        <v/>
      </c>
      <c r="J1455" s="32"/>
      <c r="R1455" s="24" t="str">
        <f t="shared" si="111"/>
        <v/>
      </c>
      <c r="S1455" s="24" t="str">
        <f t="shared" si="112"/>
        <v/>
      </c>
      <c r="T1455" t="str">
        <f t="shared" si="109"/>
        <v/>
      </c>
    </row>
    <row r="1456" spans="1:20">
      <c r="A1456" s="22" t="s">
        <v>1550</v>
      </c>
      <c r="H1456" s="22" t="str">
        <f t="shared" si="110"/>
        <v/>
      </c>
      <c r="J1456" s="32"/>
      <c r="R1456" s="24" t="str">
        <f t="shared" si="111"/>
        <v/>
      </c>
      <c r="S1456" s="24" t="str">
        <f t="shared" si="112"/>
        <v/>
      </c>
      <c r="T1456" t="str">
        <f t="shared" si="109"/>
        <v/>
      </c>
    </row>
    <row r="1457" spans="1:20">
      <c r="A1457" s="22" t="s">
        <v>1551</v>
      </c>
      <c r="H1457" s="22" t="str">
        <f t="shared" si="110"/>
        <v/>
      </c>
      <c r="J1457" s="32"/>
      <c r="R1457" s="24" t="str">
        <f t="shared" si="111"/>
        <v/>
      </c>
      <c r="S1457" s="24" t="str">
        <f t="shared" si="112"/>
        <v/>
      </c>
      <c r="T1457" t="str">
        <f t="shared" si="109"/>
        <v/>
      </c>
    </row>
    <row r="1458" spans="1:20">
      <c r="A1458" s="22" t="s">
        <v>1552</v>
      </c>
      <c r="H1458" s="22" t="str">
        <f t="shared" si="110"/>
        <v/>
      </c>
      <c r="J1458" s="32"/>
      <c r="R1458" s="24" t="str">
        <f t="shared" si="111"/>
        <v/>
      </c>
      <c r="S1458" s="24" t="str">
        <f t="shared" si="112"/>
        <v/>
      </c>
      <c r="T1458" t="str">
        <f t="shared" si="109"/>
        <v/>
      </c>
    </row>
    <row r="1459" spans="1:20">
      <c r="A1459" s="22" t="s">
        <v>1553</v>
      </c>
      <c r="H1459" s="22" t="str">
        <f t="shared" si="110"/>
        <v/>
      </c>
      <c r="J1459" s="32"/>
      <c r="R1459" s="24" t="str">
        <f t="shared" si="111"/>
        <v/>
      </c>
      <c r="S1459" s="24" t="str">
        <f t="shared" si="112"/>
        <v/>
      </c>
      <c r="T1459" t="str">
        <f t="shared" si="109"/>
        <v/>
      </c>
    </row>
    <row r="1460" spans="1:20">
      <c r="A1460" s="22" t="s">
        <v>1554</v>
      </c>
      <c r="H1460" s="22" t="str">
        <f t="shared" si="110"/>
        <v/>
      </c>
      <c r="J1460" s="32"/>
      <c r="R1460" s="24" t="str">
        <f t="shared" si="111"/>
        <v/>
      </c>
      <c r="S1460" s="24" t="str">
        <f t="shared" si="112"/>
        <v/>
      </c>
      <c r="T1460" t="str">
        <f t="shared" si="109"/>
        <v/>
      </c>
    </row>
    <row r="1461" spans="1:20">
      <c r="A1461" s="22" t="s">
        <v>1555</v>
      </c>
      <c r="H1461" s="22" t="str">
        <f t="shared" si="110"/>
        <v/>
      </c>
      <c r="J1461" s="32"/>
      <c r="R1461" s="24" t="str">
        <f t="shared" si="111"/>
        <v/>
      </c>
      <c r="S1461" s="24" t="str">
        <f t="shared" si="112"/>
        <v/>
      </c>
      <c r="T1461" t="str">
        <f t="shared" si="109"/>
        <v/>
      </c>
    </row>
    <row r="1462" spans="1:20">
      <c r="A1462" s="22" t="s">
        <v>1556</v>
      </c>
      <c r="H1462" s="22" t="str">
        <f t="shared" si="110"/>
        <v/>
      </c>
      <c r="J1462" s="32"/>
      <c r="R1462" s="24" t="str">
        <f t="shared" si="111"/>
        <v/>
      </c>
      <c r="S1462" s="24" t="str">
        <f t="shared" si="112"/>
        <v/>
      </c>
      <c r="T1462" t="str">
        <f t="shared" si="109"/>
        <v/>
      </c>
    </row>
    <row r="1463" spans="1:20">
      <c r="A1463" s="22" t="s">
        <v>1557</v>
      </c>
      <c r="H1463" s="22" t="str">
        <f t="shared" si="110"/>
        <v/>
      </c>
      <c r="J1463" s="32"/>
      <c r="R1463" s="24" t="str">
        <f t="shared" si="111"/>
        <v/>
      </c>
      <c r="S1463" s="24" t="str">
        <f t="shared" si="112"/>
        <v/>
      </c>
      <c r="T1463" t="str">
        <f t="shared" si="109"/>
        <v/>
      </c>
    </row>
    <row r="1464" spans="1:20">
      <c r="A1464" s="22" t="s">
        <v>1558</v>
      </c>
      <c r="H1464" s="22" t="str">
        <f t="shared" si="110"/>
        <v/>
      </c>
      <c r="J1464" s="32"/>
      <c r="R1464" s="24" t="str">
        <f t="shared" si="111"/>
        <v/>
      </c>
      <c r="S1464" s="24" t="str">
        <f t="shared" si="112"/>
        <v/>
      </c>
      <c r="T1464" t="str">
        <f t="shared" si="109"/>
        <v/>
      </c>
    </row>
    <row r="1465" spans="1:20">
      <c r="A1465" s="22" t="s">
        <v>1559</v>
      </c>
      <c r="H1465" s="22" t="str">
        <f t="shared" si="110"/>
        <v/>
      </c>
      <c r="J1465" s="32"/>
      <c r="R1465" s="24" t="str">
        <f t="shared" si="111"/>
        <v/>
      </c>
      <c r="S1465" s="24" t="str">
        <f t="shared" si="112"/>
        <v/>
      </c>
      <c r="T1465" t="str">
        <f t="shared" si="109"/>
        <v/>
      </c>
    </row>
    <row r="1466" spans="1:20">
      <c r="A1466" s="22" t="s">
        <v>1560</v>
      </c>
      <c r="H1466" s="22" t="str">
        <f t="shared" si="110"/>
        <v/>
      </c>
      <c r="J1466" s="32"/>
      <c r="R1466" s="24" t="str">
        <f t="shared" si="111"/>
        <v/>
      </c>
      <c r="S1466" s="24" t="str">
        <f t="shared" si="112"/>
        <v/>
      </c>
      <c r="T1466" t="str">
        <f t="shared" si="109"/>
        <v/>
      </c>
    </row>
    <row r="1467" spans="1:20">
      <c r="A1467" s="22" t="s">
        <v>1561</v>
      </c>
      <c r="H1467" s="22" t="str">
        <f t="shared" si="110"/>
        <v/>
      </c>
      <c r="J1467" s="32"/>
      <c r="R1467" s="24" t="str">
        <f t="shared" si="111"/>
        <v/>
      </c>
      <c r="S1467" s="24" t="str">
        <f t="shared" si="112"/>
        <v/>
      </c>
      <c r="T1467" t="str">
        <f t="shared" si="109"/>
        <v/>
      </c>
    </row>
    <row r="1468" spans="1:20">
      <c r="A1468" s="22" t="s">
        <v>1562</v>
      </c>
      <c r="H1468" s="22" t="str">
        <f t="shared" si="110"/>
        <v/>
      </c>
      <c r="J1468" s="32"/>
      <c r="R1468" s="24" t="str">
        <f t="shared" si="111"/>
        <v/>
      </c>
      <c r="S1468" s="24" t="str">
        <f t="shared" si="112"/>
        <v/>
      </c>
      <c r="T1468" t="str">
        <f t="shared" si="109"/>
        <v/>
      </c>
    </row>
    <row r="1469" spans="1:20">
      <c r="A1469" s="22" t="s">
        <v>1563</v>
      </c>
      <c r="H1469" s="22" t="str">
        <f t="shared" si="110"/>
        <v/>
      </c>
      <c r="J1469" s="32"/>
      <c r="R1469" s="24" t="str">
        <f t="shared" si="111"/>
        <v/>
      </c>
      <c r="S1469" s="24" t="str">
        <f t="shared" si="112"/>
        <v/>
      </c>
      <c r="T1469" t="str">
        <f t="shared" si="109"/>
        <v/>
      </c>
    </row>
    <row r="1470" spans="1:20">
      <c r="A1470" s="22" t="s">
        <v>1564</v>
      </c>
      <c r="H1470" s="22" t="str">
        <f t="shared" si="110"/>
        <v/>
      </c>
      <c r="J1470" s="32"/>
      <c r="R1470" s="24" t="str">
        <f t="shared" si="111"/>
        <v/>
      </c>
      <c r="S1470" s="24" t="str">
        <f t="shared" si="112"/>
        <v/>
      </c>
      <c r="T1470" t="str">
        <f t="shared" si="109"/>
        <v/>
      </c>
    </row>
    <row r="1471" spans="1:20">
      <c r="A1471" s="22" t="s">
        <v>1565</v>
      </c>
      <c r="H1471" s="22" t="str">
        <f t="shared" si="110"/>
        <v/>
      </c>
      <c r="J1471" s="32"/>
      <c r="R1471" s="24" t="str">
        <f t="shared" si="111"/>
        <v/>
      </c>
      <c r="S1471" s="24" t="str">
        <f t="shared" si="112"/>
        <v/>
      </c>
      <c r="T1471" t="str">
        <f t="shared" si="109"/>
        <v/>
      </c>
    </row>
    <row r="1472" spans="1:20">
      <c r="A1472" s="22" t="s">
        <v>1566</v>
      </c>
      <c r="H1472" s="22" t="str">
        <f t="shared" si="110"/>
        <v/>
      </c>
      <c r="J1472" s="32"/>
      <c r="R1472" s="24" t="str">
        <f t="shared" si="111"/>
        <v/>
      </c>
      <c r="S1472" s="24" t="str">
        <f t="shared" si="112"/>
        <v/>
      </c>
      <c r="T1472" t="str">
        <f t="shared" si="109"/>
        <v/>
      </c>
    </row>
    <row r="1473" spans="1:20">
      <c r="A1473" s="22" t="s">
        <v>1567</v>
      </c>
      <c r="H1473" s="22" t="str">
        <f t="shared" si="110"/>
        <v/>
      </c>
      <c r="J1473" s="32"/>
      <c r="R1473" s="24" t="str">
        <f t="shared" si="111"/>
        <v/>
      </c>
      <c r="S1473" s="24" t="str">
        <f t="shared" si="112"/>
        <v/>
      </c>
      <c r="T1473" t="str">
        <f t="shared" si="109"/>
        <v/>
      </c>
    </row>
    <row r="1474" spans="1:20">
      <c r="A1474" s="22" t="s">
        <v>1568</v>
      </c>
      <c r="H1474" s="22" t="str">
        <f t="shared" si="110"/>
        <v/>
      </c>
      <c r="J1474" s="32"/>
      <c r="R1474" s="24" t="str">
        <f t="shared" si="111"/>
        <v/>
      </c>
      <c r="S1474" s="24" t="str">
        <f t="shared" si="112"/>
        <v/>
      </c>
      <c r="T1474" t="str">
        <f t="shared" si="109"/>
        <v/>
      </c>
    </row>
    <row r="1475" spans="1:20">
      <c r="A1475" s="22" t="s">
        <v>1569</v>
      </c>
      <c r="H1475" s="22" t="str">
        <f t="shared" si="110"/>
        <v/>
      </c>
      <c r="J1475" s="32"/>
      <c r="R1475" s="24" t="str">
        <f t="shared" si="111"/>
        <v/>
      </c>
      <c r="S1475" s="24" t="str">
        <f t="shared" si="112"/>
        <v/>
      </c>
      <c r="T1475" t="str">
        <f t="shared" si="109"/>
        <v/>
      </c>
    </row>
    <row r="1476" spans="1:20">
      <c r="A1476" s="22" t="s">
        <v>1570</v>
      </c>
      <c r="H1476" s="22" t="str">
        <f t="shared" si="110"/>
        <v/>
      </c>
      <c r="J1476" s="32"/>
      <c r="R1476" s="24" t="str">
        <f t="shared" si="111"/>
        <v/>
      </c>
      <c r="S1476" s="24" t="str">
        <f t="shared" si="112"/>
        <v/>
      </c>
      <c r="T1476" t="str">
        <f t="shared" si="109"/>
        <v/>
      </c>
    </row>
    <row r="1477" spans="1:20">
      <c r="A1477" s="22" t="s">
        <v>1571</v>
      </c>
      <c r="H1477" s="22" t="str">
        <f t="shared" si="110"/>
        <v/>
      </c>
      <c r="J1477" s="32"/>
      <c r="R1477" s="24" t="str">
        <f t="shared" si="111"/>
        <v/>
      </c>
      <c r="S1477" s="24" t="str">
        <f t="shared" si="112"/>
        <v/>
      </c>
      <c r="T1477" t="str">
        <f t="shared" si="109"/>
        <v/>
      </c>
    </row>
    <row r="1478" spans="1:20">
      <c r="A1478" s="22" t="s">
        <v>1572</v>
      </c>
      <c r="H1478" s="22" t="str">
        <f t="shared" si="110"/>
        <v/>
      </c>
      <c r="J1478" s="32"/>
      <c r="R1478" s="24" t="str">
        <f t="shared" si="111"/>
        <v/>
      </c>
      <c r="S1478" s="24" t="str">
        <f t="shared" si="112"/>
        <v/>
      </c>
      <c r="T1478" t="str">
        <f t="shared" si="109"/>
        <v/>
      </c>
    </row>
    <row r="1479" spans="1:20">
      <c r="A1479" s="22" t="s">
        <v>1573</v>
      </c>
      <c r="H1479" s="22" t="str">
        <f t="shared" si="110"/>
        <v/>
      </c>
      <c r="J1479" s="32"/>
      <c r="R1479" s="24" t="str">
        <f t="shared" si="111"/>
        <v/>
      </c>
      <c r="S1479" s="24" t="str">
        <f t="shared" si="112"/>
        <v/>
      </c>
      <c r="T1479" t="str">
        <f t="shared" si="109"/>
        <v/>
      </c>
    </row>
    <row r="1480" spans="1:20">
      <c r="A1480" s="22" t="s">
        <v>1574</v>
      </c>
      <c r="H1480" s="22" t="str">
        <f t="shared" si="110"/>
        <v/>
      </c>
      <c r="J1480" s="32"/>
      <c r="R1480" s="24" t="str">
        <f t="shared" si="111"/>
        <v/>
      </c>
      <c r="S1480" s="24" t="str">
        <f t="shared" si="112"/>
        <v/>
      </c>
      <c r="T1480" t="str">
        <f t="shared" si="109"/>
        <v/>
      </c>
    </row>
    <row r="1481" spans="1:20">
      <c r="A1481" s="22" t="s">
        <v>1575</v>
      </c>
      <c r="H1481" s="22" t="str">
        <f t="shared" si="110"/>
        <v/>
      </c>
      <c r="J1481" s="32"/>
      <c r="R1481" s="24" t="str">
        <f t="shared" si="111"/>
        <v/>
      </c>
      <c r="S1481" s="24" t="str">
        <f t="shared" si="112"/>
        <v/>
      </c>
      <c r="T1481" t="str">
        <f t="shared" si="109"/>
        <v/>
      </c>
    </row>
    <row r="1482" spans="1:20">
      <c r="A1482" s="22" t="s">
        <v>1576</v>
      </c>
      <c r="H1482" s="22" t="str">
        <f t="shared" si="110"/>
        <v/>
      </c>
      <c r="J1482" s="32"/>
      <c r="R1482" s="24" t="str">
        <f t="shared" si="111"/>
        <v/>
      </c>
      <c r="S1482" s="24" t="str">
        <f t="shared" si="112"/>
        <v/>
      </c>
      <c r="T1482" t="str">
        <f t="shared" si="109"/>
        <v/>
      </c>
    </row>
    <row r="1483" spans="1:20">
      <c r="A1483" s="22" t="s">
        <v>1577</v>
      </c>
      <c r="H1483" s="22" t="str">
        <f t="shared" si="110"/>
        <v/>
      </c>
      <c r="J1483" s="32"/>
      <c r="R1483" s="24" t="str">
        <f t="shared" si="111"/>
        <v/>
      </c>
      <c r="S1483" s="24" t="str">
        <f t="shared" si="112"/>
        <v/>
      </c>
      <c r="T1483" t="str">
        <f t="shared" si="109"/>
        <v/>
      </c>
    </row>
    <row r="1484" spans="1:20">
      <c r="A1484" s="22" t="s">
        <v>1578</v>
      </c>
      <c r="H1484" s="22" t="str">
        <f t="shared" si="110"/>
        <v/>
      </c>
      <c r="J1484" s="32"/>
      <c r="R1484" s="24" t="str">
        <f t="shared" si="111"/>
        <v/>
      </c>
      <c r="S1484" s="24" t="str">
        <f t="shared" si="112"/>
        <v/>
      </c>
      <c r="T1484" t="str">
        <f t="shared" si="109"/>
        <v/>
      </c>
    </row>
    <row r="1485" spans="1:20">
      <c r="A1485" s="22" t="s">
        <v>1579</v>
      </c>
      <c r="H1485" s="22" t="str">
        <f t="shared" si="110"/>
        <v/>
      </c>
      <c r="J1485" s="32"/>
      <c r="R1485" s="24" t="str">
        <f t="shared" si="111"/>
        <v/>
      </c>
      <c r="S1485" s="24" t="str">
        <f t="shared" si="112"/>
        <v/>
      </c>
      <c r="T1485" t="str">
        <f t="shared" si="109"/>
        <v/>
      </c>
    </row>
    <row r="1486" spans="1:20">
      <c r="A1486" s="22" t="s">
        <v>1580</v>
      </c>
      <c r="H1486" s="22" t="str">
        <f t="shared" si="110"/>
        <v/>
      </c>
      <c r="J1486" s="32"/>
      <c r="R1486" s="24" t="str">
        <f t="shared" si="111"/>
        <v/>
      </c>
      <c r="S1486" s="24" t="str">
        <f t="shared" si="112"/>
        <v/>
      </c>
      <c r="T1486" t="str">
        <f t="shared" si="109"/>
        <v/>
      </c>
    </row>
    <row r="1487" spans="1:20">
      <c r="A1487" s="22" t="s">
        <v>1581</v>
      </c>
      <c r="H1487" s="22" t="str">
        <f t="shared" si="110"/>
        <v/>
      </c>
      <c r="J1487" s="32"/>
      <c r="R1487" s="24" t="str">
        <f t="shared" si="111"/>
        <v/>
      </c>
      <c r="S1487" s="24" t="str">
        <f t="shared" si="112"/>
        <v/>
      </c>
      <c r="T1487" t="str">
        <f t="shared" ref="T1487:T1550" si="113">IF(OR(C1487="",I1487&lt;&gt;"ENTRADA"),"",TEXT(B1487,"AAMMDD")&amp;"-"&amp;TEXT(VALUE(SUBSTITUTE(A1487,"MOV-","")),"000"))</f>
        <v/>
      </c>
    </row>
    <row r="1488" spans="1:20">
      <c r="A1488" s="22" t="s">
        <v>1582</v>
      </c>
      <c r="H1488" s="22" t="str">
        <f t="shared" ref="H1488:H1551" si="114">+T1488</f>
        <v/>
      </c>
      <c r="J1488" s="32"/>
      <c r="R1488" s="24" t="str">
        <f t="shared" ref="R1488:R1551" si="115">IF(H1488="","",H1488&amp;I1488)</f>
        <v/>
      </c>
      <c r="S1488" s="24" t="str">
        <f t="shared" ref="S1488:S1551" si="116">IF(C1488="","",C1488&amp;I1488)</f>
        <v/>
      </c>
      <c r="T1488" t="str">
        <f t="shared" si="113"/>
        <v/>
      </c>
    </row>
    <row r="1489" spans="1:20">
      <c r="A1489" s="22" t="s">
        <v>1583</v>
      </c>
      <c r="H1489" s="22" t="str">
        <f t="shared" si="114"/>
        <v/>
      </c>
      <c r="J1489" s="32"/>
      <c r="R1489" s="24" t="str">
        <f t="shared" si="115"/>
        <v/>
      </c>
      <c r="S1489" s="24" t="str">
        <f t="shared" si="116"/>
        <v/>
      </c>
      <c r="T1489" t="str">
        <f t="shared" si="113"/>
        <v/>
      </c>
    </row>
    <row r="1490" spans="1:20">
      <c r="A1490" s="22" t="s">
        <v>1584</v>
      </c>
      <c r="H1490" s="22" t="str">
        <f t="shared" si="114"/>
        <v/>
      </c>
      <c r="J1490" s="32"/>
      <c r="R1490" s="24" t="str">
        <f t="shared" si="115"/>
        <v/>
      </c>
      <c r="S1490" s="24" t="str">
        <f t="shared" si="116"/>
        <v/>
      </c>
      <c r="T1490" t="str">
        <f t="shared" si="113"/>
        <v/>
      </c>
    </row>
    <row r="1491" spans="1:20">
      <c r="A1491" s="22" t="s">
        <v>1585</v>
      </c>
      <c r="H1491" s="22" t="str">
        <f t="shared" si="114"/>
        <v/>
      </c>
      <c r="J1491" s="32"/>
      <c r="R1491" s="24" t="str">
        <f t="shared" si="115"/>
        <v/>
      </c>
      <c r="S1491" s="24" t="str">
        <f t="shared" si="116"/>
        <v/>
      </c>
      <c r="T1491" t="str">
        <f t="shared" si="113"/>
        <v/>
      </c>
    </row>
    <row r="1492" spans="1:20">
      <c r="A1492" s="22" t="s">
        <v>1586</v>
      </c>
      <c r="H1492" s="22" t="str">
        <f t="shared" si="114"/>
        <v/>
      </c>
      <c r="J1492" s="32"/>
      <c r="R1492" s="24" t="str">
        <f t="shared" si="115"/>
        <v/>
      </c>
      <c r="S1492" s="24" t="str">
        <f t="shared" si="116"/>
        <v/>
      </c>
      <c r="T1492" t="str">
        <f t="shared" si="113"/>
        <v/>
      </c>
    </row>
    <row r="1493" spans="1:20">
      <c r="A1493" s="22" t="s">
        <v>1587</v>
      </c>
      <c r="H1493" s="22" t="str">
        <f t="shared" si="114"/>
        <v/>
      </c>
      <c r="J1493" s="32"/>
      <c r="R1493" s="24" t="str">
        <f t="shared" si="115"/>
        <v/>
      </c>
      <c r="S1493" s="24" t="str">
        <f t="shared" si="116"/>
        <v/>
      </c>
      <c r="T1493" t="str">
        <f t="shared" si="113"/>
        <v/>
      </c>
    </row>
    <row r="1494" spans="1:20">
      <c r="A1494" s="22" t="s">
        <v>1588</v>
      </c>
      <c r="H1494" s="22" t="str">
        <f t="shared" si="114"/>
        <v/>
      </c>
      <c r="J1494" s="32"/>
      <c r="R1494" s="24" t="str">
        <f t="shared" si="115"/>
        <v/>
      </c>
      <c r="S1494" s="24" t="str">
        <f t="shared" si="116"/>
        <v/>
      </c>
      <c r="T1494" t="str">
        <f t="shared" si="113"/>
        <v/>
      </c>
    </row>
    <row r="1495" spans="1:20">
      <c r="A1495" s="22" t="s">
        <v>1589</v>
      </c>
      <c r="H1495" s="22" t="str">
        <f t="shared" si="114"/>
        <v/>
      </c>
      <c r="J1495" s="32"/>
      <c r="R1495" s="24" t="str">
        <f t="shared" si="115"/>
        <v/>
      </c>
      <c r="S1495" s="24" t="str">
        <f t="shared" si="116"/>
        <v/>
      </c>
      <c r="T1495" t="str">
        <f t="shared" si="113"/>
        <v/>
      </c>
    </row>
    <row r="1496" spans="1:20">
      <c r="A1496" s="22" t="s">
        <v>1590</v>
      </c>
      <c r="H1496" s="22" t="str">
        <f t="shared" si="114"/>
        <v/>
      </c>
      <c r="J1496" s="32"/>
      <c r="R1496" s="24" t="str">
        <f t="shared" si="115"/>
        <v/>
      </c>
      <c r="S1496" s="24" t="str">
        <f t="shared" si="116"/>
        <v/>
      </c>
      <c r="T1496" t="str">
        <f t="shared" si="113"/>
        <v/>
      </c>
    </row>
    <row r="1497" spans="1:20">
      <c r="A1497" s="22" t="s">
        <v>1591</v>
      </c>
      <c r="H1497" s="22" t="str">
        <f t="shared" si="114"/>
        <v/>
      </c>
      <c r="J1497" s="32"/>
      <c r="R1497" s="24" t="str">
        <f t="shared" si="115"/>
        <v/>
      </c>
      <c r="S1497" s="24" t="str">
        <f t="shared" si="116"/>
        <v/>
      </c>
      <c r="T1497" t="str">
        <f t="shared" si="113"/>
        <v/>
      </c>
    </row>
    <row r="1498" spans="1:20">
      <c r="A1498" s="22" t="s">
        <v>1592</v>
      </c>
      <c r="H1498" s="22" t="str">
        <f t="shared" si="114"/>
        <v/>
      </c>
      <c r="J1498" s="32"/>
      <c r="R1498" s="24" t="str">
        <f t="shared" si="115"/>
        <v/>
      </c>
      <c r="S1498" s="24" t="str">
        <f t="shared" si="116"/>
        <v/>
      </c>
      <c r="T1498" t="str">
        <f t="shared" si="113"/>
        <v/>
      </c>
    </row>
    <row r="1499" spans="1:20">
      <c r="A1499" s="22" t="s">
        <v>1593</v>
      </c>
      <c r="H1499" s="22" t="str">
        <f t="shared" si="114"/>
        <v/>
      </c>
      <c r="J1499" s="32"/>
      <c r="R1499" s="24" t="str">
        <f t="shared" si="115"/>
        <v/>
      </c>
      <c r="S1499" s="24" t="str">
        <f t="shared" si="116"/>
        <v/>
      </c>
      <c r="T1499" t="str">
        <f t="shared" si="113"/>
        <v/>
      </c>
    </row>
    <row r="1500" spans="1:20">
      <c r="A1500" s="22" t="s">
        <v>1594</v>
      </c>
      <c r="H1500" s="22" t="str">
        <f t="shared" si="114"/>
        <v/>
      </c>
      <c r="J1500" s="32"/>
      <c r="R1500" s="24" t="str">
        <f t="shared" si="115"/>
        <v/>
      </c>
      <c r="S1500" s="24" t="str">
        <f t="shared" si="116"/>
        <v/>
      </c>
      <c r="T1500" t="str">
        <f t="shared" si="113"/>
        <v/>
      </c>
    </row>
    <row r="1501" spans="1:20">
      <c r="A1501" s="22" t="s">
        <v>1595</v>
      </c>
      <c r="H1501" s="22" t="str">
        <f t="shared" si="114"/>
        <v/>
      </c>
      <c r="J1501" s="32"/>
      <c r="R1501" s="24" t="str">
        <f t="shared" si="115"/>
        <v/>
      </c>
      <c r="S1501" s="24" t="str">
        <f t="shared" si="116"/>
        <v/>
      </c>
      <c r="T1501" t="str">
        <f t="shared" si="113"/>
        <v/>
      </c>
    </row>
    <row r="1502" spans="1:20">
      <c r="A1502" s="22" t="s">
        <v>1596</v>
      </c>
      <c r="H1502" s="22" t="str">
        <f t="shared" si="114"/>
        <v/>
      </c>
      <c r="J1502" s="32"/>
      <c r="R1502" s="24" t="str">
        <f t="shared" si="115"/>
        <v/>
      </c>
      <c r="S1502" s="24" t="str">
        <f t="shared" si="116"/>
        <v/>
      </c>
      <c r="T1502" t="str">
        <f t="shared" si="113"/>
        <v/>
      </c>
    </row>
    <row r="1503" spans="1:20">
      <c r="A1503" s="22" t="s">
        <v>1597</v>
      </c>
      <c r="H1503" s="22" t="str">
        <f t="shared" si="114"/>
        <v/>
      </c>
      <c r="J1503" s="32"/>
      <c r="R1503" s="24" t="str">
        <f t="shared" si="115"/>
        <v/>
      </c>
      <c r="S1503" s="24" t="str">
        <f t="shared" si="116"/>
        <v/>
      </c>
      <c r="T1503" t="str">
        <f t="shared" si="113"/>
        <v/>
      </c>
    </row>
    <row r="1504" spans="1:20">
      <c r="A1504" s="22" t="s">
        <v>1598</v>
      </c>
      <c r="H1504" s="22" t="str">
        <f t="shared" si="114"/>
        <v/>
      </c>
      <c r="J1504" s="32"/>
      <c r="R1504" s="24" t="str">
        <f t="shared" si="115"/>
        <v/>
      </c>
      <c r="S1504" s="24" t="str">
        <f t="shared" si="116"/>
        <v/>
      </c>
      <c r="T1504" t="str">
        <f t="shared" si="113"/>
        <v/>
      </c>
    </row>
    <row r="1505" spans="1:20">
      <c r="A1505" s="22" t="s">
        <v>1599</v>
      </c>
      <c r="H1505" s="22" t="str">
        <f t="shared" si="114"/>
        <v/>
      </c>
      <c r="J1505" s="32"/>
      <c r="R1505" s="24" t="str">
        <f t="shared" si="115"/>
        <v/>
      </c>
      <c r="S1505" s="24" t="str">
        <f t="shared" si="116"/>
        <v/>
      </c>
      <c r="T1505" t="str">
        <f t="shared" si="113"/>
        <v/>
      </c>
    </row>
    <row r="1506" spans="1:20">
      <c r="A1506" s="22" t="s">
        <v>1600</v>
      </c>
      <c r="H1506" s="22" t="str">
        <f t="shared" si="114"/>
        <v/>
      </c>
      <c r="J1506" s="32"/>
      <c r="R1506" s="24" t="str">
        <f t="shared" si="115"/>
        <v/>
      </c>
      <c r="S1506" s="24" t="str">
        <f t="shared" si="116"/>
        <v/>
      </c>
      <c r="T1506" t="str">
        <f t="shared" si="113"/>
        <v/>
      </c>
    </row>
    <row r="1507" spans="1:20">
      <c r="A1507" s="22" t="s">
        <v>1601</v>
      </c>
      <c r="H1507" s="22" t="str">
        <f t="shared" si="114"/>
        <v/>
      </c>
      <c r="J1507" s="32"/>
      <c r="R1507" s="24" t="str">
        <f t="shared" si="115"/>
        <v/>
      </c>
      <c r="S1507" s="24" t="str">
        <f t="shared" si="116"/>
        <v/>
      </c>
      <c r="T1507" t="str">
        <f t="shared" si="113"/>
        <v/>
      </c>
    </row>
    <row r="1508" spans="1:20">
      <c r="A1508" s="22" t="s">
        <v>1602</v>
      </c>
      <c r="H1508" s="22" t="str">
        <f t="shared" si="114"/>
        <v/>
      </c>
      <c r="J1508" s="32"/>
      <c r="R1508" s="24" t="str">
        <f t="shared" si="115"/>
        <v/>
      </c>
      <c r="S1508" s="24" t="str">
        <f t="shared" si="116"/>
        <v/>
      </c>
      <c r="T1508" t="str">
        <f t="shared" si="113"/>
        <v/>
      </c>
    </row>
    <row r="1509" spans="1:20">
      <c r="A1509" s="22" t="s">
        <v>1603</v>
      </c>
      <c r="H1509" s="22" t="str">
        <f t="shared" si="114"/>
        <v/>
      </c>
      <c r="J1509" s="32"/>
      <c r="R1509" s="24" t="str">
        <f t="shared" si="115"/>
        <v/>
      </c>
      <c r="S1509" s="24" t="str">
        <f t="shared" si="116"/>
        <v/>
      </c>
      <c r="T1509" t="str">
        <f t="shared" si="113"/>
        <v/>
      </c>
    </row>
    <row r="1510" spans="1:20">
      <c r="A1510" s="22" t="s">
        <v>1604</v>
      </c>
      <c r="H1510" s="22" t="str">
        <f t="shared" si="114"/>
        <v/>
      </c>
      <c r="J1510" s="32"/>
      <c r="R1510" s="24" t="str">
        <f t="shared" si="115"/>
        <v/>
      </c>
      <c r="S1510" s="24" t="str">
        <f t="shared" si="116"/>
        <v/>
      </c>
      <c r="T1510" t="str">
        <f t="shared" si="113"/>
        <v/>
      </c>
    </row>
    <row r="1511" spans="1:20">
      <c r="A1511" s="22" t="s">
        <v>1605</v>
      </c>
      <c r="H1511" s="22" t="str">
        <f t="shared" si="114"/>
        <v/>
      </c>
      <c r="J1511" s="32"/>
      <c r="R1511" s="24" t="str">
        <f t="shared" si="115"/>
        <v/>
      </c>
      <c r="S1511" s="24" t="str">
        <f t="shared" si="116"/>
        <v/>
      </c>
      <c r="T1511" t="str">
        <f t="shared" si="113"/>
        <v/>
      </c>
    </row>
    <row r="1512" spans="1:20">
      <c r="A1512" s="22" t="s">
        <v>1606</v>
      </c>
      <c r="H1512" s="22" t="str">
        <f t="shared" si="114"/>
        <v/>
      </c>
      <c r="J1512" s="32"/>
      <c r="R1512" s="24" t="str">
        <f t="shared" si="115"/>
        <v/>
      </c>
      <c r="S1512" s="24" t="str">
        <f t="shared" si="116"/>
        <v/>
      </c>
      <c r="T1512" t="str">
        <f t="shared" si="113"/>
        <v/>
      </c>
    </row>
    <row r="1513" spans="1:20">
      <c r="A1513" s="22" t="s">
        <v>1607</v>
      </c>
      <c r="H1513" s="22" t="str">
        <f t="shared" si="114"/>
        <v/>
      </c>
      <c r="J1513" s="32"/>
      <c r="R1513" s="24" t="str">
        <f t="shared" si="115"/>
        <v/>
      </c>
      <c r="S1513" s="24" t="str">
        <f t="shared" si="116"/>
        <v/>
      </c>
      <c r="T1513" t="str">
        <f t="shared" si="113"/>
        <v/>
      </c>
    </row>
    <row r="1514" spans="1:20">
      <c r="A1514" s="22" t="s">
        <v>1608</v>
      </c>
      <c r="H1514" s="22" t="str">
        <f t="shared" si="114"/>
        <v/>
      </c>
      <c r="J1514" s="32"/>
      <c r="R1514" s="24" t="str">
        <f t="shared" si="115"/>
        <v/>
      </c>
      <c r="S1514" s="24" t="str">
        <f t="shared" si="116"/>
        <v/>
      </c>
      <c r="T1514" t="str">
        <f t="shared" si="113"/>
        <v/>
      </c>
    </row>
    <row r="1515" spans="1:20">
      <c r="A1515" s="22" t="s">
        <v>1609</v>
      </c>
      <c r="H1515" s="22" t="str">
        <f t="shared" si="114"/>
        <v/>
      </c>
      <c r="J1515" s="32"/>
      <c r="R1515" s="24" t="str">
        <f t="shared" si="115"/>
        <v/>
      </c>
      <c r="S1515" s="24" t="str">
        <f t="shared" si="116"/>
        <v/>
      </c>
      <c r="T1515" t="str">
        <f t="shared" si="113"/>
        <v/>
      </c>
    </row>
    <row r="1516" spans="1:20">
      <c r="A1516" s="22" t="s">
        <v>1610</v>
      </c>
      <c r="H1516" s="22" t="str">
        <f t="shared" si="114"/>
        <v/>
      </c>
      <c r="J1516" s="32"/>
      <c r="R1516" s="24" t="str">
        <f t="shared" si="115"/>
        <v/>
      </c>
      <c r="S1516" s="24" t="str">
        <f t="shared" si="116"/>
        <v/>
      </c>
      <c r="T1516" t="str">
        <f t="shared" si="113"/>
        <v/>
      </c>
    </row>
    <row r="1517" spans="1:20">
      <c r="A1517" s="22" t="s">
        <v>1611</v>
      </c>
      <c r="H1517" s="22" t="str">
        <f t="shared" si="114"/>
        <v/>
      </c>
      <c r="J1517" s="32"/>
      <c r="R1517" s="24" t="str">
        <f t="shared" si="115"/>
        <v/>
      </c>
      <c r="S1517" s="24" t="str">
        <f t="shared" si="116"/>
        <v/>
      </c>
      <c r="T1517" t="str">
        <f t="shared" si="113"/>
        <v/>
      </c>
    </row>
    <row r="1518" spans="1:20">
      <c r="A1518" s="22" t="s">
        <v>1612</v>
      </c>
      <c r="H1518" s="22" t="str">
        <f t="shared" si="114"/>
        <v/>
      </c>
      <c r="J1518" s="32"/>
      <c r="R1518" s="24" t="str">
        <f t="shared" si="115"/>
        <v/>
      </c>
      <c r="S1518" s="24" t="str">
        <f t="shared" si="116"/>
        <v/>
      </c>
      <c r="T1518" t="str">
        <f t="shared" si="113"/>
        <v/>
      </c>
    </row>
    <row r="1519" spans="1:20">
      <c r="A1519" s="22" t="s">
        <v>1613</v>
      </c>
      <c r="H1519" s="22" t="str">
        <f t="shared" si="114"/>
        <v/>
      </c>
      <c r="J1519" s="32"/>
      <c r="R1519" s="24" t="str">
        <f t="shared" si="115"/>
        <v/>
      </c>
      <c r="S1519" s="24" t="str">
        <f t="shared" si="116"/>
        <v/>
      </c>
      <c r="T1519" t="str">
        <f t="shared" si="113"/>
        <v/>
      </c>
    </row>
    <row r="1520" spans="1:20">
      <c r="A1520" s="22" t="s">
        <v>1614</v>
      </c>
      <c r="H1520" s="22" t="str">
        <f t="shared" si="114"/>
        <v/>
      </c>
      <c r="J1520" s="32"/>
      <c r="R1520" s="24" t="str">
        <f t="shared" si="115"/>
        <v/>
      </c>
      <c r="S1520" s="24" t="str">
        <f t="shared" si="116"/>
        <v/>
      </c>
      <c r="T1520" t="str">
        <f t="shared" si="113"/>
        <v/>
      </c>
    </row>
    <row r="1521" spans="1:20">
      <c r="A1521" s="22" t="s">
        <v>1615</v>
      </c>
      <c r="H1521" s="22" t="str">
        <f t="shared" si="114"/>
        <v/>
      </c>
      <c r="J1521" s="32"/>
      <c r="R1521" s="24" t="str">
        <f t="shared" si="115"/>
        <v/>
      </c>
      <c r="S1521" s="24" t="str">
        <f t="shared" si="116"/>
        <v/>
      </c>
      <c r="T1521" t="str">
        <f t="shared" si="113"/>
        <v/>
      </c>
    </row>
    <row r="1522" spans="1:20">
      <c r="A1522" s="22" t="s">
        <v>1616</v>
      </c>
      <c r="H1522" s="22" t="str">
        <f t="shared" si="114"/>
        <v/>
      </c>
      <c r="J1522" s="32"/>
      <c r="R1522" s="24" t="str">
        <f t="shared" si="115"/>
        <v/>
      </c>
      <c r="S1522" s="24" t="str">
        <f t="shared" si="116"/>
        <v/>
      </c>
      <c r="T1522" t="str">
        <f t="shared" si="113"/>
        <v/>
      </c>
    </row>
    <row r="1523" spans="1:20">
      <c r="A1523" s="22" t="s">
        <v>1617</v>
      </c>
      <c r="H1523" s="22" t="str">
        <f t="shared" si="114"/>
        <v/>
      </c>
      <c r="J1523" s="32"/>
      <c r="R1523" s="24" t="str">
        <f t="shared" si="115"/>
        <v/>
      </c>
      <c r="S1523" s="24" t="str">
        <f t="shared" si="116"/>
        <v/>
      </c>
      <c r="T1523" t="str">
        <f t="shared" si="113"/>
        <v/>
      </c>
    </row>
    <row r="1524" spans="1:20">
      <c r="A1524" s="22" t="s">
        <v>1618</v>
      </c>
      <c r="H1524" s="22" t="str">
        <f t="shared" si="114"/>
        <v/>
      </c>
      <c r="J1524" s="32"/>
      <c r="R1524" s="24" t="str">
        <f t="shared" si="115"/>
        <v/>
      </c>
      <c r="S1524" s="24" t="str">
        <f t="shared" si="116"/>
        <v/>
      </c>
      <c r="T1524" t="str">
        <f t="shared" si="113"/>
        <v/>
      </c>
    </row>
    <row r="1525" spans="1:20">
      <c r="A1525" s="22" t="s">
        <v>1619</v>
      </c>
      <c r="H1525" s="22" t="str">
        <f t="shared" si="114"/>
        <v/>
      </c>
      <c r="J1525" s="32"/>
      <c r="R1525" s="24" t="str">
        <f t="shared" si="115"/>
        <v/>
      </c>
      <c r="S1525" s="24" t="str">
        <f t="shared" si="116"/>
        <v/>
      </c>
      <c r="T1525" t="str">
        <f t="shared" si="113"/>
        <v/>
      </c>
    </row>
    <row r="1526" spans="1:20">
      <c r="A1526" s="22" t="s">
        <v>1620</v>
      </c>
      <c r="H1526" s="22" t="str">
        <f t="shared" si="114"/>
        <v/>
      </c>
      <c r="J1526" s="32"/>
      <c r="R1526" s="24" t="str">
        <f t="shared" si="115"/>
        <v/>
      </c>
      <c r="S1526" s="24" t="str">
        <f t="shared" si="116"/>
        <v/>
      </c>
      <c r="T1526" t="str">
        <f t="shared" si="113"/>
        <v/>
      </c>
    </row>
    <row r="1527" spans="1:20">
      <c r="A1527" s="22" t="s">
        <v>1621</v>
      </c>
      <c r="H1527" s="22" t="str">
        <f t="shared" si="114"/>
        <v/>
      </c>
      <c r="J1527" s="32"/>
      <c r="R1527" s="24" t="str">
        <f t="shared" si="115"/>
        <v/>
      </c>
      <c r="S1527" s="24" t="str">
        <f t="shared" si="116"/>
        <v/>
      </c>
      <c r="T1527" t="str">
        <f t="shared" si="113"/>
        <v/>
      </c>
    </row>
    <row r="1528" spans="1:20">
      <c r="A1528" s="22" t="s">
        <v>1622</v>
      </c>
      <c r="H1528" s="22" t="str">
        <f t="shared" si="114"/>
        <v/>
      </c>
      <c r="J1528" s="32"/>
      <c r="R1528" s="24" t="str">
        <f t="shared" si="115"/>
        <v/>
      </c>
      <c r="S1528" s="24" t="str">
        <f t="shared" si="116"/>
        <v/>
      </c>
      <c r="T1528" t="str">
        <f t="shared" si="113"/>
        <v/>
      </c>
    </row>
    <row r="1529" spans="1:20">
      <c r="A1529" s="22" t="s">
        <v>1623</v>
      </c>
      <c r="H1529" s="22" t="str">
        <f t="shared" si="114"/>
        <v/>
      </c>
      <c r="J1529" s="32"/>
      <c r="R1529" s="24" t="str">
        <f t="shared" si="115"/>
        <v/>
      </c>
      <c r="S1529" s="24" t="str">
        <f t="shared" si="116"/>
        <v/>
      </c>
      <c r="T1529" t="str">
        <f t="shared" si="113"/>
        <v/>
      </c>
    </row>
    <row r="1530" spans="1:20">
      <c r="A1530" s="22" t="s">
        <v>1624</v>
      </c>
      <c r="H1530" s="22" t="str">
        <f t="shared" si="114"/>
        <v/>
      </c>
      <c r="J1530" s="32"/>
      <c r="R1530" s="24" t="str">
        <f t="shared" si="115"/>
        <v/>
      </c>
      <c r="S1530" s="24" t="str">
        <f t="shared" si="116"/>
        <v/>
      </c>
      <c r="T1530" t="str">
        <f t="shared" si="113"/>
        <v/>
      </c>
    </row>
    <row r="1531" spans="1:20">
      <c r="A1531" s="22" t="s">
        <v>1625</v>
      </c>
      <c r="H1531" s="22" t="str">
        <f t="shared" si="114"/>
        <v/>
      </c>
      <c r="J1531" s="32"/>
      <c r="R1531" s="24" t="str">
        <f t="shared" si="115"/>
        <v/>
      </c>
      <c r="S1531" s="24" t="str">
        <f t="shared" si="116"/>
        <v/>
      </c>
      <c r="T1531" t="str">
        <f t="shared" si="113"/>
        <v/>
      </c>
    </row>
    <row r="1532" spans="1:20">
      <c r="A1532" s="22" t="s">
        <v>1626</v>
      </c>
      <c r="H1532" s="22" t="str">
        <f t="shared" si="114"/>
        <v/>
      </c>
      <c r="J1532" s="32"/>
      <c r="R1532" s="24" t="str">
        <f t="shared" si="115"/>
        <v/>
      </c>
      <c r="S1532" s="24" t="str">
        <f t="shared" si="116"/>
        <v/>
      </c>
      <c r="T1532" t="str">
        <f t="shared" si="113"/>
        <v/>
      </c>
    </row>
    <row r="1533" spans="1:20">
      <c r="A1533" s="22" t="s">
        <v>1627</v>
      </c>
      <c r="H1533" s="22" t="str">
        <f t="shared" si="114"/>
        <v/>
      </c>
      <c r="J1533" s="32"/>
      <c r="R1533" s="24" t="str">
        <f t="shared" si="115"/>
        <v/>
      </c>
      <c r="S1533" s="24" t="str">
        <f t="shared" si="116"/>
        <v/>
      </c>
      <c r="T1533" t="str">
        <f t="shared" si="113"/>
        <v/>
      </c>
    </row>
    <row r="1534" spans="1:20">
      <c r="A1534" s="22" t="s">
        <v>1628</v>
      </c>
      <c r="H1534" s="22" t="str">
        <f t="shared" si="114"/>
        <v/>
      </c>
      <c r="J1534" s="32"/>
      <c r="R1534" s="24" t="str">
        <f t="shared" si="115"/>
        <v/>
      </c>
      <c r="S1534" s="24" t="str">
        <f t="shared" si="116"/>
        <v/>
      </c>
      <c r="T1534" t="str">
        <f t="shared" si="113"/>
        <v/>
      </c>
    </row>
    <row r="1535" spans="1:20">
      <c r="A1535" s="22" t="s">
        <v>1629</v>
      </c>
      <c r="H1535" s="22" t="str">
        <f t="shared" si="114"/>
        <v/>
      </c>
      <c r="J1535" s="32"/>
      <c r="R1535" s="24" t="str">
        <f t="shared" si="115"/>
        <v/>
      </c>
      <c r="S1535" s="24" t="str">
        <f t="shared" si="116"/>
        <v/>
      </c>
      <c r="T1535" t="str">
        <f t="shared" si="113"/>
        <v/>
      </c>
    </row>
    <row r="1536" spans="1:20">
      <c r="A1536" s="22" t="s">
        <v>1630</v>
      </c>
      <c r="H1536" s="22" t="str">
        <f t="shared" si="114"/>
        <v/>
      </c>
      <c r="J1536" s="32"/>
      <c r="R1536" s="24" t="str">
        <f t="shared" si="115"/>
        <v/>
      </c>
      <c r="S1536" s="24" t="str">
        <f t="shared" si="116"/>
        <v/>
      </c>
      <c r="T1536" t="str">
        <f t="shared" si="113"/>
        <v/>
      </c>
    </row>
    <row r="1537" spans="1:20">
      <c r="A1537" s="22" t="s">
        <v>1631</v>
      </c>
      <c r="H1537" s="22" t="str">
        <f t="shared" si="114"/>
        <v/>
      </c>
      <c r="J1537" s="32"/>
      <c r="R1537" s="24" t="str">
        <f t="shared" si="115"/>
        <v/>
      </c>
      <c r="S1537" s="24" t="str">
        <f t="shared" si="116"/>
        <v/>
      </c>
      <c r="T1537" t="str">
        <f t="shared" si="113"/>
        <v/>
      </c>
    </row>
    <row r="1538" spans="1:20">
      <c r="A1538" s="22" t="s">
        <v>1632</v>
      </c>
      <c r="H1538" s="22" t="str">
        <f t="shared" si="114"/>
        <v/>
      </c>
      <c r="J1538" s="32"/>
      <c r="R1538" s="24" t="str">
        <f t="shared" si="115"/>
        <v/>
      </c>
      <c r="S1538" s="24" t="str">
        <f t="shared" si="116"/>
        <v/>
      </c>
      <c r="T1538" t="str">
        <f t="shared" si="113"/>
        <v/>
      </c>
    </row>
    <row r="1539" spans="1:20">
      <c r="A1539" s="22" t="s">
        <v>1633</v>
      </c>
      <c r="H1539" s="22" t="str">
        <f t="shared" si="114"/>
        <v/>
      </c>
      <c r="J1539" s="32"/>
      <c r="R1539" s="24" t="str">
        <f t="shared" si="115"/>
        <v/>
      </c>
      <c r="S1539" s="24" t="str">
        <f t="shared" si="116"/>
        <v/>
      </c>
      <c r="T1539" t="str">
        <f t="shared" si="113"/>
        <v/>
      </c>
    </row>
    <row r="1540" spans="1:20">
      <c r="A1540" s="22" t="s">
        <v>1634</v>
      </c>
      <c r="H1540" s="22" t="str">
        <f t="shared" si="114"/>
        <v/>
      </c>
      <c r="J1540" s="32"/>
      <c r="R1540" s="24" t="str">
        <f t="shared" si="115"/>
        <v/>
      </c>
      <c r="S1540" s="24" t="str">
        <f t="shared" si="116"/>
        <v/>
      </c>
      <c r="T1540" t="str">
        <f t="shared" si="113"/>
        <v/>
      </c>
    </row>
    <row r="1541" spans="1:20">
      <c r="A1541" s="22" t="s">
        <v>1635</v>
      </c>
      <c r="H1541" s="22" t="str">
        <f t="shared" si="114"/>
        <v/>
      </c>
      <c r="J1541" s="32"/>
      <c r="R1541" s="24" t="str">
        <f t="shared" si="115"/>
        <v/>
      </c>
      <c r="S1541" s="24" t="str">
        <f t="shared" si="116"/>
        <v/>
      </c>
      <c r="T1541" t="str">
        <f t="shared" si="113"/>
        <v/>
      </c>
    </row>
    <row r="1542" spans="1:20">
      <c r="A1542" s="22" t="s">
        <v>1636</v>
      </c>
      <c r="H1542" s="22" t="str">
        <f t="shared" si="114"/>
        <v/>
      </c>
      <c r="J1542" s="32"/>
      <c r="R1542" s="24" t="str">
        <f t="shared" si="115"/>
        <v/>
      </c>
      <c r="S1542" s="24" t="str">
        <f t="shared" si="116"/>
        <v/>
      </c>
      <c r="T1542" t="str">
        <f t="shared" si="113"/>
        <v/>
      </c>
    </row>
    <row r="1543" spans="1:20">
      <c r="A1543" s="22" t="s">
        <v>1637</v>
      </c>
      <c r="H1543" s="22" t="str">
        <f t="shared" si="114"/>
        <v/>
      </c>
      <c r="J1543" s="32"/>
      <c r="R1543" s="24" t="str">
        <f t="shared" si="115"/>
        <v/>
      </c>
      <c r="S1543" s="24" t="str">
        <f t="shared" si="116"/>
        <v/>
      </c>
      <c r="T1543" t="str">
        <f t="shared" si="113"/>
        <v/>
      </c>
    </row>
    <row r="1544" spans="1:20">
      <c r="A1544" s="22" t="s">
        <v>1638</v>
      </c>
      <c r="H1544" s="22" t="str">
        <f t="shared" si="114"/>
        <v/>
      </c>
      <c r="J1544" s="32"/>
      <c r="R1544" s="24" t="str">
        <f t="shared" si="115"/>
        <v/>
      </c>
      <c r="S1544" s="24" t="str">
        <f t="shared" si="116"/>
        <v/>
      </c>
      <c r="T1544" t="str">
        <f t="shared" si="113"/>
        <v/>
      </c>
    </row>
    <row r="1545" spans="1:20">
      <c r="A1545" s="22" t="s">
        <v>1639</v>
      </c>
      <c r="H1545" s="22" t="str">
        <f t="shared" si="114"/>
        <v/>
      </c>
      <c r="J1545" s="32"/>
      <c r="R1545" s="24" t="str">
        <f t="shared" si="115"/>
        <v/>
      </c>
      <c r="S1545" s="24" t="str">
        <f t="shared" si="116"/>
        <v/>
      </c>
      <c r="T1545" t="str">
        <f t="shared" si="113"/>
        <v/>
      </c>
    </row>
    <row r="1546" spans="1:20">
      <c r="A1546" s="22" t="s">
        <v>1640</v>
      </c>
      <c r="H1546" s="22" t="str">
        <f t="shared" si="114"/>
        <v/>
      </c>
      <c r="J1546" s="32"/>
      <c r="R1546" s="24" t="str">
        <f t="shared" si="115"/>
        <v/>
      </c>
      <c r="S1546" s="24" t="str">
        <f t="shared" si="116"/>
        <v/>
      </c>
      <c r="T1546" t="str">
        <f t="shared" si="113"/>
        <v/>
      </c>
    </row>
    <row r="1547" spans="1:20">
      <c r="A1547" s="22" t="s">
        <v>1641</v>
      </c>
      <c r="H1547" s="22" t="str">
        <f t="shared" si="114"/>
        <v/>
      </c>
      <c r="J1547" s="32"/>
      <c r="R1547" s="24" t="str">
        <f t="shared" si="115"/>
        <v/>
      </c>
      <c r="S1547" s="24" t="str">
        <f t="shared" si="116"/>
        <v/>
      </c>
      <c r="T1547" t="str">
        <f t="shared" si="113"/>
        <v/>
      </c>
    </row>
    <row r="1548" spans="1:20">
      <c r="A1548" s="22" t="s">
        <v>1642</v>
      </c>
      <c r="H1548" s="22" t="str">
        <f t="shared" si="114"/>
        <v/>
      </c>
      <c r="J1548" s="32"/>
      <c r="R1548" s="24" t="str">
        <f t="shared" si="115"/>
        <v/>
      </c>
      <c r="S1548" s="24" t="str">
        <f t="shared" si="116"/>
        <v/>
      </c>
      <c r="T1548" t="str">
        <f t="shared" si="113"/>
        <v/>
      </c>
    </row>
    <row r="1549" spans="1:20">
      <c r="A1549" s="22" t="s">
        <v>1643</v>
      </c>
      <c r="H1549" s="22" t="str">
        <f t="shared" si="114"/>
        <v/>
      </c>
      <c r="J1549" s="32"/>
      <c r="R1549" s="24" t="str">
        <f t="shared" si="115"/>
        <v/>
      </c>
      <c r="S1549" s="24" t="str">
        <f t="shared" si="116"/>
        <v/>
      </c>
      <c r="T1549" t="str">
        <f t="shared" si="113"/>
        <v/>
      </c>
    </row>
    <row r="1550" spans="1:20">
      <c r="A1550" s="22" t="s">
        <v>1644</v>
      </c>
      <c r="H1550" s="22" t="str">
        <f t="shared" si="114"/>
        <v/>
      </c>
      <c r="J1550" s="32"/>
      <c r="R1550" s="24" t="str">
        <f t="shared" si="115"/>
        <v/>
      </c>
      <c r="S1550" s="24" t="str">
        <f t="shared" si="116"/>
        <v/>
      </c>
      <c r="T1550" t="str">
        <f t="shared" si="113"/>
        <v/>
      </c>
    </row>
    <row r="1551" spans="1:20">
      <c r="A1551" s="22" t="s">
        <v>1645</v>
      </c>
      <c r="H1551" s="22" t="str">
        <f t="shared" si="114"/>
        <v/>
      </c>
      <c r="J1551" s="32"/>
      <c r="R1551" s="24" t="str">
        <f t="shared" si="115"/>
        <v/>
      </c>
      <c r="S1551" s="24" t="str">
        <f t="shared" si="116"/>
        <v/>
      </c>
      <c r="T1551" t="str">
        <f t="shared" ref="T1551:T1614" si="117">IF(OR(C1551="",I1551&lt;&gt;"ENTRADA"),"",TEXT(B1551,"AAMMDD")&amp;"-"&amp;TEXT(VALUE(SUBSTITUTE(A1551,"MOV-","")),"000"))</f>
        <v/>
      </c>
    </row>
    <row r="1552" spans="1:20">
      <c r="A1552" s="22" t="s">
        <v>1646</v>
      </c>
      <c r="H1552" s="22" t="str">
        <f t="shared" ref="H1552:H1615" si="118">+T1552</f>
        <v/>
      </c>
      <c r="J1552" s="32"/>
      <c r="R1552" s="24" t="str">
        <f t="shared" ref="R1552:R1615" si="119">IF(H1552="","",H1552&amp;I1552)</f>
        <v/>
      </c>
      <c r="S1552" s="24" t="str">
        <f t="shared" ref="S1552:S1615" si="120">IF(C1552="","",C1552&amp;I1552)</f>
        <v/>
      </c>
      <c r="T1552" t="str">
        <f t="shared" si="117"/>
        <v/>
      </c>
    </row>
    <row r="1553" spans="1:20">
      <c r="A1553" s="22" t="s">
        <v>1647</v>
      </c>
      <c r="H1553" s="22" t="str">
        <f t="shared" si="118"/>
        <v/>
      </c>
      <c r="J1553" s="32"/>
      <c r="R1553" s="24" t="str">
        <f t="shared" si="119"/>
        <v/>
      </c>
      <c r="S1553" s="24" t="str">
        <f t="shared" si="120"/>
        <v/>
      </c>
      <c r="T1553" t="str">
        <f t="shared" si="117"/>
        <v/>
      </c>
    </row>
    <row r="1554" spans="1:20">
      <c r="A1554" s="22" t="s">
        <v>1648</v>
      </c>
      <c r="H1554" s="22" t="str">
        <f t="shared" si="118"/>
        <v/>
      </c>
      <c r="J1554" s="32"/>
      <c r="R1554" s="24" t="str">
        <f t="shared" si="119"/>
        <v/>
      </c>
      <c r="S1554" s="24" t="str">
        <f t="shared" si="120"/>
        <v/>
      </c>
      <c r="T1554" t="str">
        <f t="shared" si="117"/>
        <v/>
      </c>
    </row>
    <row r="1555" spans="1:20">
      <c r="A1555" s="22" t="s">
        <v>1649</v>
      </c>
      <c r="H1555" s="22" t="str">
        <f t="shared" si="118"/>
        <v/>
      </c>
      <c r="J1555" s="32"/>
      <c r="R1555" s="24" t="str">
        <f t="shared" si="119"/>
        <v/>
      </c>
      <c r="S1555" s="24" t="str">
        <f t="shared" si="120"/>
        <v/>
      </c>
      <c r="T1555" t="str">
        <f t="shared" si="117"/>
        <v/>
      </c>
    </row>
    <row r="1556" spans="1:20">
      <c r="A1556" s="22" t="s">
        <v>1650</v>
      </c>
      <c r="H1556" s="22" t="str">
        <f t="shared" si="118"/>
        <v/>
      </c>
      <c r="J1556" s="32"/>
      <c r="R1556" s="24" t="str">
        <f t="shared" si="119"/>
        <v/>
      </c>
      <c r="S1556" s="24" t="str">
        <f t="shared" si="120"/>
        <v/>
      </c>
      <c r="T1556" t="str">
        <f t="shared" si="117"/>
        <v/>
      </c>
    </row>
    <row r="1557" spans="1:20">
      <c r="A1557" s="22" t="s">
        <v>1651</v>
      </c>
      <c r="H1557" s="22" t="str">
        <f t="shared" si="118"/>
        <v/>
      </c>
      <c r="J1557" s="32"/>
      <c r="R1557" s="24" t="str">
        <f t="shared" si="119"/>
        <v/>
      </c>
      <c r="S1557" s="24" t="str">
        <f t="shared" si="120"/>
        <v/>
      </c>
      <c r="T1557" t="str">
        <f t="shared" si="117"/>
        <v/>
      </c>
    </row>
    <row r="1558" spans="1:20">
      <c r="A1558" s="22" t="s">
        <v>1652</v>
      </c>
      <c r="H1558" s="22" t="str">
        <f t="shared" si="118"/>
        <v/>
      </c>
      <c r="J1558" s="32"/>
      <c r="R1558" s="24" t="str">
        <f t="shared" si="119"/>
        <v/>
      </c>
      <c r="S1558" s="24" t="str">
        <f t="shared" si="120"/>
        <v/>
      </c>
      <c r="T1558" t="str">
        <f t="shared" si="117"/>
        <v/>
      </c>
    </row>
    <row r="1559" spans="1:20">
      <c r="A1559" s="22" t="s">
        <v>1653</v>
      </c>
      <c r="H1559" s="22" t="str">
        <f t="shared" si="118"/>
        <v/>
      </c>
      <c r="J1559" s="32"/>
      <c r="R1559" s="24" t="str">
        <f t="shared" si="119"/>
        <v/>
      </c>
      <c r="S1559" s="24" t="str">
        <f t="shared" si="120"/>
        <v/>
      </c>
      <c r="T1559" t="str">
        <f t="shared" si="117"/>
        <v/>
      </c>
    </row>
    <row r="1560" spans="1:20">
      <c r="A1560" s="22" t="s">
        <v>1654</v>
      </c>
      <c r="H1560" s="22" t="str">
        <f t="shared" si="118"/>
        <v/>
      </c>
      <c r="J1560" s="32"/>
      <c r="R1560" s="24" t="str">
        <f t="shared" si="119"/>
        <v/>
      </c>
      <c r="S1560" s="24" t="str">
        <f t="shared" si="120"/>
        <v/>
      </c>
      <c r="T1560" t="str">
        <f t="shared" si="117"/>
        <v/>
      </c>
    </row>
    <row r="1561" spans="1:20">
      <c r="A1561" s="22" t="s">
        <v>1655</v>
      </c>
      <c r="H1561" s="22" t="str">
        <f t="shared" si="118"/>
        <v/>
      </c>
      <c r="J1561" s="32"/>
      <c r="R1561" s="24" t="str">
        <f t="shared" si="119"/>
        <v/>
      </c>
      <c r="S1561" s="24" t="str">
        <f t="shared" si="120"/>
        <v/>
      </c>
      <c r="T1561" t="str">
        <f t="shared" si="117"/>
        <v/>
      </c>
    </row>
    <row r="1562" spans="1:20">
      <c r="A1562" s="22" t="s">
        <v>1656</v>
      </c>
      <c r="H1562" s="22" t="str">
        <f t="shared" si="118"/>
        <v/>
      </c>
      <c r="J1562" s="32"/>
      <c r="R1562" s="24" t="str">
        <f t="shared" si="119"/>
        <v/>
      </c>
      <c r="S1562" s="24" t="str">
        <f t="shared" si="120"/>
        <v/>
      </c>
      <c r="T1562" t="str">
        <f t="shared" si="117"/>
        <v/>
      </c>
    </row>
    <row r="1563" spans="1:20">
      <c r="A1563" s="22" t="s">
        <v>1657</v>
      </c>
      <c r="H1563" s="22" t="str">
        <f t="shared" si="118"/>
        <v/>
      </c>
      <c r="J1563" s="32"/>
      <c r="R1563" s="24" t="str">
        <f t="shared" si="119"/>
        <v/>
      </c>
      <c r="S1563" s="24" t="str">
        <f t="shared" si="120"/>
        <v/>
      </c>
      <c r="T1563" t="str">
        <f t="shared" si="117"/>
        <v/>
      </c>
    </row>
    <row r="1564" spans="1:20">
      <c r="A1564" s="22" t="s">
        <v>1658</v>
      </c>
      <c r="H1564" s="22" t="str">
        <f t="shared" si="118"/>
        <v/>
      </c>
      <c r="J1564" s="32"/>
      <c r="R1564" s="24" t="str">
        <f t="shared" si="119"/>
        <v/>
      </c>
      <c r="S1564" s="24" t="str">
        <f t="shared" si="120"/>
        <v/>
      </c>
      <c r="T1564" t="str">
        <f t="shared" si="117"/>
        <v/>
      </c>
    </row>
    <row r="1565" spans="1:20">
      <c r="A1565" s="22" t="s">
        <v>1659</v>
      </c>
      <c r="H1565" s="22" t="str">
        <f t="shared" si="118"/>
        <v/>
      </c>
      <c r="J1565" s="32"/>
      <c r="R1565" s="24" t="str">
        <f t="shared" si="119"/>
        <v/>
      </c>
      <c r="S1565" s="24" t="str">
        <f t="shared" si="120"/>
        <v/>
      </c>
      <c r="T1565" t="str">
        <f t="shared" si="117"/>
        <v/>
      </c>
    </row>
    <row r="1566" spans="1:20">
      <c r="A1566" s="22" t="s">
        <v>1660</v>
      </c>
      <c r="H1566" s="22" t="str">
        <f t="shared" si="118"/>
        <v/>
      </c>
      <c r="J1566" s="32"/>
      <c r="R1566" s="24" t="str">
        <f t="shared" si="119"/>
        <v/>
      </c>
      <c r="S1566" s="24" t="str">
        <f t="shared" si="120"/>
        <v/>
      </c>
      <c r="T1566" t="str">
        <f t="shared" si="117"/>
        <v/>
      </c>
    </row>
    <row r="1567" spans="1:20">
      <c r="A1567" s="22" t="s">
        <v>1661</v>
      </c>
      <c r="H1567" s="22" t="str">
        <f t="shared" si="118"/>
        <v/>
      </c>
      <c r="J1567" s="32"/>
      <c r="R1567" s="24" t="str">
        <f t="shared" si="119"/>
        <v/>
      </c>
      <c r="S1567" s="24" t="str">
        <f t="shared" si="120"/>
        <v/>
      </c>
      <c r="T1567" t="str">
        <f t="shared" si="117"/>
        <v/>
      </c>
    </row>
    <row r="1568" spans="1:20">
      <c r="A1568" s="22" t="s">
        <v>1662</v>
      </c>
      <c r="H1568" s="22" t="str">
        <f t="shared" si="118"/>
        <v/>
      </c>
      <c r="J1568" s="32"/>
      <c r="R1568" s="24" t="str">
        <f t="shared" si="119"/>
        <v/>
      </c>
      <c r="S1568" s="24" t="str">
        <f t="shared" si="120"/>
        <v/>
      </c>
      <c r="T1568" t="str">
        <f t="shared" si="117"/>
        <v/>
      </c>
    </row>
    <row r="1569" spans="1:20">
      <c r="A1569" s="22" t="s">
        <v>1663</v>
      </c>
      <c r="H1569" s="22" t="str">
        <f t="shared" si="118"/>
        <v/>
      </c>
      <c r="J1569" s="32"/>
      <c r="R1569" s="24" t="str">
        <f t="shared" si="119"/>
        <v/>
      </c>
      <c r="S1569" s="24" t="str">
        <f t="shared" si="120"/>
        <v/>
      </c>
      <c r="T1569" t="str">
        <f t="shared" si="117"/>
        <v/>
      </c>
    </row>
    <row r="1570" spans="1:20">
      <c r="A1570" s="22" t="s">
        <v>1664</v>
      </c>
      <c r="H1570" s="22" t="str">
        <f t="shared" si="118"/>
        <v/>
      </c>
      <c r="J1570" s="32"/>
      <c r="R1570" s="24" t="str">
        <f t="shared" si="119"/>
        <v/>
      </c>
      <c r="S1570" s="24" t="str">
        <f t="shared" si="120"/>
        <v/>
      </c>
      <c r="T1570" t="str">
        <f t="shared" si="117"/>
        <v/>
      </c>
    </row>
    <row r="1571" spans="1:20">
      <c r="A1571" s="22" t="s">
        <v>1665</v>
      </c>
      <c r="H1571" s="22" t="str">
        <f t="shared" si="118"/>
        <v/>
      </c>
      <c r="J1571" s="32"/>
      <c r="R1571" s="24" t="str">
        <f t="shared" si="119"/>
        <v/>
      </c>
      <c r="S1571" s="24" t="str">
        <f t="shared" si="120"/>
        <v/>
      </c>
      <c r="T1571" t="str">
        <f t="shared" si="117"/>
        <v/>
      </c>
    </row>
    <row r="1572" spans="1:20">
      <c r="A1572" s="22" t="s">
        <v>1666</v>
      </c>
      <c r="H1572" s="22" t="str">
        <f t="shared" si="118"/>
        <v/>
      </c>
      <c r="J1572" s="32"/>
      <c r="R1572" s="24" t="str">
        <f t="shared" si="119"/>
        <v/>
      </c>
      <c r="S1572" s="24" t="str">
        <f t="shared" si="120"/>
        <v/>
      </c>
      <c r="T1572" t="str">
        <f t="shared" si="117"/>
        <v/>
      </c>
    </row>
    <row r="1573" spans="1:20">
      <c r="A1573" s="22" t="s">
        <v>1667</v>
      </c>
      <c r="H1573" s="22" t="str">
        <f t="shared" si="118"/>
        <v/>
      </c>
      <c r="J1573" s="32"/>
      <c r="R1573" s="24" t="str">
        <f t="shared" si="119"/>
        <v/>
      </c>
      <c r="S1573" s="24" t="str">
        <f t="shared" si="120"/>
        <v/>
      </c>
      <c r="T1573" t="str">
        <f t="shared" si="117"/>
        <v/>
      </c>
    </row>
    <row r="1574" spans="1:20">
      <c r="A1574" s="22" t="s">
        <v>1668</v>
      </c>
      <c r="H1574" s="22" t="str">
        <f t="shared" si="118"/>
        <v/>
      </c>
      <c r="J1574" s="32"/>
      <c r="R1574" s="24" t="str">
        <f t="shared" si="119"/>
        <v/>
      </c>
      <c r="S1574" s="24" t="str">
        <f t="shared" si="120"/>
        <v/>
      </c>
      <c r="T1574" t="str">
        <f t="shared" si="117"/>
        <v/>
      </c>
    </row>
    <row r="1575" spans="1:20">
      <c r="A1575" s="22" t="s">
        <v>1669</v>
      </c>
      <c r="H1575" s="22" t="str">
        <f t="shared" si="118"/>
        <v/>
      </c>
      <c r="J1575" s="32"/>
      <c r="R1575" s="24" t="str">
        <f t="shared" si="119"/>
        <v/>
      </c>
      <c r="S1575" s="24" t="str">
        <f t="shared" si="120"/>
        <v/>
      </c>
      <c r="T1575" t="str">
        <f t="shared" si="117"/>
        <v/>
      </c>
    </row>
    <row r="1576" spans="1:20">
      <c r="A1576" s="22" t="s">
        <v>1670</v>
      </c>
      <c r="H1576" s="22" t="str">
        <f t="shared" si="118"/>
        <v/>
      </c>
      <c r="J1576" s="32"/>
      <c r="R1576" s="24" t="str">
        <f t="shared" si="119"/>
        <v/>
      </c>
      <c r="S1576" s="24" t="str">
        <f t="shared" si="120"/>
        <v/>
      </c>
      <c r="T1576" t="str">
        <f t="shared" si="117"/>
        <v/>
      </c>
    </row>
    <row r="1577" spans="1:20">
      <c r="A1577" s="22" t="s">
        <v>1671</v>
      </c>
      <c r="H1577" s="22" t="str">
        <f t="shared" si="118"/>
        <v/>
      </c>
      <c r="J1577" s="32"/>
      <c r="R1577" s="24" t="str">
        <f t="shared" si="119"/>
        <v/>
      </c>
      <c r="S1577" s="24" t="str">
        <f t="shared" si="120"/>
        <v/>
      </c>
      <c r="T1577" t="str">
        <f t="shared" si="117"/>
        <v/>
      </c>
    </row>
    <row r="1578" spans="1:20">
      <c r="A1578" s="22" t="s">
        <v>1672</v>
      </c>
      <c r="H1578" s="22" t="str">
        <f t="shared" si="118"/>
        <v/>
      </c>
      <c r="J1578" s="32"/>
      <c r="R1578" s="24" t="str">
        <f t="shared" si="119"/>
        <v/>
      </c>
      <c r="S1578" s="24" t="str">
        <f t="shared" si="120"/>
        <v/>
      </c>
      <c r="T1578" t="str">
        <f t="shared" si="117"/>
        <v/>
      </c>
    </row>
    <row r="1579" spans="1:20">
      <c r="A1579" s="22" t="s">
        <v>1673</v>
      </c>
      <c r="H1579" s="22" t="str">
        <f t="shared" si="118"/>
        <v/>
      </c>
      <c r="J1579" s="32"/>
      <c r="R1579" s="24" t="str">
        <f t="shared" si="119"/>
        <v/>
      </c>
      <c r="S1579" s="24" t="str">
        <f t="shared" si="120"/>
        <v/>
      </c>
      <c r="T1579" t="str">
        <f t="shared" si="117"/>
        <v/>
      </c>
    </row>
    <row r="1580" spans="1:20">
      <c r="A1580" s="22" t="s">
        <v>1674</v>
      </c>
      <c r="H1580" s="22" t="str">
        <f t="shared" si="118"/>
        <v/>
      </c>
      <c r="J1580" s="32"/>
      <c r="R1580" s="24" t="str">
        <f t="shared" si="119"/>
        <v/>
      </c>
      <c r="S1580" s="24" t="str">
        <f t="shared" si="120"/>
        <v/>
      </c>
      <c r="T1580" t="str">
        <f t="shared" si="117"/>
        <v/>
      </c>
    </row>
    <row r="1581" spans="1:20">
      <c r="A1581" s="22" t="s">
        <v>1675</v>
      </c>
      <c r="H1581" s="22" t="str">
        <f t="shared" si="118"/>
        <v/>
      </c>
      <c r="J1581" s="32"/>
      <c r="R1581" s="24" t="str">
        <f t="shared" si="119"/>
        <v/>
      </c>
      <c r="S1581" s="24" t="str">
        <f t="shared" si="120"/>
        <v/>
      </c>
      <c r="T1581" t="str">
        <f t="shared" si="117"/>
        <v/>
      </c>
    </row>
    <row r="1582" spans="1:20">
      <c r="A1582" s="22" t="s">
        <v>1676</v>
      </c>
      <c r="H1582" s="22" t="str">
        <f t="shared" si="118"/>
        <v/>
      </c>
      <c r="J1582" s="32"/>
      <c r="R1582" s="24" t="str">
        <f t="shared" si="119"/>
        <v/>
      </c>
      <c r="S1582" s="24" t="str">
        <f t="shared" si="120"/>
        <v/>
      </c>
      <c r="T1582" t="str">
        <f t="shared" si="117"/>
        <v/>
      </c>
    </row>
    <row r="1583" spans="1:20">
      <c r="A1583" s="22" t="s">
        <v>1677</v>
      </c>
      <c r="H1583" s="22" t="str">
        <f t="shared" si="118"/>
        <v/>
      </c>
      <c r="J1583" s="32"/>
      <c r="R1583" s="24" t="str">
        <f t="shared" si="119"/>
        <v/>
      </c>
      <c r="S1583" s="24" t="str">
        <f t="shared" si="120"/>
        <v/>
      </c>
      <c r="T1583" t="str">
        <f t="shared" si="117"/>
        <v/>
      </c>
    </row>
    <row r="1584" spans="1:20">
      <c r="A1584" s="22" t="s">
        <v>1678</v>
      </c>
      <c r="H1584" s="22" t="str">
        <f t="shared" si="118"/>
        <v/>
      </c>
      <c r="J1584" s="32"/>
      <c r="R1584" s="24" t="str">
        <f t="shared" si="119"/>
        <v/>
      </c>
      <c r="S1584" s="24" t="str">
        <f t="shared" si="120"/>
        <v/>
      </c>
      <c r="T1584" t="str">
        <f t="shared" si="117"/>
        <v/>
      </c>
    </row>
    <row r="1585" spans="1:20">
      <c r="A1585" s="22" t="s">
        <v>1679</v>
      </c>
      <c r="H1585" s="22" t="str">
        <f t="shared" si="118"/>
        <v/>
      </c>
      <c r="J1585" s="32"/>
      <c r="R1585" s="24" t="str">
        <f t="shared" si="119"/>
        <v/>
      </c>
      <c r="S1585" s="24" t="str">
        <f t="shared" si="120"/>
        <v/>
      </c>
      <c r="T1585" t="str">
        <f t="shared" si="117"/>
        <v/>
      </c>
    </row>
    <row r="1586" spans="1:20">
      <c r="A1586" s="22" t="s">
        <v>1680</v>
      </c>
      <c r="H1586" s="22" t="str">
        <f t="shared" si="118"/>
        <v/>
      </c>
      <c r="J1586" s="32"/>
      <c r="R1586" s="24" t="str">
        <f t="shared" si="119"/>
        <v/>
      </c>
      <c r="S1586" s="24" t="str">
        <f t="shared" si="120"/>
        <v/>
      </c>
      <c r="T1586" t="str">
        <f t="shared" si="117"/>
        <v/>
      </c>
    </row>
    <row r="1587" spans="1:20">
      <c r="A1587" s="22" t="s">
        <v>1681</v>
      </c>
      <c r="H1587" s="22" t="str">
        <f t="shared" si="118"/>
        <v/>
      </c>
      <c r="J1587" s="32"/>
      <c r="R1587" s="24" t="str">
        <f t="shared" si="119"/>
        <v/>
      </c>
      <c r="S1587" s="24" t="str">
        <f t="shared" si="120"/>
        <v/>
      </c>
      <c r="T1587" t="str">
        <f t="shared" si="117"/>
        <v/>
      </c>
    </row>
    <row r="1588" spans="1:20">
      <c r="A1588" s="22" t="s">
        <v>1682</v>
      </c>
      <c r="H1588" s="22" t="str">
        <f t="shared" si="118"/>
        <v/>
      </c>
      <c r="J1588" s="32"/>
      <c r="R1588" s="24" t="str">
        <f t="shared" si="119"/>
        <v/>
      </c>
      <c r="S1588" s="24" t="str">
        <f t="shared" si="120"/>
        <v/>
      </c>
      <c r="T1588" t="str">
        <f t="shared" si="117"/>
        <v/>
      </c>
    </row>
    <row r="1589" spans="1:20">
      <c r="A1589" s="22" t="s">
        <v>1683</v>
      </c>
      <c r="H1589" s="22" t="str">
        <f t="shared" si="118"/>
        <v/>
      </c>
      <c r="J1589" s="32"/>
      <c r="R1589" s="24" t="str">
        <f t="shared" si="119"/>
        <v/>
      </c>
      <c r="S1589" s="24" t="str">
        <f t="shared" si="120"/>
        <v/>
      </c>
      <c r="T1589" t="str">
        <f t="shared" si="117"/>
        <v/>
      </c>
    </row>
    <row r="1590" spans="1:20">
      <c r="A1590" s="22" t="s">
        <v>1684</v>
      </c>
      <c r="H1590" s="22" t="str">
        <f t="shared" si="118"/>
        <v/>
      </c>
      <c r="J1590" s="32"/>
      <c r="R1590" s="24" t="str">
        <f t="shared" si="119"/>
        <v/>
      </c>
      <c r="S1590" s="24" t="str">
        <f t="shared" si="120"/>
        <v/>
      </c>
      <c r="T1590" t="str">
        <f t="shared" si="117"/>
        <v/>
      </c>
    </row>
    <row r="1591" spans="1:20">
      <c r="A1591" s="22" t="s">
        <v>1685</v>
      </c>
      <c r="H1591" s="22" t="str">
        <f t="shared" si="118"/>
        <v/>
      </c>
      <c r="J1591" s="32"/>
      <c r="R1591" s="24" t="str">
        <f t="shared" si="119"/>
        <v/>
      </c>
      <c r="S1591" s="24" t="str">
        <f t="shared" si="120"/>
        <v/>
      </c>
      <c r="T1591" t="str">
        <f t="shared" si="117"/>
        <v/>
      </c>
    </row>
    <row r="1592" spans="1:20">
      <c r="A1592" s="22" t="s">
        <v>1686</v>
      </c>
      <c r="H1592" s="22" t="str">
        <f t="shared" si="118"/>
        <v/>
      </c>
      <c r="J1592" s="32"/>
      <c r="R1592" s="24" t="str">
        <f t="shared" si="119"/>
        <v/>
      </c>
      <c r="S1592" s="24" t="str">
        <f t="shared" si="120"/>
        <v/>
      </c>
      <c r="T1592" t="str">
        <f t="shared" si="117"/>
        <v/>
      </c>
    </row>
    <row r="1593" spans="1:20">
      <c r="A1593" s="22" t="s">
        <v>1687</v>
      </c>
      <c r="H1593" s="22" t="str">
        <f t="shared" si="118"/>
        <v/>
      </c>
      <c r="J1593" s="32"/>
      <c r="R1593" s="24" t="str">
        <f t="shared" si="119"/>
        <v/>
      </c>
      <c r="S1593" s="24" t="str">
        <f t="shared" si="120"/>
        <v/>
      </c>
      <c r="T1593" t="str">
        <f t="shared" si="117"/>
        <v/>
      </c>
    </row>
    <row r="1594" spans="1:20">
      <c r="A1594" s="22" t="s">
        <v>1688</v>
      </c>
      <c r="H1594" s="22" t="str">
        <f t="shared" si="118"/>
        <v/>
      </c>
      <c r="J1594" s="32"/>
      <c r="R1594" s="24" t="str">
        <f t="shared" si="119"/>
        <v/>
      </c>
      <c r="S1594" s="24" t="str">
        <f t="shared" si="120"/>
        <v/>
      </c>
      <c r="T1594" t="str">
        <f t="shared" si="117"/>
        <v/>
      </c>
    </row>
    <row r="1595" spans="1:20">
      <c r="A1595" s="22" t="s">
        <v>1689</v>
      </c>
      <c r="H1595" s="22" t="str">
        <f t="shared" si="118"/>
        <v/>
      </c>
      <c r="J1595" s="32"/>
      <c r="R1595" s="24" t="str">
        <f t="shared" si="119"/>
        <v/>
      </c>
      <c r="S1595" s="24" t="str">
        <f t="shared" si="120"/>
        <v/>
      </c>
      <c r="T1595" t="str">
        <f t="shared" si="117"/>
        <v/>
      </c>
    </row>
    <row r="1596" spans="1:20">
      <c r="A1596" s="22" t="s">
        <v>1690</v>
      </c>
      <c r="H1596" s="22" t="str">
        <f t="shared" si="118"/>
        <v/>
      </c>
      <c r="J1596" s="32"/>
      <c r="R1596" s="24" t="str">
        <f t="shared" si="119"/>
        <v/>
      </c>
      <c r="S1596" s="24" t="str">
        <f t="shared" si="120"/>
        <v/>
      </c>
      <c r="T1596" t="str">
        <f t="shared" si="117"/>
        <v/>
      </c>
    </row>
    <row r="1597" spans="1:20">
      <c r="A1597" s="22" t="s">
        <v>1691</v>
      </c>
      <c r="H1597" s="22" t="str">
        <f t="shared" si="118"/>
        <v/>
      </c>
      <c r="J1597" s="32"/>
      <c r="R1597" s="24" t="str">
        <f t="shared" si="119"/>
        <v/>
      </c>
      <c r="S1597" s="24" t="str">
        <f t="shared" si="120"/>
        <v/>
      </c>
      <c r="T1597" t="str">
        <f t="shared" si="117"/>
        <v/>
      </c>
    </row>
    <row r="1598" spans="1:20">
      <c r="A1598" s="22" t="s">
        <v>1692</v>
      </c>
      <c r="H1598" s="22" t="str">
        <f t="shared" si="118"/>
        <v/>
      </c>
      <c r="J1598" s="32"/>
      <c r="R1598" s="24" t="str">
        <f t="shared" si="119"/>
        <v/>
      </c>
      <c r="S1598" s="24" t="str">
        <f t="shared" si="120"/>
        <v/>
      </c>
      <c r="T1598" t="str">
        <f t="shared" si="117"/>
        <v/>
      </c>
    </row>
    <row r="1599" spans="1:20">
      <c r="A1599" s="22" t="s">
        <v>1693</v>
      </c>
      <c r="H1599" s="22" t="str">
        <f t="shared" si="118"/>
        <v/>
      </c>
      <c r="J1599" s="32"/>
      <c r="R1599" s="24" t="str">
        <f t="shared" si="119"/>
        <v/>
      </c>
      <c r="S1599" s="24" t="str">
        <f t="shared" si="120"/>
        <v/>
      </c>
      <c r="T1599" t="str">
        <f t="shared" si="117"/>
        <v/>
      </c>
    </row>
    <row r="1600" spans="1:20">
      <c r="A1600" s="22" t="s">
        <v>1694</v>
      </c>
      <c r="H1600" s="22" t="str">
        <f t="shared" si="118"/>
        <v/>
      </c>
      <c r="J1600" s="32"/>
      <c r="R1600" s="24" t="str">
        <f t="shared" si="119"/>
        <v/>
      </c>
      <c r="S1600" s="24" t="str">
        <f t="shared" si="120"/>
        <v/>
      </c>
      <c r="T1600" t="str">
        <f t="shared" si="117"/>
        <v/>
      </c>
    </row>
    <row r="1601" spans="1:20">
      <c r="A1601" s="22" t="s">
        <v>1695</v>
      </c>
      <c r="H1601" s="22" t="str">
        <f t="shared" si="118"/>
        <v/>
      </c>
      <c r="J1601" s="32"/>
      <c r="R1601" s="24" t="str">
        <f t="shared" si="119"/>
        <v/>
      </c>
      <c r="S1601" s="24" t="str">
        <f t="shared" si="120"/>
        <v/>
      </c>
      <c r="T1601" t="str">
        <f t="shared" si="117"/>
        <v/>
      </c>
    </row>
    <row r="1602" spans="1:20">
      <c r="A1602" s="22" t="s">
        <v>1696</v>
      </c>
      <c r="H1602" s="22" t="str">
        <f t="shared" si="118"/>
        <v/>
      </c>
      <c r="J1602" s="32"/>
      <c r="R1602" s="24" t="str">
        <f t="shared" si="119"/>
        <v/>
      </c>
      <c r="S1602" s="24" t="str">
        <f t="shared" si="120"/>
        <v/>
      </c>
      <c r="T1602" t="str">
        <f t="shared" si="117"/>
        <v/>
      </c>
    </row>
    <row r="1603" spans="1:20">
      <c r="A1603" s="22" t="s">
        <v>1697</v>
      </c>
      <c r="H1603" s="22" t="str">
        <f t="shared" si="118"/>
        <v/>
      </c>
      <c r="J1603" s="32"/>
      <c r="R1603" s="24" t="str">
        <f t="shared" si="119"/>
        <v/>
      </c>
      <c r="S1603" s="24" t="str">
        <f t="shared" si="120"/>
        <v/>
      </c>
      <c r="T1603" t="str">
        <f t="shared" si="117"/>
        <v/>
      </c>
    </row>
    <row r="1604" spans="1:20">
      <c r="A1604" s="22" t="s">
        <v>1698</v>
      </c>
      <c r="H1604" s="22" t="str">
        <f t="shared" si="118"/>
        <v/>
      </c>
      <c r="J1604" s="32"/>
      <c r="R1604" s="24" t="str">
        <f t="shared" si="119"/>
        <v/>
      </c>
      <c r="S1604" s="24" t="str">
        <f t="shared" si="120"/>
        <v/>
      </c>
      <c r="T1604" t="str">
        <f t="shared" si="117"/>
        <v/>
      </c>
    </row>
    <row r="1605" spans="1:20">
      <c r="A1605" s="22" t="s">
        <v>1699</v>
      </c>
      <c r="H1605" s="22" t="str">
        <f t="shared" si="118"/>
        <v/>
      </c>
      <c r="J1605" s="32"/>
      <c r="R1605" s="24" t="str">
        <f t="shared" si="119"/>
        <v/>
      </c>
      <c r="S1605" s="24" t="str">
        <f t="shared" si="120"/>
        <v/>
      </c>
      <c r="T1605" t="str">
        <f t="shared" si="117"/>
        <v/>
      </c>
    </row>
    <row r="1606" spans="1:20">
      <c r="A1606" s="22" t="s">
        <v>1700</v>
      </c>
      <c r="H1606" s="22" t="str">
        <f t="shared" si="118"/>
        <v/>
      </c>
      <c r="J1606" s="32"/>
      <c r="R1606" s="24" t="str">
        <f t="shared" si="119"/>
        <v/>
      </c>
      <c r="S1606" s="24" t="str">
        <f t="shared" si="120"/>
        <v/>
      </c>
      <c r="T1606" t="str">
        <f t="shared" si="117"/>
        <v/>
      </c>
    </row>
    <row r="1607" spans="1:20">
      <c r="A1607" s="22" t="s">
        <v>1701</v>
      </c>
      <c r="H1607" s="22" t="str">
        <f t="shared" si="118"/>
        <v/>
      </c>
      <c r="J1607" s="32"/>
      <c r="R1607" s="24" t="str">
        <f t="shared" si="119"/>
        <v/>
      </c>
      <c r="S1607" s="24" t="str">
        <f t="shared" si="120"/>
        <v/>
      </c>
      <c r="T1607" t="str">
        <f t="shared" si="117"/>
        <v/>
      </c>
    </row>
    <row r="1608" spans="1:20">
      <c r="A1608" s="22" t="s">
        <v>1702</v>
      </c>
      <c r="H1608" s="22" t="str">
        <f t="shared" si="118"/>
        <v/>
      </c>
      <c r="J1608" s="32"/>
      <c r="R1608" s="24" t="str">
        <f t="shared" si="119"/>
        <v/>
      </c>
      <c r="S1608" s="24" t="str">
        <f t="shared" si="120"/>
        <v/>
      </c>
      <c r="T1608" t="str">
        <f t="shared" si="117"/>
        <v/>
      </c>
    </row>
    <row r="1609" spans="1:20">
      <c r="A1609" s="22" t="s">
        <v>1703</v>
      </c>
      <c r="H1609" s="22" t="str">
        <f t="shared" si="118"/>
        <v/>
      </c>
      <c r="J1609" s="32"/>
      <c r="R1609" s="24" t="str">
        <f t="shared" si="119"/>
        <v/>
      </c>
      <c r="S1609" s="24" t="str">
        <f t="shared" si="120"/>
        <v/>
      </c>
      <c r="T1609" t="str">
        <f t="shared" si="117"/>
        <v/>
      </c>
    </row>
    <row r="1610" spans="1:20">
      <c r="A1610" s="22" t="s">
        <v>1704</v>
      </c>
      <c r="H1610" s="22" t="str">
        <f t="shared" si="118"/>
        <v/>
      </c>
      <c r="J1610" s="32"/>
      <c r="R1610" s="24" t="str">
        <f t="shared" si="119"/>
        <v/>
      </c>
      <c r="S1610" s="24" t="str">
        <f t="shared" si="120"/>
        <v/>
      </c>
      <c r="T1610" t="str">
        <f t="shared" si="117"/>
        <v/>
      </c>
    </row>
    <row r="1611" spans="1:20">
      <c r="A1611" s="22" t="s">
        <v>1705</v>
      </c>
      <c r="H1611" s="22" t="str">
        <f t="shared" si="118"/>
        <v/>
      </c>
      <c r="J1611" s="32"/>
      <c r="R1611" s="24" t="str">
        <f t="shared" si="119"/>
        <v/>
      </c>
      <c r="S1611" s="24" t="str">
        <f t="shared" si="120"/>
        <v/>
      </c>
      <c r="T1611" t="str">
        <f t="shared" si="117"/>
        <v/>
      </c>
    </row>
    <row r="1612" spans="1:20">
      <c r="A1612" s="22" t="s">
        <v>1706</v>
      </c>
      <c r="H1612" s="22" t="str">
        <f t="shared" si="118"/>
        <v/>
      </c>
      <c r="J1612" s="32"/>
      <c r="R1612" s="24" t="str">
        <f t="shared" si="119"/>
        <v/>
      </c>
      <c r="S1612" s="24" t="str">
        <f t="shared" si="120"/>
        <v/>
      </c>
      <c r="T1612" t="str">
        <f t="shared" si="117"/>
        <v/>
      </c>
    </row>
    <row r="1613" spans="1:20">
      <c r="A1613" s="22" t="s">
        <v>1707</v>
      </c>
      <c r="H1613" s="22" t="str">
        <f t="shared" si="118"/>
        <v/>
      </c>
      <c r="J1613" s="32"/>
      <c r="R1613" s="24" t="str">
        <f t="shared" si="119"/>
        <v/>
      </c>
      <c r="S1613" s="24" t="str">
        <f t="shared" si="120"/>
        <v/>
      </c>
      <c r="T1613" t="str">
        <f t="shared" si="117"/>
        <v/>
      </c>
    </row>
    <row r="1614" spans="1:20">
      <c r="A1614" s="22" t="s">
        <v>1708</v>
      </c>
      <c r="H1614" s="22" t="str">
        <f t="shared" si="118"/>
        <v/>
      </c>
      <c r="J1614" s="32"/>
      <c r="R1614" s="24" t="str">
        <f t="shared" si="119"/>
        <v/>
      </c>
      <c r="S1614" s="24" t="str">
        <f t="shared" si="120"/>
        <v/>
      </c>
      <c r="T1614" t="str">
        <f t="shared" si="117"/>
        <v/>
      </c>
    </row>
    <row r="1615" spans="1:20">
      <c r="A1615" s="22" t="s">
        <v>1709</v>
      </c>
      <c r="H1615" s="22" t="str">
        <f t="shared" si="118"/>
        <v/>
      </c>
      <c r="J1615" s="32"/>
      <c r="R1615" s="24" t="str">
        <f t="shared" si="119"/>
        <v/>
      </c>
      <c r="S1615" s="24" t="str">
        <f t="shared" si="120"/>
        <v/>
      </c>
      <c r="T1615" t="str">
        <f t="shared" ref="T1615:T1678" si="121">IF(OR(C1615="",I1615&lt;&gt;"ENTRADA"),"",TEXT(B1615,"AAMMDD")&amp;"-"&amp;TEXT(VALUE(SUBSTITUTE(A1615,"MOV-","")),"000"))</f>
        <v/>
      </c>
    </row>
    <row r="1616" spans="1:20">
      <c r="A1616" s="22" t="s">
        <v>1710</v>
      </c>
      <c r="H1616" s="22" t="str">
        <f t="shared" ref="H1616:H1679" si="122">+T1616</f>
        <v/>
      </c>
      <c r="J1616" s="32"/>
      <c r="R1616" s="24" t="str">
        <f t="shared" ref="R1616:R1679" si="123">IF(H1616="","",H1616&amp;I1616)</f>
        <v/>
      </c>
      <c r="S1616" s="24" t="str">
        <f t="shared" ref="S1616:S1679" si="124">IF(C1616="","",C1616&amp;I1616)</f>
        <v/>
      </c>
      <c r="T1616" t="str">
        <f t="shared" si="121"/>
        <v/>
      </c>
    </row>
    <row r="1617" spans="1:20">
      <c r="A1617" s="22" t="s">
        <v>1711</v>
      </c>
      <c r="H1617" s="22" t="str">
        <f t="shared" si="122"/>
        <v/>
      </c>
      <c r="J1617" s="32"/>
      <c r="R1617" s="24" t="str">
        <f t="shared" si="123"/>
        <v/>
      </c>
      <c r="S1617" s="24" t="str">
        <f t="shared" si="124"/>
        <v/>
      </c>
      <c r="T1617" t="str">
        <f t="shared" si="121"/>
        <v/>
      </c>
    </row>
    <row r="1618" spans="1:20">
      <c r="A1618" s="22" t="s">
        <v>1712</v>
      </c>
      <c r="H1618" s="22" t="str">
        <f t="shared" si="122"/>
        <v/>
      </c>
      <c r="J1618" s="32"/>
      <c r="R1618" s="24" t="str">
        <f t="shared" si="123"/>
        <v/>
      </c>
      <c r="S1618" s="24" t="str">
        <f t="shared" si="124"/>
        <v/>
      </c>
      <c r="T1618" t="str">
        <f t="shared" si="121"/>
        <v/>
      </c>
    </row>
    <row r="1619" spans="1:20">
      <c r="A1619" s="22" t="s">
        <v>1713</v>
      </c>
      <c r="H1619" s="22" t="str">
        <f t="shared" si="122"/>
        <v/>
      </c>
      <c r="J1619" s="32"/>
      <c r="R1619" s="24" t="str">
        <f t="shared" si="123"/>
        <v/>
      </c>
      <c r="S1619" s="24" t="str">
        <f t="shared" si="124"/>
        <v/>
      </c>
      <c r="T1619" t="str">
        <f t="shared" si="121"/>
        <v/>
      </c>
    </row>
    <row r="1620" spans="1:20">
      <c r="A1620" s="22" t="s">
        <v>1714</v>
      </c>
      <c r="H1620" s="22" t="str">
        <f t="shared" si="122"/>
        <v/>
      </c>
      <c r="J1620" s="32"/>
      <c r="R1620" s="24" t="str">
        <f t="shared" si="123"/>
        <v/>
      </c>
      <c r="S1620" s="24" t="str">
        <f t="shared" si="124"/>
        <v/>
      </c>
      <c r="T1620" t="str">
        <f t="shared" si="121"/>
        <v/>
      </c>
    </row>
    <row r="1621" spans="1:20">
      <c r="A1621" s="22" t="s">
        <v>1715</v>
      </c>
      <c r="H1621" s="22" t="str">
        <f t="shared" si="122"/>
        <v/>
      </c>
      <c r="J1621" s="32"/>
      <c r="R1621" s="24" t="str">
        <f t="shared" si="123"/>
        <v/>
      </c>
      <c r="S1621" s="24" t="str">
        <f t="shared" si="124"/>
        <v/>
      </c>
      <c r="T1621" t="str">
        <f t="shared" si="121"/>
        <v/>
      </c>
    </row>
    <row r="1622" spans="1:20">
      <c r="A1622" s="22" t="s">
        <v>1716</v>
      </c>
      <c r="H1622" s="22" t="str">
        <f t="shared" si="122"/>
        <v/>
      </c>
      <c r="J1622" s="32"/>
      <c r="R1622" s="24" t="str">
        <f t="shared" si="123"/>
        <v/>
      </c>
      <c r="S1622" s="24" t="str">
        <f t="shared" si="124"/>
        <v/>
      </c>
      <c r="T1622" t="str">
        <f t="shared" si="121"/>
        <v/>
      </c>
    </row>
    <row r="1623" spans="1:20">
      <c r="A1623" s="22" t="s">
        <v>1717</v>
      </c>
      <c r="H1623" s="22" t="str">
        <f t="shared" si="122"/>
        <v/>
      </c>
      <c r="J1623" s="32"/>
      <c r="R1623" s="24" t="str">
        <f t="shared" si="123"/>
        <v/>
      </c>
      <c r="S1623" s="24" t="str">
        <f t="shared" si="124"/>
        <v/>
      </c>
      <c r="T1623" t="str">
        <f t="shared" si="121"/>
        <v/>
      </c>
    </row>
    <row r="1624" spans="1:20">
      <c r="A1624" s="22" t="s">
        <v>1718</v>
      </c>
      <c r="H1624" s="22" t="str">
        <f t="shared" si="122"/>
        <v/>
      </c>
      <c r="J1624" s="32"/>
      <c r="R1624" s="24" t="str">
        <f t="shared" si="123"/>
        <v/>
      </c>
      <c r="S1624" s="24" t="str">
        <f t="shared" si="124"/>
        <v/>
      </c>
      <c r="T1624" t="str">
        <f t="shared" si="121"/>
        <v/>
      </c>
    </row>
    <row r="1625" spans="1:20">
      <c r="A1625" s="22" t="s">
        <v>1719</v>
      </c>
      <c r="H1625" s="22" t="str">
        <f t="shared" si="122"/>
        <v/>
      </c>
      <c r="J1625" s="32"/>
      <c r="R1625" s="24" t="str">
        <f t="shared" si="123"/>
        <v/>
      </c>
      <c r="S1625" s="24" t="str">
        <f t="shared" si="124"/>
        <v/>
      </c>
      <c r="T1625" t="str">
        <f t="shared" si="121"/>
        <v/>
      </c>
    </row>
    <row r="1626" spans="1:20">
      <c r="A1626" s="22" t="s">
        <v>1720</v>
      </c>
      <c r="H1626" s="22" t="str">
        <f t="shared" si="122"/>
        <v/>
      </c>
      <c r="J1626" s="32"/>
      <c r="R1626" s="24" t="str">
        <f t="shared" si="123"/>
        <v/>
      </c>
      <c r="S1626" s="24" t="str">
        <f t="shared" si="124"/>
        <v/>
      </c>
      <c r="T1626" t="str">
        <f t="shared" si="121"/>
        <v/>
      </c>
    </row>
    <row r="1627" spans="1:20">
      <c r="A1627" s="22" t="s">
        <v>1721</v>
      </c>
      <c r="H1627" s="22" t="str">
        <f t="shared" si="122"/>
        <v/>
      </c>
      <c r="J1627" s="32"/>
      <c r="R1627" s="24" t="str">
        <f t="shared" si="123"/>
        <v/>
      </c>
      <c r="S1627" s="24" t="str">
        <f t="shared" si="124"/>
        <v/>
      </c>
      <c r="T1627" t="str">
        <f t="shared" si="121"/>
        <v/>
      </c>
    </row>
    <row r="1628" spans="1:20">
      <c r="A1628" s="22" t="s">
        <v>1722</v>
      </c>
      <c r="H1628" s="22" t="str">
        <f t="shared" si="122"/>
        <v/>
      </c>
      <c r="J1628" s="32"/>
      <c r="R1628" s="24" t="str">
        <f t="shared" si="123"/>
        <v/>
      </c>
      <c r="S1628" s="24" t="str">
        <f t="shared" si="124"/>
        <v/>
      </c>
      <c r="T1628" t="str">
        <f t="shared" si="121"/>
        <v/>
      </c>
    </row>
    <row r="1629" spans="1:20">
      <c r="A1629" s="22" t="s">
        <v>1723</v>
      </c>
      <c r="H1629" s="22" t="str">
        <f t="shared" si="122"/>
        <v/>
      </c>
      <c r="J1629" s="32"/>
      <c r="R1629" s="24" t="str">
        <f t="shared" si="123"/>
        <v/>
      </c>
      <c r="S1629" s="24" t="str">
        <f t="shared" si="124"/>
        <v/>
      </c>
      <c r="T1629" t="str">
        <f t="shared" si="121"/>
        <v/>
      </c>
    </row>
    <row r="1630" spans="1:20">
      <c r="A1630" s="22" t="s">
        <v>1724</v>
      </c>
      <c r="H1630" s="22" t="str">
        <f t="shared" si="122"/>
        <v/>
      </c>
      <c r="J1630" s="32"/>
      <c r="R1630" s="24" t="str">
        <f t="shared" si="123"/>
        <v/>
      </c>
      <c r="S1630" s="24" t="str">
        <f t="shared" si="124"/>
        <v/>
      </c>
      <c r="T1630" t="str">
        <f t="shared" si="121"/>
        <v/>
      </c>
    </row>
    <row r="1631" spans="1:20">
      <c r="A1631" s="22" t="s">
        <v>1725</v>
      </c>
      <c r="H1631" s="22" t="str">
        <f t="shared" si="122"/>
        <v/>
      </c>
      <c r="J1631" s="32"/>
      <c r="R1631" s="24" t="str">
        <f t="shared" si="123"/>
        <v/>
      </c>
      <c r="S1631" s="24" t="str">
        <f t="shared" si="124"/>
        <v/>
      </c>
      <c r="T1631" t="str">
        <f t="shared" si="121"/>
        <v/>
      </c>
    </row>
    <row r="1632" spans="1:20">
      <c r="A1632" s="22" t="s">
        <v>1726</v>
      </c>
      <c r="H1632" s="22" t="str">
        <f t="shared" si="122"/>
        <v/>
      </c>
      <c r="J1632" s="32"/>
      <c r="R1632" s="24" t="str">
        <f t="shared" si="123"/>
        <v/>
      </c>
      <c r="S1632" s="24" t="str">
        <f t="shared" si="124"/>
        <v/>
      </c>
      <c r="T1632" t="str">
        <f t="shared" si="121"/>
        <v/>
      </c>
    </row>
    <row r="1633" spans="1:20">
      <c r="A1633" s="22" t="s">
        <v>1727</v>
      </c>
      <c r="H1633" s="22" t="str">
        <f t="shared" si="122"/>
        <v/>
      </c>
      <c r="J1633" s="32"/>
      <c r="R1633" s="24" t="str">
        <f t="shared" si="123"/>
        <v/>
      </c>
      <c r="S1633" s="24" t="str">
        <f t="shared" si="124"/>
        <v/>
      </c>
      <c r="T1633" t="str">
        <f t="shared" si="121"/>
        <v/>
      </c>
    </row>
    <row r="1634" spans="1:20">
      <c r="A1634" s="22" t="s">
        <v>1728</v>
      </c>
      <c r="H1634" s="22" t="str">
        <f t="shared" si="122"/>
        <v/>
      </c>
      <c r="J1634" s="32"/>
      <c r="R1634" s="24" t="str">
        <f t="shared" si="123"/>
        <v/>
      </c>
      <c r="S1634" s="24" t="str">
        <f t="shared" si="124"/>
        <v/>
      </c>
      <c r="T1634" t="str">
        <f t="shared" si="121"/>
        <v/>
      </c>
    </row>
    <row r="1635" spans="1:20">
      <c r="A1635" s="22" t="s">
        <v>1729</v>
      </c>
      <c r="H1635" s="22" t="str">
        <f t="shared" si="122"/>
        <v/>
      </c>
      <c r="J1635" s="32"/>
      <c r="R1635" s="24" t="str">
        <f t="shared" si="123"/>
        <v/>
      </c>
      <c r="S1635" s="24" t="str">
        <f t="shared" si="124"/>
        <v/>
      </c>
      <c r="T1635" t="str">
        <f t="shared" si="121"/>
        <v/>
      </c>
    </row>
    <row r="1636" spans="1:20">
      <c r="A1636" s="22" t="s">
        <v>1730</v>
      </c>
      <c r="H1636" s="22" t="str">
        <f t="shared" si="122"/>
        <v/>
      </c>
      <c r="J1636" s="32"/>
      <c r="R1636" s="24" t="str">
        <f t="shared" si="123"/>
        <v/>
      </c>
      <c r="S1636" s="24" t="str">
        <f t="shared" si="124"/>
        <v/>
      </c>
      <c r="T1636" t="str">
        <f t="shared" si="121"/>
        <v/>
      </c>
    </row>
    <row r="1637" spans="1:20">
      <c r="A1637" s="22" t="s">
        <v>1731</v>
      </c>
      <c r="H1637" s="22" t="str">
        <f t="shared" si="122"/>
        <v/>
      </c>
      <c r="J1637" s="32"/>
      <c r="R1637" s="24" t="str">
        <f t="shared" si="123"/>
        <v/>
      </c>
      <c r="S1637" s="24" t="str">
        <f t="shared" si="124"/>
        <v/>
      </c>
      <c r="T1637" t="str">
        <f t="shared" si="121"/>
        <v/>
      </c>
    </row>
    <row r="1638" spans="1:20">
      <c r="A1638" s="22" t="s">
        <v>1732</v>
      </c>
      <c r="H1638" s="22" t="str">
        <f t="shared" si="122"/>
        <v/>
      </c>
      <c r="J1638" s="32"/>
      <c r="R1638" s="24" t="str">
        <f t="shared" si="123"/>
        <v/>
      </c>
      <c r="S1638" s="24" t="str">
        <f t="shared" si="124"/>
        <v/>
      </c>
      <c r="T1638" t="str">
        <f t="shared" si="121"/>
        <v/>
      </c>
    </row>
    <row r="1639" spans="1:20">
      <c r="A1639" s="22" t="s">
        <v>1733</v>
      </c>
      <c r="H1639" s="22" t="str">
        <f t="shared" si="122"/>
        <v/>
      </c>
      <c r="J1639" s="32"/>
      <c r="R1639" s="24" t="str">
        <f t="shared" si="123"/>
        <v/>
      </c>
      <c r="S1639" s="24" t="str">
        <f t="shared" si="124"/>
        <v/>
      </c>
      <c r="T1639" t="str">
        <f t="shared" si="121"/>
        <v/>
      </c>
    </row>
    <row r="1640" spans="1:20">
      <c r="A1640" s="22" t="s">
        <v>1734</v>
      </c>
      <c r="H1640" s="22" t="str">
        <f t="shared" si="122"/>
        <v/>
      </c>
      <c r="J1640" s="32"/>
      <c r="R1640" s="24" t="str">
        <f t="shared" si="123"/>
        <v/>
      </c>
      <c r="S1640" s="24" t="str">
        <f t="shared" si="124"/>
        <v/>
      </c>
      <c r="T1640" t="str">
        <f t="shared" si="121"/>
        <v/>
      </c>
    </row>
    <row r="1641" spans="1:20">
      <c r="A1641" s="22" t="s">
        <v>1735</v>
      </c>
      <c r="H1641" s="22" t="str">
        <f t="shared" si="122"/>
        <v/>
      </c>
      <c r="J1641" s="32"/>
      <c r="R1641" s="24" t="str">
        <f t="shared" si="123"/>
        <v/>
      </c>
      <c r="S1641" s="24" t="str">
        <f t="shared" si="124"/>
        <v/>
      </c>
      <c r="T1641" t="str">
        <f t="shared" si="121"/>
        <v/>
      </c>
    </row>
    <row r="1642" spans="1:20">
      <c r="A1642" s="22" t="s">
        <v>1736</v>
      </c>
      <c r="H1642" s="22" t="str">
        <f t="shared" si="122"/>
        <v/>
      </c>
      <c r="J1642" s="32"/>
      <c r="R1642" s="24" t="str">
        <f t="shared" si="123"/>
        <v/>
      </c>
      <c r="S1642" s="24" t="str">
        <f t="shared" si="124"/>
        <v/>
      </c>
      <c r="T1642" t="str">
        <f t="shared" si="121"/>
        <v/>
      </c>
    </row>
    <row r="1643" spans="1:20">
      <c r="A1643" s="22" t="s">
        <v>1737</v>
      </c>
      <c r="H1643" s="22" t="str">
        <f t="shared" si="122"/>
        <v/>
      </c>
      <c r="J1643" s="32"/>
      <c r="R1643" s="24" t="str">
        <f t="shared" si="123"/>
        <v/>
      </c>
      <c r="S1643" s="24" t="str">
        <f t="shared" si="124"/>
        <v/>
      </c>
      <c r="T1643" t="str">
        <f t="shared" si="121"/>
        <v/>
      </c>
    </row>
    <row r="1644" spans="1:20">
      <c r="A1644" s="22" t="s">
        <v>1738</v>
      </c>
      <c r="H1644" s="22" t="str">
        <f t="shared" si="122"/>
        <v/>
      </c>
      <c r="J1644" s="32"/>
      <c r="R1644" s="24" t="str">
        <f t="shared" si="123"/>
        <v/>
      </c>
      <c r="S1644" s="24" t="str">
        <f t="shared" si="124"/>
        <v/>
      </c>
      <c r="T1644" t="str">
        <f t="shared" si="121"/>
        <v/>
      </c>
    </row>
    <row r="1645" spans="1:20">
      <c r="A1645" s="22" t="s">
        <v>1739</v>
      </c>
      <c r="H1645" s="22" t="str">
        <f t="shared" si="122"/>
        <v/>
      </c>
      <c r="J1645" s="32"/>
      <c r="R1645" s="24" t="str">
        <f t="shared" si="123"/>
        <v/>
      </c>
      <c r="S1645" s="24" t="str">
        <f t="shared" si="124"/>
        <v/>
      </c>
      <c r="T1645" t="str">
        <f t="shared" si="121"/>
        <v/>
      </c>
    </row>
    <row r="1646" spans="1:20">
      <c r="A1646" s="22" t="s">
        <v>1740</v>
      </c>
      <c r="H1646" s="22" t="str">
        <f t="shared" si="122"/>
        <v/>
      </c>
      <c r="J1646" s="32"/>
      <c r="R1646" s="24" t="str">
        <f t="shared" si="123"/>
        <v/>
      </c>
      <c r="S1646" s="24" t="str">
        <f t="shared" si="124"/>
        <v/>
      </c>
      <c r="T1646" t="str">
        <f t="shared" si="121"/>
        <v/>
      </c>
    </row>
    <row r="1647" spans="1:20">
      <c r="A1647" s="22" t="s">
        <v>1741</v>
      </c>
      <c r="H1647" s="22" t="str">
        <f t="shared" si="122"/>
        <v/>
      </c>
      <c r="J1647" s="32"/>
      <c r="R1647" s="24" t="str">
        <f t="shared" si="123"/>
        <v/>
      </c>
      <c r="S1647" s="24" t="str">
        <f t="shared" si="124"/>
        <v/>
      </c>
      <c r="T1647" t="str">
        <f t="shared" si="121"/>
        <v/>
      </c>
    </row>
    <row r="1648" spans="1:20">
      <c r="A1648" s="22" t="s">
        <v>1742</v>
      </c>
      <c r="H1648" s="22" t="str">
        <f t="shared" si="122"/>
        <v/>
      </c>
      <c r="J1648" s="32"/>
      <c r="R1648" s="24" t="str">
        <f t="shared" si="123"/>
        <v/>
      </c>
      <c r="S1648" s="24" t="str">
        <f t="shared" si="124"/>
        <v/>
      </c>
      <c r="T1648" t="str">
        <f t="shared" si="121"/>
        <v/>
      </c>
    </row>
    <row r="1649" spans="1:20">
      <c r="A1649" s="22" t="s">
        <v>1743</v>
      </c>
      <c r="H1649" s="22" t="str">
        <f t="shared" si="122"/>
        <v/>
      </c>
      <c r="J1649" s="32"/>
      <c r="R1649" s="24" t="str">
        <f t="shared" si="123"/>
        <v/>
      </c>
      <c r="S1649" s="24" t="str">
        <f t="shared" si="124"/>
        <v/>
      </c>
      <c r="T1649" t="str">
        <f t="shared" si="121"/>
        <v/>
      </c>
    </row>
    <row r="1650" spans="1:20">
      <c r="A1650" s="22" t="s">
        <v>1744</v>
      </c>
      <c r="H1650" s="22" t="str">
        <f t="shared" si="122"/>
        <v/>
      </c>
      <c r="J1650" s="32"/>
      <c r="R1650" s="24" t="str">
        <f t="shared" si="123"/>
        <v/>
      </c>
      <c r="S1650" s="24" t="str">
        <f t="shared" si="124"/>
        <v/>
      </c>
      <c r="T1650" t="str">
        <f t="shared" si="121"/>
        <v/>
      </c>
    </row>
    <row r="1651" spans="1:20">
      <c r="A1651" s="22" t="s">
        <v>1745</v>
      </c>
      <c r="H1651" s="22" t="str">
        <f t="shared" si="122"/>
        <v/>
      </c>
      <c r="J1651" s="32"/>
      <c r="R1651" s="24" t="str">
        <f t="shared" si="123"/>
        <v/>
      </c>
      <c r="S1651" s="24" t="str">
        <f t="shared" si="124"/>
        <v/>
      </c>
      <c r="T1651" t="str">
        <f t="shared" si="121"/>
        <v/>
      </c>
    </row>
    <row r="1652" spans="1:20">
      <c r="A1652" s="22" t="s">
        <v>1746</v>
      </c>
      <c r="H1652" s="22" t="str">
        <f t="shared" si="122"/>
        <v/>
      </c>
      <c r="J1652" s="32"/>
      <c r="R1652" s="24" t="str">
        <f t="shared" si="123"/>
        <v/>
      </c>
      <c r="S1652" s="24" t="str">
        <f t="shared" si="124"/>
        <v/>
      </c>
      <c r="T1652" t="str">
        <f t="shared" si="121"/>
        <v/>
      </c>
    </row>
    <row r="1653" spans="1:20">
      <c r="A1653" s="22" t="s">
        <v>1747</v>
      </c>
      <c r="H1653" s="22" t="str">
        <f t="shared" si="122"/>
        <v/>
      </c>
      <c r="J1653" s="32"/>
      <c r="R1653" s="24" t="str">
        <f t="shared" si="123"/>
        <v/>
      </c>
      <c r="S1653" s="24" t="str">
        <f t="shared" si="124"/>
        <v/>
      </c>
      <c r="T1653" t="str">
        <f t="shared" si="121"/>
        <v/>
      </c>
    </row>
    <row r="1654" spans="1:20">
      <c r="A1654" s="22" t="s">
        <v>1748</v>
      </c>
      <c r="H1654" s="22" t="str">
        <f t="shared" si="122"/>
        <v/>
      </c>
      <c r="J1654" s="32"/>
      <c r="R1654" s="24" t="str">
        <f t="shared" si="123"/>
        <v/>
      </c>
      <c r="S1654" s="24" t="str">
        <f t="shared" si="124"/>
        <v/>
      </c>
      <c r="T1654" t="str">
        <f t="shared" si="121"/>
        <v/>
      </c>
    </row>
    <row r="1655" spans="1:20">
      <c r="A1655" s="22" t="s">
        <v>1749</v>
      </c>
      <c r="H1655" s="22" t="str">
        <f t="shared" si="122"/>
        <v/>
      </c>
      <c r="J1655" s="32"/>
      <c r="R1655" s="24" t="str">
        <f t="shared" si="123"/>
        <v/>
      </c>
      <c r="S1655" s="24" t="str">
        <f t="shared" si="124"/>
        <v/>
      </c>
      <c r="T1655" t="str">
        <f t="shared" si="121"/>
        <v/>
      </c>
    </row>
    <row r="1656" spans="1:20">
      <c r="A1656" s="22" t="s">
        <v>1750</v>
      </c>
      <c r="H1656" s="22" t="str">
        <f t="shared" si="122"/>
        <v/>
      </c>
      <c r="J1656" s="32"/>
      <c r="R1656" s="24" t="str">
        <f t="shared" si="123"/>
        <v/>
      </c>
      <c r="S1656" s="24" t="str">
        <f t="shared" si="124"/>
        <v/>
      </c>
      <c r="T1656" t="str">
        <f t="shared" si="121"/>
        <v/>
      </c>
    </row>
    <row r="1657" spans="1:20">
      <c r="A1657" s="22" t="s">
        <v>1751</v>
      </c>
      <c r="H1657" s="22" t="str">
        <f t="shared" si="122"/>
        <v/>
      </c>
      <c r="J1657" s="32"/>
      <c r="R1657" s="24" t="str">
        <f t="shared" si="123"/>
        <v/>
      </c>
      <c r="S1657" s="24" t="str">
        <f t="shared" si="124"/>
        <v/>
      </c>
      <c r="T1657" t="str">
        <f t="shared" si="121"/>
        <v/>
      </c>
    </row>
    <row r="1658" spans="1:20">
      <c r="A1658" s="22" t="s">
        <v>1752</v>
      </c>
      <c r="H1658" s="22" t="str">
        <f t="shared" si="122"/>
        <v/>
      </c>
      <c r="J1658" s="32"/>
      <c r="R1658" s="24" t="str">
        <f t="shared" si="123"/>
        <v/>
      </c>
      <c r="S1658" s="24" t="str">
        <f t="shared" si="124"/>
        <v/>
      </c>
      <c r="T1658" t="str">
        <f t="shared" si="121"/>
        <v/>
      </c>
    </row>
    <row r="1659" spans="1:20">
      <c r="A1659" s="22" t="s">
        <v>1753</v>
      </c>
      <c r="H1659" s="22" t="str">
        <f t="shared" si="122"/>
        <v/>
      </c>
      <c r="J1659" s="32"/>
      <c r="R1659" s="24" t="str">
        <f t="shared" si="123"/>
        <v/>
      </c>
      <c r="S1659" s="24" t="str">
        <f t="shared" si="124"/>
        <v/>
      </c>
      <c r="T1659" t="str">
        <f t="shared" si="121"/>
        <v/>
      </c>
    </row>
    <row r="1660" spans="1:20">
      <c r="A1660" s="22" t="s">
        <v>1754</v>
      </c>
      <c r="H1660" s="22" t="str">
        <f t="shared" si="122"/>
        <v/>
      </c>
      <c r="J1660" s="32"/>
      <c r="R1660" s="24" t="str">
        <f t="shared" si="123"/>
        <v/>
      </c>
      <c r="S1660" s="24" t="str">
        <f t="shared" si="124"/>
        <v/>
      </c>
      <c r="T1660" t="str">
        <f t="shared" si="121"/>
        <v/>
      </c>
    </row>
    <row r="1661" spans="1:20">
      <c r="A1661" s="22" t="s">
        <v>1755</v>
      </c>
      <c r="H1661" s="22" t="str">
        <f t="shared" si="122"/>
        <v/>
      </c>
      <c r="J1661" s="32"/>
      <c r="R1661" s="24" t="str">
        <f t="shared" si="123"/>
        <v/>
      </c>
      <c r="S1661" s="24" t="str">
        <f t="shared" si="124"/>
        <v/>
      </c>
      <c r="T1661" t="str">
        <f t="shared" si="121"/>
        <v/>
      </c>
    </row>
    <row r="1662" spans="1:20">
      <c r="A1662" s="22" t="s">
        <v>1756</v>
      </c>
      <c r="H1662" s="22" t="str">
        <f t="shared" si="122"/>
        <v/>
      </c>
      <c r="J1662" s="32"/>
      <c r="R1662" s="24" t="str">
        <f t="shared" si="123"/>
        <v/>
      </c>
      <c r="S1662" s="24" t="str">
        <f t="shared" si="124"/>
        <v/>
      </c>
      <c r="T1662" t="str">
        <f t="shared" si="121"/>
        <v/>
      </c>
    </row>
    <row r="1663" spans="1:20">
      <c r="A1663" s="22" t="s">
        <v>1757</v>
      </c>
      <c r="H1663" s="22" t="str">
        <f t="shared" si="122"/>
        <v/>
      </c>
      <c r="J1663" s="32"/>
      <c r="R1663" s="24" t="str">
        <f t="shared" si="123"/>
        <v/>
      </c>
      <c r="S1663" s="24" t="str">
        <f t="shared" si="124"/>
        <v/>
      </c>
      <c r="T1663" t="str">
        <f t="shared" si="121"/>
        <v/>
      </c>
    </row>
    <row r="1664" spans="1:20">
      <c r="A1664" s="22" t="s">
        <v>1758</v>
      </c>
      <c r="H1664" s="22" t="str">
        <f t="shared" si="122"/>
        <v/>
      </c>
      <c r="J1664" s="32"/>
      <c r="R1664" s="24" t="str">
        <f t="shared" si="123"/>
        <v/>
      </c>
      <c r="S1664" s="24" t="str">
        <f t="shared" si="124"/>
        <v/>
      </c>
      <c r="T1664" t="str">
        <f t="shared" si="121"/>
        <v/>
      </c>
    </row>
    <row r="1665" spans="1:20">
      <c r="A1665" s="22" t="s">
        <v>1759</v>
      </c>
      <c r="H1665" s="22" t="str">
        <f t="shared" si="122"/>
        <v/>
      </c>
      <c r="J1665" s="32"/>
      <c r="R1665" s="24" t="str">
        <f t="shared" si="123"/>
        <v/>
      </c>
      <c r="S1665" s="24" t="str">
        <f t="shared" si="124"/>
        <v/>
      </c>
      <c r="T1665" t="str">
        <f t="shared" si="121"/>
        <v/>
      </c>
    </row>
    <row r="1666" spans="1:20">
      <c r="A1666" s="22" t="s">
        <v>1760</v>
      </c>
      <c r="H1666" s="22" t="str">
        <f t="shared" si="122"/>
        <v/>
      </c>
      <c r="J1666" s="32"/>
      <c r="R1666" s="24" t="str">
        <f t="shared" si="123"/>
        <v/>
      </c>
      <c r="S1666" s="24" t="str">
        <f t="shared" si="124"/>
        <v/>
      </c>
      <c r="T1666" t="str">
        <f t="shared" si="121"/>
        <v/>
      </c>
    </row>
    <row r="1667" spans="1:20">
      <c r="A1667" s="22" t="s">
        <v>1761</v>
      </c>
      <c r="H1667" s="22" t="str">
        <f t="shared" si="122"/>
        <v/>
      </c>
      <c r="J1667" s="32"/>
      <c r="R1667" s="24" t="str">
        <f t="shared" si="123"/>
        <v/>
      </c>
      <c r="S1667" s="24" t="str">
        <f t="shared" si="124"/>
        <v/>
      </c>
      <c r="T1667" t="str">
        <f t="shared" si="121"/>
        <v/>
      </c>
    </row>
    <row r="1668" spans="1:20">
      <c r="A1668" s="22" t="s">
        <v>1762</v>
      </c>
      <c r="H1668" s="22" t="str">
        <f t="shared" si="122"/>
        <v/>
      </c>
      <c r="J1668" s="32"/>
      <c r="R1668" s="24" t="str">
        <f t="shared" si="123"/>
        <v/>
      </c>
      <c r="S1668" s="24" t="str">
        <f t="shared" si="124"/>
        <v/>
      </c>
      <c r="T1668" t="str">
        <f t="shared" si="121"/>
        <v/>
      </c>
    </row>
    <row r="1669" spans="1:20">
      <c r="A1669" s="22" t="s">
        <v>1763</v>
      </c>
      <c r="H1669" s="22" t="str">
        <f t="shared" si="122"/>
        <v/>
      </c>
      <c r="J1669" s="32"/>
      <c r="R1669" s="24" t="str">
        <f t="shared" si="123"/>
        <v/>
      </c>
      <c r="S1669" s="24" t="str">
        <f t="shared" si="124"/>
        <v/>
      </c>
      <c r="T1669" t="str">
        <f t="shared" si="121"/>
        <v/>
      </c>
    </row>
    <row r="1670" spans="1:20">
      <c r="A1670" s="22" t="s">
        <v>1764</v>
      </c>
      <c r="H1670" s="22" t="str">
        <f t="shared" si="122"/>
        <v/>
      </c>
      <c r="J1670" s="32"/>
      <c r="R1670" s="24" t="str">
        <f t="shared" si="123"/>
        <v/>
      </c>
      <c r="S1670" s="24" t="str">
        <f t="shared" si="124"/>
        <v/>
      </c>
      <c r="T1670" t="str">
        <f t="shared" si="121"/>
        <v/>
      </c>
    </row>
    <row r="1671" spans="1:20">
      <c r="A1671" s="22" t="s">
        <v>1765</v>
      </c>
      <c r="H1671" s="22" t="str">
        <f t="shared" si="122"/>
        <v/>
      </c>
      <c r="J1671" s="32"/>
      <c r="R1671" s="24" t="str">
        <f t="shared" si="123"/>
        <v/>
      </c>
      <c r="S1671" s="24" t="str">
        <f t="shared" si="124"/>
        <v/>
      </c>
      <c r="T1671" t="str">
        <f t="shared" si="121"/>
        <v/>
      </c>
    </row>
    <row r="1672" spans="1:20">
      <c r="A1672" s="22" t="s">
        <v>1766</v>
      </c>
      <c r="H1672" s="22" t="str">
        <f t="shared" si="122"/>
        <v/>
      </c>
      <c r="J1672" s="32"/>
      <c r="R1672" s="24" t="str">
        <f t="shared" si="123"/>
        <v/>
      </c>
      <c r="S1672" s="24" t="str">
        <f t="shared" si="124"/>
        <v/>
      </c>
      <c r="T1672" t="str">
        <f t="shared" si="121"/>
        <v/>
      </c>
    </row>
    <row r="1673" spans="1:20">
      <c r="A1673" s="22" t="s">
        <v>1767</v>
      </c>
      <c r="H1673" s="22" t="str">
        <f t="shared" si="122"/>
        <v/>
      </c>
      <c r="J1673" s="32"/>
      <c r="R1673" s="24" t="str">
        <f t="shared" si="123"/>
        <v/>
      </c>
      <c r="S1673" s="24" t="str">
        <f t="shared" si="124"/>
        <v/>
      </c>
      <c r="T1673" t="str">
        <f t="shared" si="121"/>
        <v/>
      </c>
    </row>
    <row r="1674" spans="1:20">
      <c r="A1674" s="22" t="s">
        <v>1768</v>
      </c>
      <c r="H1674" s="22" t="str">
        <f t="shared" si="122"/>
        <v/>
      </c>
      <c r="J1674" s="32"/>
      <c r="R1674" s="24" t="str">
        <f t="shared" si="123"/>
        <v/>
      </c>
      <c r="S1674" s="24" t="str">
        <f t="shared" si="124"/>
        <v/>
      </c>
      <c r="T1674" t="str">
        <f t="shared" si="121"/>
        <v/>
      </c>
    </row>
    <row r="1675" spans="1:20">
      <c r="A1675" s="22" t="s">
        <v>1769</v>
      </c>
      <c r="H1675" s="22" t="str">
        <f t="shared" si="122"/>
        <v/>
      </c>
      <c r="J1675" s="32"/>
      <c r="R1675" s="24" t="str">
        <f t="shared" si="123"/>
        <v/>
      </c>
      <c r="S1675" s="24" t="str">
        <f t="shared" si="124"/>
        <v/>
      </c>
      <c r="T1675" t="str">
        <f t="shared" si="121"/>
        <v/>
      </c>
    </row>
    <row r="1676" spans="1:20">
      <c r="A1676" s="22" t="s">
        <v>1770</v>
      </c>
      <c r="H1676" s="22" t="str">
        <f t="shared" si="122"/>
        <v/>
      </c>
      <c r="J1676" s="32"/>
      <c r="R1676" s="24" t="str">
        <f t="shared" si="123"/>
        <v/>
      </c>
      <c r="S1676" s="24" t="str">
        <f t="shared" si="124"/>
        <v/>
      </c>
      <c r="T1676" t="str">
        <f t="shared" si="121"/>
        <v/>
      </c>
    </row>
    <row r="1677" spans="1:20">
      <c r="A1677" s="22" t="s">
        <v>1771</v>
      </c>
      <c r="H1677" s="22" t="str">
        <f t="shared" si="122"/>
        <v/>
      </c>
      <c r="J1677" s="32"/>
      <c r="R1677" s="24" t="str">
        <f t="shared" si="123"/>
        <v/>
      </c>
      <c r="S1677" s="24" t="str">
        <f t="shared" si="124"/>
        <v/>
      </c>
      <c r="T1677" t="str">
        <f t="shared" si="121"/>
        <v/>
      </c>
    </row>
    <row r="1678" spans="1:20">
      <c r="A1678" s="22" t="s">
        <v>1772</v>
      </c>
      <c r="H1678" s="22" t="str">
        <f t="shared" si="122"/>
        <v/>
      </c>
      <c r="J1678" s="32"/>
      <c r="R1678" s="24" t="str">
        <f t="shared" si="123"/>
        <v/>
      </c>
      <c r="S1678" s="24" t="str">
        <f t="shared" si="124"/>
        <v/>
      </c>
      <c r="T1678" t="str">
        <f t="shared" si="121"/>
        <v/>
      </c>
    </row>
    <row r="1679" spans="1:20">
      <c r="A1679" s="22" t="s">
        <v>1773</v>
      </c>
      <c r="H1679" s="22" t="str">
        <f t="shared" si="122"/>
        <v/>
      </c>
      <c r="J1679" s="32"/>
      <c r="R1679" s="24" t="str">
        <f t="shared" si="123"/>
        <v/>
      </c>
      <c r="S1679" s="24" t="str">
        <f t="shared" si="124"/>
        <v/>
      </c>
      <c r="T1679" t="str">
        <f t="shared" ref="T1679:T1742" si="125">IF(OR(C1679="",I1679&lt;&gt;"ENTRADA"),"",TEXT(B1679,"AAMMDD")&amp;"-"&amp;TEXT(VALUE(SUBSTITUTE(A1679,"MOV-","")),"000"))</f>
        <v/>
      </c>
    </row>
    <row r="1680" spans="1:20">
      <c r="A1680" s="22" t="s">
        <v>1774</v>
      </c>
      <c r="H1680" s="22" t="str">
        <f t="shared" ref="H1680:H1743" si="126">+T1680</f>
        <v/>
      </c>
      <c r="J1680" s="32"/>
      <c r="R1680" s="24" t="str">
        <f t="shared" ref="R1680:R1743" si="127">IF(H1680="","",H1680&amp;I1680)</f>
        <v/>
      </c>
      <c r="S1680" s="24" t="str">
        <f t="shared" ref="S1680:S1743" si="128">IF(C1680="","",C1680&amp;I1680)</f>
        <v/>
      </c>
      <c r="T1680" t="str">
        <f t="shared" si="125"/>
        <v/>
      </c>
    </row>
    <row r="1681" spans="1:20">
      <c r="A1681" s="22" t="s">
        <v>1775</v>
      </c>
      <c r="H1681" s="22" t="str">
        <f t="shared" si="126"/>
        <v/>
      </c>
      <c r="J1681" s="32"/>
      <c r="R1681" s="24" t="str">
        <f t="shared" si="127"/>
        <v/>
      </c>
      <c r="S1681" s="24" t="str">
        <f t="shared" si="128"/>
        <v/>
      </c>
      <c r="T1681" t="str">
        <f t="shared" si="125"/>
        <v/>
      </c>
    </row>
    <row r="1682" spans="1:20">
      <c r="A1682" s="22" t="s">
        <v>1776</v>
      </c>
      <c r="H1682" s="22" t="str">
        <f t="shared" si="126"/>
        <v/>
      </c>
      <c r="J1682" s="32"/>
      <c r="R1682" s="24" t="str">
        <f t="shared" si="127"/>
        <v/>
      </c>
      <c r="S1682" s="24" t="str">
        <f t="shared" si="128"/>
        <v/>
      </c>
      <c r="T1682" t="str">
        <f t="shared" si="125"/>
        <v/>
      </c>
    </row>
    <row r="1683" spans="1:20">
      <c r="A1683" s="22" t="s">
        <v>1777</v>
      </c>
      <c r="H1683" s="22" t="str">
        <f t="shared" si="126"/>
        <v/>
      </c>
      <c r="J1683" s="32"/>
      <c r="R1683" s="24" t="str">
        <f t="shared" si="127"/>
        <v/>
      </c>
      <c r="S1683" s="24" t="str">
        <f t="shared" si="128"/>
        <v/>
      </c>
      <c r="T1683" t="str">
        <f t="shared" si="125"/>
        <v/>
      </c>
    </row>
    <row r="1684" spans="1:20">
      <c r="A1684" s="22" t="s">
        <v>1778</v>
      </c>
      <c r="H1684" s="22" t="str">
        <f t="shared" si="126"/>
        <v/>
      </c>
      <c r="J1684" s="32"/>
      <c r="R1684" s="24" t="str">
        <f t="shared" si="127"/>
        <v/>
      </c>
      <c r="S1684" s="24" t="str">
        <f t="shared" si="128"/>
        <v/>
      </c>
      <c r="T1684" t="str">
        <f t="shared" si="125"/>
        <v/>
      </c>
    </row>
    <row r="1685" spans="1:20">
      <c r="A1685" s="22" t="s">
        <v>1779</v>
      </c>
      <c r="H1685" s="22" t="str">
        <f t="shared" si="126"/>
        <v/>
      </c>
      <c r="J1685" s="32"/>
      <c r="R1685" s="24" t="str">
        <f t="shared" si="127"/>
        <v/>
      </c>
      <c r="S1685" s="24" t="str">
        <f t="shared" si="128"/>
        <v/>
      </c>
      <c r="T1685" t="str">
        <f t="shared" si="125"/>
        <v/>
      </c>
    </row>
    <row r="1686" spans="1:20">
      <c r="A1686" s="22" t="s">
        <v>1780</v>
      </c>
      <c r="H1686" s="22" t="str">
        <f t="shared" si="126"/>
        <v/>
      </c>
      <c r="J1686" s="32"/>
      <c r="R1686" s="24" t="str">
        <f t="shared" si="127"/>
        <v/>
      </c>
      <c r="S1686" s="24" t="str">
        <f t="shared" si="128"/>
        <v/>
      </c>
      <c r="T1686" t="str">
        <f t="shared" si="125"/>
        <v/>
      </c>
    </row>
    <row r="1687" spans="1:20">
      <c r="A1687" s="22" t="s">
        <v>1781</v>
      </c>
      <c r="H1687" s="22" t="str">
        <f t="shared" si="126"/>
        <v/>
      </c>
      <c r="J1687" s="32"/>
      <c r="R1687" s="24" t="str">
        <f t="shared" si="127"/>
        <v/>
      </c>
      <c r="S1687" s="24" t="str">
        <f t="shared" si="128"/>
        <v/>
      </c>
      <c r="T1687" t="str">
        <f t="shared" si="125"/>
        <v/>
      </c>
    </row>
    <row r="1688" spans="1:20">
      <c r="A1688" s="22" t="s">
        <v>1782</v>
      </c>
      <c r="H1688" s="22" t="str">
        <f t="shared" si="126"/>
        <v/>
      </c>
      <c r="J1688" s="32"/>
      <c r="R1688" s="24" t="str">
        <f t="shared" si="127"/>
        <v/>
      </c>
      <c r="S1688" s="24" t="str">
        <f t="shared" si="128"/>
        <v/>
      </c>
      <c r="T1688" t="str">
        <f t="shared" si="125"/>
        <v/>
      </c>
    </row>
    <row r="1689" spans="1:20">
      <c r="A1689" s="22" t="s">
        <v>1783</v>
      </c>
      <c r="H1689" s="22" t="str">
        <f t="shared" si="126"/>
        <v/>
      </c>
      <c r="J1689" s="32"/>
      <c r="R1689" s="24" t="str">
        <f t="shared" si="127"/>
        <v/>
      </c>
      <c r="S1689" s="24" t="str">
        <f t="shared" si="128"/>
        <v/>
      </c>
      <c r="T1689" t="str">
        <f t="shared" si="125"/>
        <v/>
      </c>
    </row>
    <row r="1690" spans="1:20">
      <c r="A1690" s="22" t="s">
        <v>1784</v>
      </c>
      <c r="H1690" s="22" t="str">
        <f t="shared" si="126"/>
        <v/>
      </c>
      <c r="J1690" s="32"/>
      <c r="R1690" s="24" t="str">
        <f t="shared" si="127"/>
        <v/>
      </c>
      <c r="S1690" s="24" t="str">
        <f t="shared" si="128"/>
        <v/>
      </c>
      <c r="T1690" t="str">
        <f t="shared" si="125"/>
        <v/>
      </c>
    </row>
    <row r="1691" spans="1:20">
      <c r="A1691" s="22" t="s">
        <v>1785</v>
      </c>
      <c r="H1691" s="22" t="str">
        <f t="shared" si="126"/>
        <v/>
      </c>
      <c r="J1691" s="32"/>
      <c r="R1691" s="24" t="str">
        <f t="shared" si="127"/>
        <v/>
      </c>
      <c r="S1691" s="24" t="str">
        <f t="shared" si="128"/>
        <v/>
      </c>
      <c r="T1691" t="str">
        <f t="shared" si="125"/>
        <v/>
      </c>
    </row>
    <row r="1692" spans="1:20">
      <c r="A1692" s="22" t="s">
        <v>1786</v>
      </c>
      <c r="H1692" s="22" t="str">
        <f t="shared" si="126"/>
        <v/>
      </c>
      <c r="J1692" s="32"/>
      <c r="R1692" s="24" t="str">
        <f t="shared" si="127"/>
        <v/>
      </c>
      <c r="S1692" s="24" t="str">
        <f t="shared" si="128"/>
        <v/>
      </c>
      <c r="T1692" t="str">
        <f t="shared" si="125"/>
        <v/>
      </c>
    </row>
    <row r="1693" spans="1:20">
      <c r="A1693" s="22" t="s">
        <v>1787</v>
      </c>
      <c r="H1693" s="22" t="str">
        <f t="shared" si="126"/>
        <v/>
      </c>
      <c r="J1693" s="32"/>
      <c r="R1693" s="24" t="str">
        <f t="shared" si="127"/>
        <v/>
      </c>
      <c r="S1693" s="24" t="str">
        <f t="shared" si="128"/>
        <v/>
      </c>
      <c r="T1693" t="str">
        <f t="shared" si="125"/>
        <v/>
      </c>
    </row>
    <row r="1694" spans="1:20">
      <c r="A1694" s="22" t="s">
        <v>1788</v>
      </c>
      <c r="H1694" s="22" t="str">
        <f t="shared" si="126"/>
        <v/>
      </c>
      <c r="J1694" s="32"/>
      <c r="R1694" s="24" t="str">
        <f t="shared" si="127"/>
        <v/>
      </c>
      <c r="S1694" s="24" t="str">
        <f t="shared" si="128"/>
        <v/>
      </c>
      <c r="T1694" t="str">
        <f t="shared" si="125"/>
        <v/>
      </c>
    </row>
    <row r="1695" spans="1:20">
      <c r="A1695" s="22" t="s">
        <v>1789</v>
      </c>
      <c r="H1695" s="22" t="str">
        <f t="shared" si="126"/>
        <v/>
      </c>
      <c r="J1695" s="32"/>
      <c r="R1695" s="24" t="str">
        <f t="shared" si="127"/>
        <v/>
      </c>
      <c r="S1695" s="24" t="str">
        <f t="shared" si="128"/>
        <v/>
      </c>
      <c r="T1695" t="str">
        <f t="shared" si="125"/>
        <v/>
      </c>
    </row>
    <row r="1696" spans="1:20">
      <c r="A1696" s="22" t="s">
        <v>1790</v>
      </c>
      <c r="H1696" s="22" t="str">
        <f t="shared" si="126"/>
        <v/>
      </c>
      <c r="J1696" s="32"/>
      <c r="R1696" s="24" t="str">
        <f t="shared" si="127"/>
        <v/>
      </c>
      <c r="S1696" s="24" t="str">
        <f t="shared" si="128"/>
        <v/>
      </c>
      <c r="T1696" t="str">
        <f t="shared" si="125"/>
        <v/>
      </c>
    </row>
    <row r="1697" spans="1:20">
      <c r="A1697" s="22" t="s">
        <v>1791</v>
      </c>
      <c r="H1697" s="22" t="str">
        <f t="shared" si="126"/>
        <v/>
      </c>
      <c r="J1697" s="32"/>
      <c r="R1697" s="24" t="str">
        <f t="shared" si="127"/>
        <v/>
      </c>
      <c r="S1697" s="24" t="str">
        <f t="shared" si="128"/>
        <v/>
      </c>
      <c r="T1697" t="str">
        <f t="shared" si="125"/>
        <v/>
      </c>
    </row>
    <row r="1698" spans="1:20">
      <c r="A1698" s="22" t="s">
        <v>1792</v>
      </c>
      <c r="H1698" s="22" t="str">
        <f t="shared" si="126"/>
        <v/>
      </c>
      <c r="J1698" s="32"/>
      <c r="R1698" s="24" t="str">
        <f t="shared" si="127"/>
        <v/>
      </c>
      <c r="S1698" s="24" t="str">
        <f t="shared" si="128"/>
        <v/>
      </c>
      <c r="T1698" t="str">
        <f t="shared" si="125"/>
        <v/>
      </c>
    </row>
    <row r="1699" spans="1:20">
      <c r="A1699" s="22" t="s">
        <v>1793</v>
      </c>
      <c r="H1699" s="22" t="str">
        <f t="shared" si="126"/>
        <v/>
      </c>
      <c r="J1699" s="32"/>
      <c r="R1699" s="24" t="str">
        <f t="shared" si="127"/>
        <v/>
      </c>
      <c r="S1699" s="24" t="str">
        <f t="shared" si="128"/>
        <v/>
      </c>
      <c r="T1699" t="str">
        <f t="shared" si="125"/>
        <v/>
      </c>
    </row>
    <row r="1700" spans="1:20">
      <c r="A1700" s="22" t="s">
        <v>1794</v>
      </c>
      <c r="H1700" s="22" t="str">
        <f t="shared" si="126"/>
        <v/>
      </c>
      <c r="J1700" s="32"/>
      <c r="R1700" s="24" t="str">
        <f t="shared" si="127"/>
        <v/>
      </c>
      <c r="S1700" s="24" t="str">
        <f t="shared" si="128"/>
        <v/>
      </c>
      <c r="T1700" t="str">
        <f t="shared" si="125"/>
        <v/>
      </c>
    </row>
    <row r="1701" spans="1:20">
      <c r="A1701" s="22" t="s">
        <v>1795</v>
      </c>
      <c r="H1701" s="22" t="str">
        <f t="shared" si="126"/>
        <v/>
      </c>
      <c r="J1701" s="32"/>
      <c r="R1701" s="24" t="str">
        <f t="shared" si="127"/>
        <v/>
      </c>
      <c r="S1701" s="24" t="str">
        <f t="shared" si="128"/>
        <v/>
      </c>
      <c r="T1701" t="str">
        <f t="shared" si="125"/>
        <v/>
      </c>
    </row>
    <row r="1702" spans="1:20">
      <c r="A1702" s="22" t="s">
        <v>1796</v>
      </c>
      <c r="H1702" s="22" t="str">
        <f t="shared" si="126"/>
        <v/>
      </c>
      <c r="J1702" s="32"/>
      <c r="R1702" s="24" t="str">
        <f t="shared" si="127"/>
        <v/>
      </c>
      <c r="S1702" s="24" t="str">
        <f t="shared" si="128"/>
        <v/>
      </c>
      <c r="T1702" t="str">
        <f t="shared" si="125"/>
        <v/>
      </c>
    </row>
    <row r="1703" spans="1:20">
      <c r="A1703" s="22" t="s">
        <v>1797</v>
      </c>
      <c r="H1703" s="22" t="str">
        <f t="shared" si="126"/>
        <v/>
      </c>
      <c r="J1703" s="32"/>
      <c r="R1703" s="24" t="str">
        <f t="shared" si="127"/>
        <v/>
      </c>
      <c r="S1703" s="24" t="str">
        <f t="shared" si="128"/>
        <v/>
      </c>
      <c r="T1703" t="str">
        <f t="shared" si="125"/>
        <v/>
      </c>
    </row>
    <row r="1704" spans="1:20">
      <c r="A1704" s="22" t="s">
        <v>1798</v>
      </c>
      <c r="H1704" s="22" t="str">
        <f t="shared" si="126"/>
        <v/>
      </c>
      <c r="J1704" s="32"/>
      <c r="R1704" s="24" t="str">
        <f t="shared" si="127"/>
        <v/>
      </c>
      <c r="S1704" s="24" t="str">
        <f t="shared" si="128"/>
        <v/>
      </c>
      <c r="T1704" t="str">
        <f t="shared" si="125"/>
        <v/>
      </c>
    </row>
    <row r="1705" spans="1:20">
      <c r="A1705" s="22" t="s">
        <v>1799</v>
      </c>
      <c r="H1705" s="22" t="str">
        <f t="shared" si="126"/>
        <v/>
      </c>
      <c r="J1705" s="32"/>
      <c r="R1705" s="24" t="str">
        <f t="shared" si="127"/>
        <v/>
      </c>
      <c r="S1705" s="24" t="str">
        <f t="shared" si="128"/>
        <v/>
      </c>
      <c r="T1705" t="str">
        <f t="shared" si="125"/>
        <v/>
      </c>
    </row>
    <row r="1706" spans="1:20">
      <c r="A1706" s="22" t="s">
        <v>1800</v>
      </c>
      <c r="H1706" s="22" t="str">
        <f t="shared" si="126"/>
        <v/>
      </c>
      <c r="J1706" s="32"/>
      <c r="R1706" s="24" t="str">
        <f t="shared" si="127"/>
        <v/>
      </c>
      <c r="S1706" s="24" t="str">
        <f t="shared" si="128"/>
        <v/>
      </c>
      <c r="T1706" t="str">
        <f t="shared" si="125"/>
        <v/>
      </c>
    </row>
    <row r="1707" spans="1:20">
      <c r="A1707" s="22" t="s">
        <v>1801</v>
      </c>
      <c r="H1707" s="22" t="str">
        <f t="shared" si="126"/>
        <v/>
      </c>
      <c r="J1707" s="32"/>
      <c r="R1707" s="24" t="str">
        <f t="shared" si="127"/>
        <v/>
      </c>
      <c r="S1707" s="24" t="str">
        <f t="shared" si="128"/>
        <v/>
      </c>
      <c r="T1707" t="str">
        <f t="shared" si="125"/>
        <v/>
      </c>
    </row>
    <row r="1708" spans="1:20">
      <c r="A1708" s="22" t="s">
        <v>1802</v>
      </c>
      <c r="H1708" s="22" t="str">
        <f t="shared" si="126"/>
        <v/>
      </c>
      <c r="J1708" s="32"/>
      <c r="R1708" s="24" t="str">
        <f t="shared" si="127"/>
        <v/>
      </c>
      <c r="S1708" s="24" t="str">
        <f t="shared" si="128"/>
        <v/>
      </c>
      <c r="T1708" t="str">
        <f t="shared" si="125"/>
        <v/>
      </c>
    </row>
    <row r="1709" spans="1:20">
      <c r="A1709" s="22" t="s">
        <v>1803</v>
      </c>
      <c r="H1709" s="22" t="str">
        <f t="shared" si="126"/>
        <v/>
      </c>
      <c r="J1709" s="32"/>
      <c r="R1709" s="24" t="str">
        <f t="shared" si="127"/>
        <v/>
      </c>
      <c r="S1709" s="24" t="str">
        <f t="shared" si="128"/>
        <v/>
      </c>
      <c r="T1709" t="str">
        <f t="shared" si="125"/>
        <v/>
      </c>
    </row>
    <row r="1710" spans="1:20">
      <c r="A1710" s="22" t="s">
        <v>1804</v>
      </c>
      <c r="H1710" s="22" t="str">
        <f t="shared" si="126"/>
        <v/>
      </c>
      <c r="J1710" s="32"/>
      <c r="R1710" s="24" t="str">
        <f t="shared" si="127"/>
        <v/>
      </c>
      <c r="S1710" s="24" t="str">
        <f t="shared" si="128"/>
        <v/>
      </c>
      <c r="T1710" t="str">
        <f t="shared" si="125"/>
        <v/>
      </c>
    </row>
    <row r="1711" spans="1:20">
      <c r="A1711" s="22" t="s">
        <v>1805</v>
      </c>
      <c r="H1711" s="22" t="str">
        <f t="shared" si="126"/>
        <v/>
      </c>
      <c r="J1711" s="32"/>
      <c r="R1711" s="24" t="str">
        <f t="shared" si="127"/>
        <v/>
      </c>
      <c r="S1711" s="24" t="str">
        <f t="shared" si="128"/>
        <v/>
      </c>
      <c r="T1711" t="str">
        <f t="shared" si="125"/>
        <v/>
      </c>
    </row>
    <row r="1712" spans="1:20">
      <c r="A1712" s="22" t="s">
        <v>1806</v>
      </c>
      <c r="H1712" s="22" t="str">
        <f t="shared" si="126"/>
        <v/>
      </c>
      <c r="J1712" s="32"/>
      <c r="R1712" s="24" t="str">
        <f t="shared" si="127"/>
        <v/>
      </c>
      <c r="S1712" s="24" t="str">
        <f t="shared" si="128"/>
        <v/>
      </c>
      <c r="T1712" t="str">
        <f t="shared" si="125"/>
        <v/>
      </c>
    </row>
    <row r="1713" spans="1:20">
      <c r="A1713" s="22" t="s">
        <v>1807</v>
      </c>
      <c r="H1713" s="22" t="str">
        <f t="shared" si="126"/>
        <v/>
      </c>
      <c r="J1713" s="32"/>
      <c r="R1713" s="24" t="str">
        <f t="shared" si="127"/>
        <v/>
      </c>
      <c r="S1713" s="24" t="str">
        <f t="shared" si="128"/>
        <v/>
      </c>
      <c r="T1713" t="str">
        <f t="shared" si="125"/>
        <v/>
      </c>
    </row>
    <row r="1714" spans="1:20">
      <c r="A1714" s="22" t="s">
        <v>1808</v>
      </c>
      <c r="H1714" s="22" t="str">
        <f t="shared" si="126"/>
        <v/>
      </c>
      <c r="J1714" s="32"/>
      <c r="R1714" s="24" t="str">
        <f t="shared" si="127"/>
        <v/>
      </c>
      <c r="S1714" s="24" t="str">
        <f t="shared" si="128"/>
        <v/>
      </c>
      <c r="T1714" t="str">
        <f t="shared" si="125"/>
        <v/>
      </c>
    </row>
    <row r="1715" spans="1:20">
      <c r="A1715" s="22" t="s">
        <v>1809</v>
      </c>
      <c r="H1715" s="22" t="str">
        <f t="shared" si="126"/>
        <v/>
      </c>
      <c r="J1715" s="32"/>
      <c r="R1715" s="24" t="str">
        <f t="shared" si="127"/>
        <v/>
      </c>
      <c r="S1715" s="24" t="str">
        <f t="shared" si="128"/>
        <v/>
      </c>
      <c r="T1715" t="str">
        <f t="shared" si="125"/>
        <v/>
      </c>
    </row>
    <row r="1716" spans="1:20">
      <c r="A1716" s="22" t="s">
        <v>1810</v>
      </c>
      <c r="H1716" s="22" t="str">
        <f t="shared" si="126"/>
        <v/>
      </c>
      <c r="J1716" s="32"/>
      <c r="R1716" s="24" t="str">
        <f t="shared" si="127"/>
        <v/>
      </c>
      <c r="S1716" s="24" t="str">
        <f t="shared" si="128"/>
        <v/>
      </c>
      <c r="T1716" t="str">
        <f t="shared" si="125"/>
        <v/>
      </c>
    </row>
    <row r="1717" spans="1:20">
      <c r="A1717" s="22" t="s">
        <v>1811</v>
      </c>
      <c r="H1717" s="22" t="str">
        <f t="shared" si="126"/>
        <v/>
      </c>
      <c r="J1717" s="32"/>
      <c r="R1717" s="24" t="str">
        <f t="shared" si="127"/>
        <v/>
      </c>
      <c r="S1717" s="24" t="str">
        <f t="shared" si="128"/>
        <v/>
      </c>
      <c r="T1717" t="str">
        <f t="shared" si="125"/>
        <v/>
      </c>
    </row>
    <row r="1718" spans="1:20">
      <c r="A1718" s="22" t="s">
        <v>1812</v>
      </c>
      <c r="H1718" s="22" t="str">
        <f t="shared" si="126"/>
        <v/>
      </c>
      <c r="J1718" s="32"/>
      <c r="R1718" s="24" t="str">
        <f t="shared" si="127"/>
        <v/>
      </c>
      <c r="S1718" s="24" t="str">
        <f t="shared" si="128"/>
        <v/>
      </c>
      <c r="T1718" t="str">
        <f t="shared" si="125"/>
        <v/>
      </c>
    </row>
    <row r="1719" spans="1:20">
      <c r="A1719" s="22" t="s">
        <v>1813</v>
      </c>
      <c r="H1719" s="22" t="str">
        <f t="shared" si="126"/>
        <v/>
      </c>
      <c r="J1719" s="32"/>
      <c r="R1719" s="24" t="str">
        <f t="shared" si="127"/>
        <v/>
      </c>
      <c r="S1719" s="24" t="str">
        <f t="shared" si="128"/>
        <v/>
      </c>
      <c r="T1719" t="str">
        <f t="shared" si="125"/>
        <v/>
      </c>
    </row>
    <row r="1720" spans="1:20">
      <c r="A1720" s="22" t="s">
        <v>1814</v>
      </c>
      <c r="H1720" s="22" t="str">
        <f t="shared" si="126"/>
        <v/>
      </c>
      <c r="J1720" s="32"/>
      <c r="R1720" s="24" t="str">
        <f t="shared" si="127"/>
        <v/>
      </c>
      <c r="S1720" s="24" t="str">
        <f t="shared" si="128"/>
        <v/>
      </c>
      <c r="T1720" t="str">
        <f t="shared" si="125"/>
        <v/>
      </c>
    </row>
    <row r="1721" spans="1:20">
      <c r="A1721" s="22" t="s">
        <v>1815</v>
      </c>
      <c r="H1721" s="22" t="str">
        <f t="shared" si="126"/>
        <v/>
      </c>
      <c r="J1721" s="32"/>
      <c r="R1721" s="24" t="str">
        <f t="shared" si="127"/>
        <v/>
      </c>
      <c r="S1721" s="24" t="str">
        <f t="shared" si="128"/>
        <v/>
      </c>
      <c r="T1721" t="str">
        <f t="shared" si="125"/>
        <v/>
      </c>
    </row>
    <row r="1722" spans="1:20">
      <c r="A1722" s="22" t="s">
        <v>1816</v>
      </c>
      <c r="H1722" s="22" t="str">
        <f t="shared" si="126"/>
        <v/>
      </c>
      <c r="J1722" s="32"/>
      <c r="R1722" s="24" t="str">
        <f t="shared" si="127"/>
        <v/>
      </c>
      <c r="S1722" s="24" t="str">
        <f t="shared" si="128"/>
        <v/>
      </c>
      <c r="T1722" t="str">
        <f t="shared" si="125"/>
        <v/>
      </c>
    </row>
    <row r="1723" spans="1:20">
      <c r="A1723" s="22" t="s">
        <v>1817</v>
      </c>
      <c r="H1723" s="22" t="str">
        <f t="shared" si="126"/>
        <v/>
      </c>
      <c r="J1723" s="32"/>
      <c r="R1723" s="24" t="str">
        <f t="shared" si="127"/>
        <v/>
      </c>
      <c r="S1723" s="24" t="str">
        <f t="shared" si="128"/>
        <v/>
      </c>
      <c r="T1723" t="str">
        <f t="shared" si="125"/>
        <v/>
      </c>
    </row>
    <row r="1724" spans="1:20">
      <c r="A1724" s="22" t="s">
        <v>1818</v>
      </c>
      <c r="H1724" s="22" t="str">
        <f t="shared" si="126"/>
        <v/>
      </c>
      <c r="J1724" s="32"/>
      <c r="R1724" s="24" t="str">
        <f t="shared" si="127"/>
        <v/>
      </c>
      <c r="S1724" s="24" t="str">
        <f t="shared" si="128"/>
        <v/>
      </c>
      <c r="T1724" t="str">
        <f t="shared" si="125"/>
        <v/>
      </c>
    </row>
    <row r="1725" spans="1:20">
      <c r="A1725" s="22" t="s">
        <v>1819</v>
      </c>
      <c r="H1725" s="22" t="str">
        <f t="shared" si="126"/>
        <v/>
      </c>
      <c r="J1725" s="32"/>
      <c r="R1725" s="24" t="str">
        <f t="shared" si="127"/>
        <v/>
      </c>
      <c r="S1725" s="24" t="str">
        <f t="shared" si="128"/>
        <v/>
      </c>
      <c r="T1725" t="str">
        <f t="shared" si="125"/>
        <v/>
      </c>
    </row>
    <row r="1726" spans="1:20">
      <c r="A1726" s="22" t="s">
        <v>1820</v>
      </c>
      <c r="H1726" s="22" t="str">
        <f t="shared" si="126"/>
        <v/>
      </c>
      <c r="J1726" s="32"/>
      <c r="R1726" s="24" t="str">
        <f t="shared" si="127"/>
        <v/>
      </c>
      <c r="S1726" s="24" t="str">
        <f t="shared" si="128"/>
        <v/>
      </c>
      <c r="T1726" t="str">
        <f t="shared" si="125"/>
        <v/>
      </c>
    </row>
    <row r="1727" spans="1:20">
      <c r="A1727" s="22" t="s">
        <v>1821</v>
      </c>
      <c r="H1727" s="22" t="str">
        <f t="shared" si="126"/>
        <v/>
      </c>
      <c r="J1727" s="32"/>
      <c r="R1727" s="24" t="str">
        <f t="shared" si="127"/>
        <v/>
      </c>
      <c r="S1727" s="24" t="str">
        <f t="shared" si="128"/>
        <v/>
      </c>
      <c r="T1727" t="str">
        <f t="shared" si="125"/>
        <v/>
      </c>
    </row>
    <row r="1728" spans="1:20">
      <c r="A1728" s="22" t="s">
        <v>1822</v>
      </c>
      <c r="H1728" s="22" t="str">
        <f t="shared" si="126"/>
        <v/>
      </c>
      <c r="J1728" s="32"/>
      <c r="R1728" s="24" t="str">
        <f t="shared" si="127"/>
        <v/>
      </c>
      <c r="S1728" s="24" t="str">
        <f t="shared" si="128"/>
        <v/>
      </c>
      <c r="T1728" t="str">
        <f t="shared" si="125"/>
        <v/>
      </c>
    </row>
    <row r="1729" spans="1:20">
      <c r="A1729" s="22" t="s">
        <v>1823</v>
      </c>
      <c r="H1729" s="22" t="str">
        <f t="shared" si="126"/>
        <v/>
      </c>
      <c r="J1729" s="32"/>
      <c r="R1729" s="24" t="str">
        <f t="shared" si="127"/>
        <v/>
      </c>
      <c r="S1729" s="24" t="str">
        <f t="shared" si="128"/>
        <v/>
      </c>
      <c r="T1729" t="str">
        <f t="shared" si="125"/>
        <v/>
      </c>
    </row>
    <row r="1730" spans="1:20">
      <c r="A1730" s="22" t="s">
        <v>1824</v>
      </c>
      <c r="H1730" s="22" t="str">
        <f t="shared" si="126"/>
        <v/>
      </c>
      <c r="J1730" s="32"/>
      <c r="R1730" s="24" t="str">
        <f t="shared" si="127"/>
        <v/>
      </c>
      <c r="S1730" s="24" t="str">
        <f t="shared" si="128"/>
        <v/>
      </c>
      <c r="T1730" t="str">
        <f t="shared" si="125"/>
        <v/>
      </c>
    </row>
    <row r="1731" spans="1:20">
      <c r="A1731" s="22" t="s">
        <v>1825</v>
      </c>
      <c r="H1731" s="22" t="str">
        <f t="shared" si="126"/>
        <v/>
      </c>
      <c r="J1731" s="32"/>
      <c r="R1731" s="24" t="str">
        <f t="shared" si="127"/>
        <v/>
      </c>
      <c r="S1731" s="24" t="str">
        <f t="shared" si="128"/>
        <v/>
      </c>
      <c r="T1731" t="str">
        <f t="shared" si="125"/>
        <v/>
      </c>
    </row>
    <row r="1732" spans="1:20">
      <c r="A1732" s="22" t="s">
        <v>1826</v>
      </c>
      <c r="H1732" s="22" t="str">
        <f t="shared" si="126"/>
        <v/>
      </c>
      <c r="J1732" s="32"/>
      <c r="R1732" s="24" t="str">
        <f t="shared" si="127"/>
        <v/>
      </c>
      <c r="S1732" s="24" t="str">
        <f t="shared" si="128"/>
        <v/>
      </c>
      <c r="T1732" t="str">
        <f t="shared" si="125"/>
        <v/>
      </c>
    </row>
    <row r="1733" spans="1:20">
      <c r="A1733" s="22" t="s">
        <v>1827</v>
      </c>
      <c r="H1733" s="22" t="str">
        <f t="shared" si="126"/>
        <v/>
      </c>
      <c r="J1733" s="32"/>
      <c r="R1733" s="24" t="str">
        <f t="shared" si="127"/>
        <v/>
      </c>
      <c r="S1733" s="24" t="str">
        <f t="shared" si="128"/>
        <v/>
      </c>
      <c r="T1733" t="str">
        <f t="shared" si="125"/>
        <v/>
      </c>
    </row>
    <row r="1734" spans="1:20">
      <c r="A1734" s="22" t="s">
        <v>1828</v>
      </c>
      <c r="H1734" s="22" t="str">
        <f t="shared" si="126"/>
        <v/>
      </c>
      <c r="J1734" s="32"/>
      <c r="R1734" s="24" t="str">
        <f t="shared" si="127"/>
        <v/>
      </c>
      <c r="S1734" s="24" t="str">
        <f t="shared" si="128"/>
        <v/>
      </c>
      <c r="T1734" t="str">
        <f t="shared" si="125"/>
        <v/>
      </c>
    </row>
    <row r="1735" spans="1:20">
      <c r="A1735" s="22" t="s">
        <v>1829</v>
      </c>
      <c r="H1735" s="22" t="str">
        <f t="shared" si="126"/>
        <v/>
      </c>
      <c r="J1735" s="32"/>
      <c r="R1735" s="24" t="str">
        <f t="shared" si="127"/>
        <v/>
      </c>
      <c r="S1735" s="24" t="str">
        <f t="shared" si="128"/>
        <v/>
      </c>
      <c r="T1735" t="str">
        <f t="shared" si="125"/>
        <v/>
      </c>
    </row>
    <row r="1736" spans="1:20">
      <c r="A1736" s="22" t="s">
        <v>1830</v>
      </c>
      <c r="H1736" s="22" t="str">
        <f t="shared" si="126"/>
        <v/>
      </c>
      <c r="J1736" s="32"/>
      <c r="R1736" s="24" t="str">
        <f t="shared" si="127"/>
        <v/>
      </c>
      <c r="S1736" s="24" t="str">
        <f t="shared" si="128"/>
        <v/>
      </c>
      <c r="T1736" t="str">
        <f t="shared" si="125"/>
        <v/>
      </c>
    </row>
    <row r="1737" spans="1:20">
      <c r="A1737" s="22" t="s">
        <v>1831</v>
      </c>
      <c r="H1737" s="22" t="str">
        <f t="shared" si="126"/>
        <v/>
      </c>
      <c r="J1737" s="32"/>
      <c r="R1737" s="24" t="str">
        <f t="shared" si="127"/>
        <v/>
      </c>
      <c r="S1737" s="24" t="str">
        <f t="shared" si="128"/>
        <v/>
      </c>
      <c r="T1737" t="str">
        <f t="shared" si="125"/>
        <v/>
      </c>
    </row>
    <row r="1738" spans="1:20">
      <c r="A1738" s="22" t="s">
        <v>1832</v>
      </c>
      <c r="H1738" s="22" t="str">
        <f t="shared" si="126"/>
        <v/>
      </c>
      <c r="J1738" s="32"/>
      <c r="R1738" s="24" t="str">
        <f t="shared" si="127"/>
        <v/>
      </c>
      <c r="S1738" s="24" t="str">
        <f t="shared" si="128"/>
        <v/>
      </c>
      <c r="T1738" t="str">
        <f t="shared" si="125"/>
        <v/>
      </c>
    </row>
    <row r="1739" spans="1:20">
      <c r="A1739" s="22" t="s">
        <v>1833</v>
      </c>
      <c r="H1739" s="22" t="str">
        <f t="shared" si="126"/>
        <v/>
      </c>
      <c r="J1739" s="32"/>
      <c r="R1739" s="24" t="str">
        <f t="shared" si="127"/>
        <v/>
      </c>
      <c r="S1739" s="24" t="str">
        <f t="shared" si="128"/>
        <v/>
      </c>
      <c r="T1739" t="str">
        <f t="shared" si="125"/>
        <v/>
      </c>
    </row>
    <row r="1740" spans="1:20">
      <c r="A1740" s="22" t="s">
        <v>1834</v>
      </c>
      <c r="H1740" s="22" t="str">
        <f t="shared" si="126"/>
        <v/>
      </c>
      <c r="J1740" s="32"/>
      <c r="R1740" s="24" t="str">
        <f t="shared" si="127"/>
        <v/>
      </c>
      <c r="S1740" s="24" t="str">
        <f t="shared" si="128"/>
        <v/>
      </c>
      <c r="T1740" t="str">
        <f t="shared" si="125"/>
        <v/>
      </c>
    </row>
    <row r="1741" spans="1:20">
      <c r="A1741" s="22" t="s">
        <v>1835</v>
      </c>
      <c r="H1741" s="22" t="str">
        <f t="shared" si="126"/>
        <v/>
      </c>
      <c r="J1741" s="32"/>
      <c r="R1741" s="24" t="str">
        <f t="shared" si="127"/>
        <v/>
      </c>
      <c r="S1741" s="24" t="str">
        <f t="shared" si="128"/>
        <v/>
      </c>
      <c r="T1741" t="str">
        <f t="shared" si="125"/>
        <v/>
      </c>
    </row>
    <row r="1742" spans="1:20">
      <c r="A1742" s="22" t="s">
        <v>1836</v>
      </c>
      <c r="H1742" s="22" t="str">
        <f t="shared" si="126"/>
        <v/>
      </c>
      <c r="J1742" s="32"/>
      <c r="R1742" s="24" t="str">
        <f t="shared" si="127"/>
        <v/>
      </c>
      <c r="S1742" s="24" t="str">
        <f t="shared" si="128"/>
        <v/>
      </c>
      <c r="T1742" t="str">
        <f t="shared" si="125"/>
        <v/>
      </c>
    </row>
    <row r="1743" spans="1:20">
      <c r="A1743" s="22" t="s">
        <v>1837</v>
      </c>
      <c r="H1743" s="22" t="str">
        <f t="shared" si="126"/>
        <v/>
      </c>
      <c r="J1743" s="32"/>
      <c r="R1743" s="24" t="str">
        <f t="shared" si="127"/>
        <v/>
      </c>
      <c r="S1743" s="24" t="str">
        <f t="shared" si="128"/>
        <v/>
      </c>
      <c r="T1743" t="str">
        <f t="shared" ref="T1743:T1806" si="129">IF(OR(C1743="",I1743&lt;&gt;"ENTRADA"),"",TEXT(B1743,"AAMMDD")&amp;"-"&amp;TEXT(VALUE(SUBSTITUTE(A1743,"MOV-","")),"000"))</f>
        <v/>
      </c>
    </row>
    <row r="1744" spans="1:20">
      <c r="A1744" s="22" t="s">
        <v>1838</v>
      </c>
      <c r="H1744" s="22" t="str">
        <f t="shared" ref="H1744:H1807" si="130">+T1744</f>
        <v/>
      </c>
      <c r="J1744" s="32"/>
      <c r="R1744" s="24" t="str">
        <f t="shared" ref="R1744:R1807" si="131">IF(H1744="","",H1744&amp;I1744)</f>
        <v/>
      </c>
      <c r="S1744" s="24" t="str">
        <f t="shared" ref="S1744:S1807" si="132">IF(C1744="","",C1744&amp;I1744)</f>
        <v/>
      </c>
      <c r="T1744" t="str">
        <f t="shared" si="129"/>
        <v/>
      </c>
    </row>
    <row r="1745" spans="1:20">
      <c r="A1745" s="22" t="s">
        <v>1839</v>
      </c>
      <c r="H1745" s="22" t="str">
        <f t="shared" si="130"/>
        <v/>
      </c>
      <c r="J1745" s="32"/>
      <c r="R1745" s="24" t="str">
        <f t="shared" si="131"/>
        <v/>
      </c>
      <c r="S1745" s="24" t="str">
        <f t="shared" si="132"/>
        <v/>
      </c>
      <c r="T1745" t="str">
        <f t="shared" si="129"/>
        <v/>
      </c>
    </row>
    <row r="1746" spans="1:20">
      <c r="A1746" s="22" t="s">
        <v>1840</v>
      </c>
      <c r="H1746" s="22" t="str">
        <f t="shared" si="130"/>
        <v/>
      </c>
      <c r="J1746" s="32"/>
      <c r="R1746" s="24" t="str">
        <f t="shared" si="131"/>
        <v/>
      </c>
      <c r="S1746" s="24" t="str">
        <f t="shared" si="132"/>
        <v/>
      </c>
      <c r="T1746" t="str">
        <f t="shared" si="129"/>
        <v/>
      </c>
    </row>
    <row r="1747" spans="1:20">
      <c r="A1747" s="22" t="s">
        <v>1841</v>
      </c>
      <c r="H1747" s="22" t="str">
        <f t="shared" si="130"/>
        <v/>
      </c>
      <c r="J1747" s="32"/>
      <c r="R1747" s="24" t="str">
        <f t="shared" si="131"/>
        <v/>
      </c>
      <c r="S1747" s="24" t="str">
        <f t="shared" si="132"/>
        <v/>
      </c>
      <c r="T1747" t="str">
        <f t="shared" si="129"/>
        <v/>
      </c>
    </row>
    <row r="1748" spans="1:20">
      <c r="A1748" s="22" t="s">
        <v>1842</v>
      </c>
      <c r="H1748" s="22" t="str">
        <f t="shared" si="130"/>
        <v/>
      </c>
      <c r="J1748" s="32"/>
      <c r="R1748" s="24" t="str">
        <f t="shared" si="131"/>
        <v/>
      </c>
      <c r="S1748" s="24" t="str">
        <f t="shared" si="132"/>
        <v/>
      </c>
      <c r="T1748" t="str">
        <f t="shared" si="129"/>
        <v/>
      </c>
    </row>
    <row r="1749" spans="1:20">
      <c r="A1749" s="22" t="s">
        <v>1843</v>
      </c>
      <c r="H1749" s="22" t="str">
        <f t="shared" si="130"/>
        <v/>
      </c>
      <c r="J1749" s="32"/>
      <c r="R1749" s="24" t="str">
        <f t="shared" si="131"/>
        <v/>
      </c>
      <c r="S1749" s="24" t="str">
        <f t="shared" si="132"/>
        <v/>
      </c>
      <c r="T1749" t="str">
        <f t="shared" si="129"/>
        <v/>
      </c>
    </row>
    <row r="1750" spans="1:20">
      <c r="A1750" s="22" t="s">
        <v>1844</v>
      </c>
      <c r="H1750" s="22" t="str">
        <f t="shared" si="130"/>
        <v/>
      </c>
      <c r="J1750" s="32"/>
      <c r="R1750" s="24" t="str">
        <f t="shared" si="131"/>
        <v/>
      </c>
      <c r="S1750" s="24" t="str">
        <f t="shared" si="132"/>
        <v/>
      </c>
      <c r="T1750" t="str">
        <f t="shared" si="129"/>
        <v/>
      </c>
    </row>
    <row r="1751" spans="1:20">
      <c r="A1751" s="22" t="s">
        <v>1845</v>
      </c>
      <c r="H1751" s="22" t="str">
        <f t="shared" si="130"/>
        <v/>
      </c>
      <c r="J1751" s="32"/>
      <c r="R1751" s="24" t="str">
        <f t="shared" si="131"/>
        <v/>
      </c>
      <c r="S1751" s="24" t="str">
        <f t="shared" si="132"/>
        <v/>
      </c>
      <c r="T1751" t="str">
        <f t="shared" si="129"/>
        <v/>
      </c>
    </row>
    <row r="1752" spans="1:20">
      <c r="A1752" s="22" t="s">
        <v>1846</v>
      </c>
      <c r="H1752" s="22" t="str">
        <f t="shared" si="130"/>
        <v/>
      </c>
      <c r="J1752" s="32"/>
      <c r="R1752" s="24" t="str">
        <f t="shared" si="131"/>
        <v/>
      </c>
      <c r="S1752" s="24" t="str">
        <f t="shared" si="132"/>
        <v/>
      </c>
      <c r="T1752" t="str">
        <f t="shared" si="129"/>
        <v/>
      </c>
    </row>
    <row r="1753" spans="1:20">
      <c r="A1753" s="22" t="s">
        <v>1847</v>
      </c>
      <c r="H1753" s="22" t="str">
        <f t="shared" si="130"/>
        <v/>
      </c>
      <c r="J1753" s="32"/>
      <c r="R1753" s="24" t="str">
        <f t="shared" si="131"/>
        <v/>
      </c>
      <c r="S1753" s="24" t="str">
        <f t="shared" si="132"/>
        <v/>
      </c>
      <c r="T1753" t="str">
        <f t="shared" si="129"/>
        <v/>
      </c>
    </row>
    <row r="1754" spans="1:20">
      <c r="A1754" s="22" t="s">
        <v>1848</v>
      </c>
      <c r="H1754" s="22" t="str">
        <f t="shared" si="130"/>
        <v/>
      </c>
      <c r="J1754" s="32"/>
      <c r="R1754" s="24" t="str">
        <f t="shared" si="131"/>
        <v/>
      </c>
      <c r="S1754" s="24" t="str">
        <f t="shared" si="132"/>
        <v/>
      </c>
      <c r="T1754" t="str">
        <f t="shared" si="129"/>
        <v/>
      </c>
    </row>
    <row r="1755" spans="1:20">
      <c r="A1755" s="22" t="s">
        <v>1849</v>
      </c>
      <c r="H1755" s="22" t="str">
        <f t="shared" si="130"/>
        <v/>
      </c>
      <c r="J1755" s="32"/>
      <c r="R1755" s="24" t="str">
        <f t="shared" si="131"/>
        <v/>
      </c>
      <c r="S1755" s="24" t="str">
        <f t="shared" si="132"/>
        <v/>
      </c>
      <c r="T1755" t="str">
        <f t="shared" si="129"/>
        <v/>
      </c>
    </row>
    <row r="1756" spans="1:20">
      <c r="A1756" s="22" t="s">
        <v>1850</v>
      </c>
      <c r="H1756" s="22" t="str">
        <f t="shared" si="130"/>
        <v/>
      </c>
      <c r="J1756" s="32"/>
      <c r="R1756" s="24" t="str">
        <f t="shared" si="131"/>
        <v/>
      </c>
      <c r="S1756" s="24" t="str">
        <f t="shared" si="132"/>
        <v/>
      </c>
      <c r="T1756" t="str">
        <f t="shared" si="129"/>
        <v/>
      </c>
    </row>
    <row r="1757" spans="1:20">
      <c r="A1757" s="22" t="s">
        <v>1851</v>
      </c>
      <c r="H1757" s="22" t="str">
        <f t="shared" si="130"/>
        <v/>
      </c>
      <c r="J1757" s="32"/>
      <c r="R1757" s="24" t="str">
        <f t="shared" si="131"/>
        <v/>
      </c>
      <c r="S1757" s="24" t="str">
        <f t="shared" si="132"/>
        <v/>
      </c>
      <c r="T1757" t="str">
        <f t="shared" si="129"/>
        <v/>
      </c>
    </row>
    <row r="1758" spans="1:20">
      <c r="A1758" s="22" t="s">
        <v>1852</v>
      </c>
      <c r="H1758" s="22" t="str">
        <f t="shared" si="130"/>
        <v/>
      </c>
      <c r="J1758" s="32"/>
      <c r="R1758" s="24" t="str">
        <f t="shared" si="131"/>
        <v/>
      </c>
      <c r="S1758" s="24" t="str">
        <f t="shared" si="132"/>
        <v/>
      </c>
      <c r="T1758" t="str">
        <f t="shared" si="129"/>
        <v/>
      </c>
    </row>
    <row r="1759" spans="1:20">
      <c r="A1759" s="22" t="s">
        <v>1853</v>
      </c>
      <c r="H1759" s="22" t="str">
        <f t="shared" si="130"/>
        <v/>
      </c>
      <c r="J1759" s="32"/>
      <c r="R1759" s="24" t="str">
        <f t="shared" si="131"/>
        <v/>
      </c>
      <c r="S1759" s="24" t="str">
        <f t="shared" si="132"/>
        <v/>
      </c>
      <c r="T1759" t="str">
        <f t="shared" si="129"/>
        <v/>
      </c>
    </row>
    <row r="1760" spans="1:20">
      <c r="A1760" s="22" t="s">
        <v>1854</v>
      </c>
      <c r="H1760" s="22" t="str">
        <f t="shared" si="130"/>
        <v/>
      </c>
      <c r="J1760" s="32"/>
      <c r="R1760" s="24" t="str">
        <f t="shared" si="131"/>
        <v/>
      </c>
      <c r="S1760" s="24" t="str">
        <f t="shared" si="132"/>
        <v/>
      </c>
      <c r="T1760" t="str">
        <f t="shared" si="129"/>
        <v/>
      </c>
    </row>
    <row r="1761" spans="1:20">
      <c r="A1761" s="22" t="s">
        <v>1855</v>
      </c>
      <c r="H1761" s="22" t="str">
        <f t="shared" si="130"/>
        <v/>
      </c>
      <c r="J1761" s="32"/>
      <c r="R1761" s="24" t="str">
        <f t="shared" si="131"/>
        <v/>
      </c>
      <c r="S1761" s="24" t="str">
        <f t="shared" si="132"/>
        <v/>
      </c>
      <c r="T1761" t="str">
        <f t="shared" si="129"/>
        <v/>
      </c>
    </row>
    <row r="1762" spans="1:20">
      <c r="A1762" s="22" t="s">
        <v>1856</v>
      </c>
      <c r="H1762" s="22" t="str">
        <f t="shared" si="130"/>
        <v/>
      </c>
      <c r="J1762" s="32"/>
      <c r="R1762" s="24" t="str">
        <f t="shared" si="131"/>
        <v/>
      </c>
      <c r="S1762" s="24" t="str">
        <f t="shared" si="132"/>
        <v/>
      </c>
      <c r="T1762" t="str">
        <f t="shared" si="129"/>
        <v/>
      </c>
    </row>
    <row r="1763" spans="1:20">
      <c r="A1763" s="22" t="s">
        <v>1857</v>
      </c>
      <c r="H1763" s="22" t="str">
        <f t="shared" si="130"/>
        <v/>
      </c>
      <c r="J1763" s="32"/>
      <c r="R1763" s="24" t="str">
        <f t="shared" si="131"/>
        <v/>
      </c>
      <c r="S1763" s="24" t="str">
        <f t="shared" si="132"/>
        <v/>
      </c>
      <c r="T1763" t="str">
        <f t="shared" si="129"/>
        <v/>
      </c>
    </row>
    <row r="1764" spans="1:20">
      <c r="A1764" s="22" t="s">
        <v>1858</v>
      </c>
      <c r="H1764" s="22" t="str">
        <f t="shared" si="130"/>
        <v/>
      </c>
      <c r="J1764" s="32"/>
      <c r="R1764" s="24" t="str">
        <f t="shared" si="131"/>
        <v/>
      </c>
      <c r="S1764" s="24" t="str">
        <f t="shared" si="132"/>
        <v/>
      </c>
      <c r="T1764" t="str">
        <f t="shared" si="129"/>
        <v/>
      </c>
    </row>
    <row r="1765" spans="1:20">
      <c r="A1765" s="22" t="s">
        <v>1859</v>
      </c>
      <c r="H1765" s="22" t="str">
        <f t="shared" si="130"/>
        <v/>
      </c>
      <c r="J1765" s="32"/>
      <c r="R1765" s="24" t="str">
        <f t="shared" si="131"/>
        <v/>
      </c>
      <c r="S1765" s="24" t="str">
        <f t="shared" si="132"/>
        <v/>
      </c>
      <c r="T1765" t="str">
        <f t="shared" si="129"/>
        <v/>
      </c>
    </row>
    <row r="1766" spans="1:20">
      <c r="A1766" s="22" t="s">
        <v>1860</v>
      </c>
      <c r="H1766" s="22" t="str">
        <f t="shared" si="130"/>
        <v/>
      </c>
      <c r="J1766" s="32"/>
      <c r="R1766" s="24" t="str">
        <f t="shared" si="131"/>
        <v/>
      </c>
      <c r="S1766" s="24" t="str">
        <f t="shared" si="132"/>
        <v/>
      </c>
      <c r="T1766" t="str">
        <f t="shared" si="129"/>
        <v/>
      </c>
    </row>
    <row r="1767" spans="1:20">
      <c r="A1767" s="22" t="s">
        <v>1861</v>
      </c>
      <c r="H1767" s="22" t="str">
        <f t="shared" si="130"/>
        <v/>
      </c>
      <c r="J1767" s="32"/>
      <c r="R1767" s="24" t="str">
        <f t="shared" si="131"/>
        <v/>
      </c>
      <c r="S1767" s="24" t="str">
        <f t="shared" si="132"/>
        <v/>
      </c>
      <c r="T1767" t="str">
        <f t="shared" si="129"/>
        <v/>
      </c>
    </row>
    <row r="1768" spans="1:20">
      <c r="A1768" s="22" t="s">
        <v>1862</v>
      </c>
      <c r="H1768" s="22" t="str">
        <f t="shared" si="130"/>
        <v/>
      </c>
      <c r="J1768" s="32"/>
      <c r="R1768" s="24" t="str">
        <f t="shared" si="131"/>
        <v/>
      </c>
      <c r="S1768" s="24" t="str">
        <f t="shared" si="132"/>
        <v/>
      </c>
      <c r="T1768" t="str">
        <f t="shared" si="129"/>
        <v/>
      </c>
    </row>
    <row r="1769" spans="1:20">
      <c r="A1769" s="22" t="s">
        <v>1863</v>
      </c>
      <c r="H1769" s="22" t="str">
        <f t="shared" si="130"/>
        <v/>
      </c>
      <c r="J1769" s="32"/>
      <c r="R1769" s="24" t="str">
        <f t="shared" si="131"/>
        <v/>
      </c>
      <c r="S1769" s="24" t="str">
        <f t="shared" si="132"/>
        <v/>
      </c>
      <c r="T1769" t="str">
        <f t="shared" si="129"/>
        <v/>
      </c>
    </row>
    <row r="1770" spans="1:20">
      <c r="A1770" s="22" t="s">
        <v>1864</v>
      </c>
      <c r="H1770" s="22" t="str">
        <f t="shared" si="130"/>
        <v/>
      </c>
      <c r="J1770" s="32"/>
      <c r="R1770" s="24" t="str">
        <f t="shared" si="131"/>
        <v/>
      </c>
      <c r="S1770" s="24" t="str">
        <f t="shared" si="132"/>
        <v/>
      </c>
      <c r="T1770" t="str">
        <f t="shared" si="129"/>
        <v/>
      </c>
    </row>
    <row r="1771" spans="1:20">
      <c r="A1771" s="22" t="s">
        <v>1865</v>
      </c>
      <c r="H1771" s="22" t="str">
        <f t="shared" si="130"/>
        <v/>
      </c>
      <c r="J1771" s="32"/>
      <c r="R1771" s="24" t="str">
        <f t="shared" si="131"/>
        <v/>
      </c>
      <c r="S1771" s="24" t="str">
        <f t="shared" si="132"/>
        <v/>
      </c>
      <c r="T1771" t="str">
        <f t="shared" si="129"/>
        <v/>
      </c>
    </row>
    <row r="1772" spans="1:20">
      <c r="A1772" s="22" t="s">
        <v>1866</v>
      </c>
      <c r="H1772" s="22" t="str">
        <f t="shared" si="130"/>
        <v/>
      </c>
      <c r="J1772" s="32"/>
      <c r="R1772" s="24" t="str">
        <f t="shared" si="131"/>
        <v/>
      </c>
      <c r="S1772" s="24" t="str">
        <f t="shared" si="132"/>
        <v/>
      </c>
      <c r="T1772" t="str">
        <f t="shared" si="129"/>
        <v/>
      </c>
    </row>
    <row r="1773" spans="1:20">
      <c r="A1773" s="22" t="s">
        <v>1867</v>
      </c>
      <c r="H1773" s="22" t="str">
        <f t="shared" si="130"/>
        <v/>
      </c>
      <c r="J1773" s="32"/>
      <c r="R1773" s="24" t="str">
        <f t="shared" si="131"/>
        <v/>
      </c>
      <c r="S1773" s="24" t="str">
        <f t="shared" si="132"/>
        <v/>
      </c>
      <c r="T1773" t="str">
        <f t="shared" si="129"/>
        <v/>
      </c>
    </row>
    <row r="1774" spans="1:20">
      <c r="A1774" s="22" t="s">
        <v>1868</v>
      </c>
      <c r="H1774" s="22" t="str">
        <f t="shared" si="130"/>
        <v/>
      </c>
      <c r="J1774" s="32"/>
      <c r="R1774" s="24" t="str">
        <f t="shared" si="131"/>
        <v/>
      </c>
      <c r="S1774" s="24" t="str">
        <f t="shared" si="132"/>
        <v/>
      </c>
      <c r="T1774" t="str">
        <f t="shared" si="129"/>
        <v/>
      </c>
    </row>
    <row r="1775" spans="1:20">
      <c r="A1775" s="22" t="s">
        <v>1869</v>
      </c>
      <c r="H1775" s="22" t="str">
        <f t="shared" si="130"/>
        <v/>
      </c>
      <c r="J1775" s="32"/>
      <c r="R1775" s="24" t="str">
        <f t="shared" si="131"/>
        <v/>
      </c>
      <c r="S1775" s="24" t="str">
        <f t="shared" si="132"/>
        <v/>
      </c>
      <c r="T1775" t="str">
        <f t="shared" si="129"/>
        <v/>
      </c>
    </row>
    <row r="1776" spans="1:20">
      <c r="A1776" s="22" t="s">
        <v>1870</v>
      </c>
      <c r="H1776" s="22" t="str">
        <f t="shared" si="130"/>
        <v/>
      </c>
      <c r="J1776" s="32"/>
      <c r="R1776" s="24" t="str">
        <f t="shared" si="131"/>
        <v/>
      </c>
      <c r="S1776" s="24" t="str">
        <f t="shared" si="132"/>
        <v/>
      </c>
      <c r="T1776" t="str">
        <f t="shared" si="129"/>
        <v/>
      </c>
    </row>
    <row r="1777" spans="1:20">
      <c r="A1777" s="22" t="s">
        <v>1871</v>
      </c>
      <c r="H1777" s="22" t="str">
        <f t="shared" si="130"/>
        <v/>
      </c>
      <c r="J1777" s="32"/>
      <c r="R1777" s="24" t="str">
        <f t="shared" si="131"/>
        <v/>
      </c>
      <c r="S1777" s="24" t="str">
        <f t="shared" si="132"/>
        <v/>
      </c>
      <c r="T1777" t="str">
        <f t="shared" si="129"/>
        <v/>
      </c>
    </row>
    <row r="1778" spans="1:20">
      <c r="A1778" s="22" t="s">
        <v>1872</v>
      </c>
      <c r="H1778" s="22" t="str">
        <f t="shared" si="130"/>
        <v/>
      </c>
      <c r="J1778" s="32"/>
      <c r="R1778" s="24" t="str">
        <f t="shared" si="131"/>
        <v/>
      </c>
      <c r="S1778" s="24" t="str">
        <f t="shared" si="132"/>
        <v/>
      </c>
      <c r="T1778" t="str">
        <f t="shared" si="129"/>
        <v/>
      </c>
    </row>
    <row r="1779" spans="1:20">
      <c r="A1779" s="22" t="s">
        <v>1873</v>
      </c>
      <c r="H1779" s="22" t="str">
        <f t="shared" si="130"/>
        <v/>
      </c>
      <c r="J1779" s="32"/>
      <c r="R1779" s="24" t="str">
        <f t="shared" si="131"/>
        <v/>
      </c>
      <c r="S1779" s="24" t="str">
        <f t="shared" si="132"/>
        <v/>
      </c>
      <c r="T1779" t="str">
        <f t="shared" si="129"/>
        <v/>
      </c>
    </row>
    <row r="1780" spans="1:20">
      <c r="A1780" s="22" t="s">
        <v>1874</v>
      </c>
      <c r="H1780" s="22" t="str">
        <f t="shared" si="130"/>
        <v/>
      </c>
      <c r="J1780" s="32"/>
      <c r="R1780" s="24" t="str">
        <f t="shared" si="131"/>
        <v/>
      </c>
      <c r="S1780" s="24" t="str">
        <f t="shared" si="132"/>
        <v/>
      </c>
      <c r="T1780" t="str">
        <f t="shared" si="129"/>
        <v/>
      </c>
    </row>
    <row r="1781" spans="1:20">
      <c r="A1781" s="22" t="s">
        <v>1875</v>
      </c>
      <c r="H1781" s="22" t="str">
        <f t="shared" si="130"/>
        <v/>
      </c>
      <c r="J1781" s="32"/>
      <c r="R1781" s="24" t="str">
        <f t="shared" si="131"/>
        <v/>
      </c>
      <c r="S1781" s="24" t="str">
        <f t="shared" si="132"/>
        <v/>
      </c>
      <c r="T1781" t="str">
        <f t="shared" si="129"/>
        <v/>
      </c>
    </row>
    <row r="1782" spans="1:20">
      <c r="A1782" s="22" t="s">
        <v>1876</v>
      </c>
      <c r="H1782" s="22" t="str">
        <f t="shared" si="130"/>
        <v/>
      </c>
      <c r="J1782" s="32"/>
      <c r="R1782" s="24" t="str">
        <f t="shared" si="131"/>
        <v/>
      </c>
      <c r="S1782" s="24" t="str">
        <f t="shared" si="132"/>
        <v/>
      </c>
      <c r="T1782" t="str">
        <f t="shared" si="129"/>
        <v/>
      </c>
    </row>
    <row r="1783" spans="1:20">
      <c r="A1783" s="22" t="s">
        <v>1877</v>
      </c>
      <c r="H1783" s="22" t="str">
        <f t="shared" si="130"/>
        <v/>
      </c>
      <c r="J1783" s="32"/>
      <c r="R1783" s="24" t="str">
        <f t="shared" si="131"/>
        <v/>
      </c>
      <c r="S1783" s="24" t="str">
        <f t="shared" si="132"/>
        <v/>
      </c>
      <c r="T1783" t="str">
        <f t="shared" si="129"/>
        <v/>
      </c>
    </row>
    <row r="1784" spans="1:20">
      <c r="A1784" s="22" t="s">
        <v>1878</v>
      </c>
      <c r="H1784" s="22" t="str">
        <f t="shared" si="130"/>
        <v/>
      </c>
      <c r="J1784" s="32"/>
      <c r="R1784" s="24" t="str">
        <f t="shared" si="131"/>
        <v/>
      </c>
      <c r="S1784" s="24" t="str">
        <f t="shared" si="132"/>
        <v/>
      </c>
      <c r="T1784" t="str">
        <f t="shared" si="129"/>
        <v/>
      </c>
    </row>
    <row r="1785" spans="1:20">
      <c r="A1785" s="22" t="s">
        <v>1879</v>
      </c>
      <c r="H1785" s="22" t="str">
        <f t="shared" si="130"/>
        <v/>
      </c>
      <c r="J1785" s="32"/>
      <c r="R1785" s="24" t="str">
        <f t="shared" si="131"/>
        <v/>
      </c>
      <c r="S1785" s="24" t="str">
        <f t="shared" si="132"/>
        <v/>
      </c>
      <c r="T1785" t="str">
        <f t="shared" si="129"/>
        <v/>
      </c>
    </row>
    <row r="1786" spans="1:20">
      <c r="A1786" s="22" t="s">
        <v>1880</v>
      </c>
      <c r="H1786" s="22" t="str">
        <f t="shared" si="130"/>
        <v/>
      </c>
      <c r="J1786" s="32"/>
      <c r="R1786" s="24" t="str">
        <f t="shared" si="131"/>
        <v/>
      </c>
      <c r="S1786" s="24" t="str">
        <f t="shared" si="132"/>
        <v/>
      </c>
      <c r="T1786" t="str">
        <f t="shared" si="129"/>
        <v/>
      </c>
    </row>
    <row r="1787" spans="1:20">
      <c r="A1787" s="22" t="s">
        <v>1881</v>
      </c>
      <c r="H1787" s="22" t="str">
        <f t="shared" si="130"/>
        <v/>
      </c>
      <c r="J1787" s="32"/>
      <c r="R1787" s="24" t="str">
        <f t="shared" si="131"/>
        <v/>
      </c>
      <c r="S1787" s="24" t="str">
        <f t="shared" si="132"/>
        <v/>
      </c>
      <c r="T1787" t="str">
        <f t="shared" si="129"/>
        <v/>
      </c>
    </row>
    <row r="1788" spans="1:20">
      <c r="A1788" s="22" t="s">
        <v>1882</v>
      </c>
      <c r="H1788" s="22" t="str">
        <f t="shared" si="130"/>
        <v/>
      </c>
      <c r="J1788" s="32"/>
      <c r="R1788" s="24" t="str">
        <f t="shared" si="131"/>
        <v/>
      </c>
      <c r="S1788" s="24" t="str">
        <f t="shared" si="132"/>
        <v/>
      </c>
      <c r="T1788" t="str">
        <f t="shared" si="129"/>
        <v/>
      </c>
    </row>
    <row r="1789" spans="1:20">
      <c r="A1789" s="22" t="s">
        <v>1883</v>
      </c>
      <c r="H1789" s="22" t="str">
        <f t="shared" si="130"/>
        <v/>
      </c>
      <c r="J1789" s="32"/>
      <c r="R1789" s="24" t="str">
        <f t="shared" si="131"/>
        <v/>
      </c>
      <c r="S1789" s="24" t="str">
        <f t="shared" si="132"/>
        <v/>
      </c>
      <c r="T1789" t="str">
        <f t="shared" si="129"/>
        <v/>
      </c>
    </row>
    <row r="1790" spans="1:20">
      <c r="A1790" s="22" t="s">
        <v>1884</v>
      </c>
      <c r="H1790" s="22" t="str">
        <f t="shared" si="130"/>
        <v/>
      </c>
      <c r="J1790" s="32"/>
      <c r="R1790" s="24" t="str">
        <f t="shared" si="131"/>
        <v/>
      </c>
      <c r="S1790" s="24" t="str">
        <f t="shared" si="132"/>
        <v/>
      </c>
      <c r="T1790" t="str">
        <f t="shared" si="129"/>
        <v/>
      </c>
    </row>
    <row r="1791" spans="1:20">
      <c r="A1791" s="22" t="s">
        <v>1885</v>
      </c>
      <c r="H1791" s="22" t="str">
        <f t="shared" si="130"/>
        <v/>
      </c>
      <c r="J1791" s="32"/>
      <c r="R1791" s="24" t="str">
        <f t="shared" si="131"/>
        <v/>
      </c>
      <c r="S1791" s="24" t="str">
        <f t="shared" si="132"/>
        <v/>
      </c>
      <c r="T1791" t="str">
        <f t="shared" si="129"/>
        <v/>
      </c>
    </row>
    <row r="1792" spans="1:20">
      <c r="A1792" s="22" t="s">
        <v>1886</v>
      </c>
      <c r="H1792" s="22" t="str">
        <f t="shared" si="130"/>
        <v/>
      </c>
      <c r="J1792" s="32"/>
      <c r="R1792" s="24" t="str">
        <f t="shared" si="131"/>
        <v/>
      </c>
      <c r="S1792" s="24" t="str">
        <f t="shared" si="132"/>
        <v/>
      </c>
      <c r="T1792" t="str">
        <f t="shared" si="129"/>
        <v/>
      </c>
    </row>
    <row r="1793" spans="1:20">
      <c r="A1793" s="22" t="s">
        <v>1887</v>
      </c>
      <c r="H1793" s="22" t="str">
        <f t="shared" si="130"/>
        <v/>
      </c>
      <c r="J1793" s="32"/>
      <c r="R1793" s="24" t="str">
        <f t="shared" si="131"/>
        <v/>
      </c>
      <c r="S1793" s="24" t="str">
        <f t="shared" si="132"/>
        <v/>
      </c>
      <c r="T1793" t="str">
        <f t="shared" si="129"/>
        <v/>
      </c>
    </row>
    <row r="1794" spans="1:20">
      <c r="A1794" s="22" t="s">
        <v>1888</v>
      </c>
      <c r="H1794" s="22" t="str">
        <f t="shared" si="130"/>
        <v/>
      </c>
      <c r="J1794" s="32"/>
      <c r="R1794" s="24" t="str">
        <f t="shared" si="131"/>
        <v/>
      </c>
      <c r="S1794" s="24" t="str">
        <f t="shared" si="132"/>
        <v/>
      </c>
      <c r="T1794" t="str">
        <f t="shared" si="129"/>
        <v/>
      </c>
    </row>
    <row r="1795" spans="1:20">
      <c r="A1795" s="22" t="s">
        <v>1889</v>
      </c>
      <c r="H1795" s="22" t="str">
        <f t="shared" si="130"/>
        <v/>
      </c>
      <c r="J1795" s="32"/>
      <c r="R1795" s="24" t="str">
        <f t="shared" si="131"/>
        <v/>
      </c>
      <c r="S1795" s="24" t="str">
        <f t="shared" si="132"/>
        <v/>
      </c>
      <c r="T1795" t="str">
        <f t="shared" si="129"/>
        <v/>
      </c>
    </row>
    <row r="1796" spans="1:20">
      <c r="A1796" s="22" t="s">
        <v>1890</v>
      </c>
      <c r="H1796" s="22" t="str">
        <f t="shared" si="130"/>
        <v/>
      </c>
      <c r="J1796" s="32"/>
      <c r="R1796" s="24" t="str">
        <f t="shared" si="131"/>
        <v/>
      </c>
      <c r="S1796" s="24" t="str">
        <f t="shared" si="132"/>
        <v/>
      </c>
      <c r="T1796" t="str">
        <f t="shared" si="129"/>
        <v/>
      </c>
    </row>
    <row r="1797" spans="1:20">
      <c r="A1797" s="22" t="s">
        <v>1891</v>
      </c>
      <c r="H1797" s="22" t="str">
        <f t="shared" si="130"/>
        <v/>
      </c>
      <c r="J1797" s="32"/>
      <c r="R1797" s="24" t="str">
        <f t="shared" si="131"/>
        <v/>
      </c>
      <c r="S1797" s="24" t="str">
        <f t="shared" si="132"/>
        <v/>
      </c>
      <c r="T1797" t="str">
        <f t="shared" si="129"/>
        <v/>
      </c>
    </row>
    <row r="1798" spans="1:20">
      <c r="A1798" s="22" t="s">
        <v>1892</v>
      </c>
      <c r="H1798" s="22" t="str">
        <f t="shared" si="130"/>
        <v/>
      </c>
      <c r="J1798" s="32"/>
      <c r="R1798" s="24" t="str">
        <f t="shared" si="131"/>
        <v/>
      </c>
      <c r="S1798" s="24" t="str">
        <f t="shared" si="132"/>
        <v/>
      </c>
      <c r="T1798" t="str">
        <f t="shared" si="129"/>
        <v/>
      </c>
    </row>
    <row r="1799" spans="1:20">
      <c r="A1799" s="22" t="s">
        <v>1893</v>
      </c>
      <c r="H1799" s="22" t="str">
        <f t="shared" si="130"/>
        <v/>
      </c>
      <c r="J1799" s="32"/>
      <c r="R1799" s="24" t="str">
        <f t="shared" si="131"/>
        <v/>
      </c>
      <c r="S1799" s="24" t="str">
        <f t="shared" si="132"/>
        <v/>
      </c>
      <c r="T1799" t="str">
        <f t="shared" si="129"/>
        <v/>
      </c>
    </row>
    <row r="1800" spans="1:20">
      <c r="A1800" s="22" t="s">
        <v>1894</v>
      </c>
      <c r="H1800" s="22" t="str">
        <f t="shared" si="130"/>
        <v/>
      </c>
      <c r="J1800" s="32"/>
      <c r="R1800" s="24" t="str">
        <f t="shared" si="131"/>
        <v/>
      </c>
      <c r="S1800" s="24" t="str">
        <f t="shared" si="132"/>
        <v/>
      </c>
      <c r="T1800" t="str">
        <f t="shared" si="129"/>
        <v/>
      </c>
    </row>
    <row r="1801" spans="1:20">
      <c r="A1801" s="22" t="s">
        <v>1895</v>
      </c>
      <c r="H1801" s="22" t="str">
        <f t="shared" si="130"/>
        <v/>
      </c>
      <c r="J1801" s="32"/>
      <c r="R1801" s="24" t="str">
        <f t="shared" si="131"/>
        <v/>
      </c>
      <c r="S1801" s="24" t="str">
        <f t="shared" si="132"/>
        <v/>
      </c>
      <c r="T1801" t="str">
        <f t="shared" si="129"/>
        <v/>
      </c>
    </row>
    <row r="1802" spans="1:20">
      <c r="A1802" s="22" t="s">
        <v>1896</v>
      </c>
      <c r="H1802" s="22" t="str">
        <f t="shared" si="130"/>
        <v/>
      </c>
      <c r="J1802" s="32"/>
      <c r="R1802" s="24" t="str">
        <f t="shared" si="131"/>
        <v/>
      </c>
      <c r="S1802" s="24" t="str">
        <f t="shared" si="132"/>
        <v/>
      </c>
      <c r="T1802" t="str">
        <f t="shared" si="129"/>
        <v/>
      </c>
    </row>
    <row r="1803" spans="1:20">
      <c r="A1803" s="22" t="s">
        <v>1897</v>
      </c>
      <c r="H1803" s="22" t="str">
        <f t="shared" si="130"/>
        <v/>
      </c>
      <c r="J1803" s="32"/>
      <c r="R1803" s="24" t="str">
        <f t="shared" si="131"/>
        <v/>
      </c>
      <c r="S1803" s="24" t="str">
        <f t="shared" si="132"/>
        <v/>
      </c>
      <c r="T1803" t="str">
        <f t="shared" si="129"/>
        <v/>
      </c>
    </row>
    <row r="1804" spans="1:20">
      <c r="A1804" s="22" t="s">
        <v>1898</v>
      </c>
      <c r="H1804" s="22" t="str">
        <f t="shared" si="130"/>
        <v/>
      </c>
      <c r="J1804" s="32"/>
      <c r="R1804" s="24" t="str">
        <f t="shared" si="131"/>
        <v/>
      </c>
      <c r="S1804" s="24" t="str">
        <f t="shared" si="132"/>
        <v/>
      </c>
      <c r="T1804" t="str">
        <f t="shared" si="129"/>
        <v/>
      </c>
    </row>
    <row r="1805" spans="1:20">
      <c r="A1805" s="22" t="s">
        <v>1899</v>
      </c>
      <c r="H1805" s="22" t="str">
        <f t="shared" si="130"/>
        <v/>
      </c>
      <c r="J1805" s="32"/>
      <c r="R1805" s="24" t="str">
        <f t="shared" si="131"/>
        <v/>
      </c>
      <c r="S1805" s="24" t="str">
        <f t="shared" si="132"/>
        <v/>
      </c>
      <c r="T1805" t="str">
        <f t="shared" si="129"/>
        <v/>
      </c>
    </row>
    <row r="1806" spans="1:20">
      <c r="A1806" s="22" t="s">
        <v>1900</v>
      </c>
      <c r="H1806" s="22" t="str">
        <f t="shared" si="130"/>
        <v/>
      </c>
      <c r="J1806" s="32"/>
      <c r="R1806" s="24" t="str">
        <f t="shared" si="131"/>
        <v/>
      </c>
      <c r="S1806" s="24" t="str">
        <f t="shared" si="132"/>
        <v/>
      </c>
      <c r="T1806" t="str">
        <f t="shared" si="129"/>
        <v/>
      </c>
    </row>
    <row r="1807" spans="1:20">
      <c r="A1807" s="22" t="s">
        <v>1901</v>
      </c>
      <c r="H1807" s="22" t="str">
        <f t="shared" si="130"/>
        <v/>
      </c>
      <c r="J1807" s="32"/>
      <c r="R1807" s="24" t="str">
        <f t="shared" si="131"/>
        <v/>
      </c>
      <c r="S1807" s="24" t="str">
        <f t="shared" si="132"/>
        <v/>
      </c>
      <c r="T1807" t="str">
        <f t="shared" ref="T1807:T1870" si="133">IF(OR(C1807="",I1807&lt;&gt;"ENTRADA"),"",TEXT(B1807,"AAMMDD")&amp;"-"&amp;TEXT(VALUE(SUBSTITUTE(A1807,"MOV-","")),"000"))</f>
        <v/>
      </c>
    </row>
    <row r="1808" spans="1:20">
      <c r="A1808" s="22" t="s">
        <v>1902</v>
      </c>
      <c r="H1808" s="22" t="str">
        <f t="shared" ref="H1808:H1871" si="134">+T1808</f>
        <v/>
      </c>
      <c r="J1808" s="32"/>
      <c r="R1808" s="24" t="str">
        <f t="shared" ref="R1808:R1871" si="135">IF(H1808="","",H1808&amp;I1808)</f>
        <v/>
      </c>
      <c r="S1808" s="24" t="str">
        <f t="shared" ref="S1808:S1871" si="136">IF(C1808="","",C1808&amp;I1808)</f>
        <v/>
      </c>
      <c r="T1808" t="str">
        <f t="shared" si="133"/>
        <v/>
      </c>
    </row>
    <row r="1809" spans="1:20">
      <c r="A1809" s="22" t="s">
        <v>1903</v>
      </c>
      <c r="H1809" s="22" t="str">
        <f t="shared" si="134"/>
        <v/>
      </c>
      <c r="J1809" s="32"/>
      <c r="R1809" s="24" t="str">
        <f t="shared" si="135"/>
        <v/>
      </c>
      <c r="S1809" s="24" t="str">
        <f t="shared" si="136"/>
        <v/>
      </c>
      <c r="T1809" t="str">
        <f t="shared" si="133"/>
        <v/>
      </c>
    </row>
    <row r="1810" spans="1:20">
      <c r="A1810" s="22" t="s">
        <v>1904</v>
      </c>
      <c r="H1810" s="22" t="str">
        <f t="shared" si="134"/>
        <v/>
      </c>
      <c r="J1810" s="32"/>
      <c r="R1810" s="24" t="str">
        <f t="shared" si="135"/>
        <v/>
      </c>
      <c r="S1810" s="24" t="str">
        <f t="shared" si="136"/>
        <v/>
      </c>
      <c r="T1810" t="str">
        <f t="shared" si="133"/>
        <v/>
      </c>
    </row>
    <row r="1811" spans="1:20">
      <c r="A1811" s="22" t="s">
        <v>1905</v>
      </c>
      <c r="H1811" s="22" t="str">
        <f t="shared" si="134"/>
        <v/>
      </c>
      <c r="J1811" s="32"/>
      <c r="R1811" s="24" t="str">
        <f t="shared" si="135"/>
        <v/>
      </c>
      <c r="S1811" s="24" t="str">
        <f t="shared" si="136"/>
        <v/>
      </c>
      <c r="T1811" t="str">
        <f t="shared" si="133"/>
        <v/>
      </c>
    </row>
    <row r="1812" spans="1:20">
      <c r="A1812" s="22" t="s">
        <v>1906</v>
      </c>
      <c r="H1812" s="22" t="str">
        <f t="shared" si="134"/>
        <v/>
      </c>
      <c r="J1812" s="32"/>
      <c r="R1812" s="24" t="str">
        <f t="shared" si="135"/>
        <v/>
      </c>
      <c r="S1812" s="24" t="str">
        <f t="shared" si="136"/>
        <v/>
      </c>
      <c r="T1812" t="str">
        <f t="shared" si="133"/>
        <v/>
      </c>
    </row>
    <row r="1813" spans="1:20">
      <c r="A1813" s="22" t="s">
        <v>1907</v>
      </c>
      <c r="H1813" s="22" t="str">
        <f t="shared" si="134"/>
        <v/>
      </c>
      <c r="J1813" s="32"/>
      <c r="R1813" s="24" t="str">
        <f t="shared" si="135"/>
        <v/>
      </c>
      <c r="S1813" s="24" t="str">
        <f t="shared" si="136"/>
        <v/>
      </c>
      <c r="T1813" t="str">
        <f t="shared" si="133"/>
        <v/>
      </c>
    </row>
    <row r="1814" spans="1:20">
      <c r="A1814" s="22" t="s">
        <v>1908</v>
      </c>
      <c r="H1814" s="22" t="str">
        <f t="shared" si="134"/>
        <v/>
      </c>
      <c r="J1814" s="32"/>
      <c r="R1814" s="24" t="str">
        <f t="shared" si="135"/>
        <v/>
      </c>
      <c r="S1814" s="24" t="str">
        <f t="shared" si="136"/>
        <v/>
      </c>
      <c r="T1814" t="str">
        <f t="shared" si="133"/>
        <v/>
      </c>
    </row>
    <row r="1815" spans="1:20">
      <c r="A1815" s="22" t="s">
        <v>1909</v>
      </c>
      <c r="H1815" s="22" t="str">
        <f t="shared" si="134"/>
        <v/>
      </c>
      <c r="J1815" s="32"/>
      <c r="R1815" s="24" t="str">
        <f t="shared" si="135"/>
        <v/>
      </c>
      <c r="S1815" s="24" t="str">
        <f t="shared" si="136"/>
        <v/>
      </c>
      <c r="T1815" t="str">
        <f t="shared" si="133"/>
        <v/>
      </c>
    </row>
    <row r="1816" spans="1:20">
      <c r="A1816" s="22" t="s">
        <v>1910</v>
      </c>
      <c r="H1816" s="22" t="str">
        <f t="shared" si="134"/>
        <v/>
      </c>
      <c r="J1816" s="32"/>
      <c r="R1816" s="24" t="str">
        <f t="shared" si="135"/>
        <v/>
      </c>
      <c r="S1816" s="24" t="str">
        <f t="shared" si="136"/>
        <v/>
      </c>
      <c r="T1816" t="str">
        <f t="shared" si="133"/>
        <v/>
      </c>
    </row>
    <row r="1817" spans="1:20">
      <c r="A1817" s="22" t="s">
        <v>1911</v>
      </c>
      <c r="H1817" s="22" t="str">
        <f t="shared" si="134"/>
        <v/>
      </c>
      <c r="J1817" s="32"/>
      <c r="R1817" s="24" t="str">
        <f t="shared" si="135"/>
        <v/>
      </c>
      <c r="S1817" s="24" t="str">
        <f t="shared" si="136"/>
        <v/>
      </c>
      <c r="T1817" t="str">
        <f t="shared" si="133"/>
        <v/>
      </c>
    </row>
    <row r="1818" spans="1:20">
      <c r="A1818" s="22" t="s">
        <v>1912</v>
      </c>
      <c r="H1818" s="22" t="str">
        <f t="shared" si="134"/>
        <v/>
      </c>
      <c r="J1818" s="32"/>
      <c r="R1818" s="24" t="str">
        <f t="shared" si="135"/>
        <v/>
      </c>
      <c r="S1818" s="24" t="str">
        <f t="shared" si="136"/>
        <v/>
      </c>
      <c r="T1818" t="str">
        <f t="shared" si="133"/>
        <v/>
      </c>
    </row>
    <row r="1819" spans="1:20">
      <c r="A1819" s="22" t="s">
        <v>1913</v>
      </c>
      <c r="H1819" s="22" t="str">
        <f t="shared" si="134"/>
        <v/>
      </c>
      <c r="J1819" s="32"/>
      <c r="R1819" s="24" t="str">
        <f t="shared" si="135"/>
        <v/>
      </c>
      <c r="S1819" s="24" t="str">
        <f t="shared" si="136"/>
        <v/>
      </c>
      <c r="T1819" t="str">
        <f t="shared" si="133"/>
        <v/>
      </c>
    </row>
    <row r="1820" spans="1:20">
      <c r="A1820" s="22" t="s">
        <v>1914</v>
      </c>
      <c r="H1820" s="22" t="str">
        <f t="shared" si="134"/>
        <v/>
      </c>
      <c r="J1820" s="32"/>
      <c r="R1820" s="24" t="str">
        <f t="shared" si="135"/>
        <v/>
      </c>
      <c r="S1820" s="24" t="str">
        <f t="shared" si="136"/>
        <v/>
      </c>
      <c r="T1820" t="str">
        <f t="shared" si="133"/>
        <v/>
      </c>
    </row>
    <row r="1821" spans="1:20">
      <c r="A1821" s="22" t="s">
        <v>1915</v>
      </c>
      <c r="H1821" s="22" t="str">
        <f t="shared" si="134"/>
        <v/>
      </c>
      <c r="J1821" s="32"/>
      <c r="R1821" s="24" t="str">
        <f t="shared" si="135"/>
        <v/>
      </c>
      <c r="S1821" s="24" t="str">
        <f t="shared" si="136"/>
        <v/>
      </c>
      <c r="T1821" t="str">
        <f t="shared" si="133"/>
        <v/>
      </c>
    </row>
    <row r="1822" spans="1:20">
      <c r="A1822" s="22" t="s">
        <v>1916</v>
      </c>
      <c r="H1822" s="22" t="str">
        <f t="shared" si="134"/>
        <v/>
      </c>
      <c r="J1822" s="32"/>
      <c r="R1822" s="24" t="str">
        <f t="shared" si="135"/>
        <v/>
      </c>
      <c r="S1822" s="24" t="str">
        <f t="shared" si="136"/>
        <v/>
      </c>
      <c r="T1822" t="str">
        <f t="shared" si="133"/>
        <v/>
      </c>
    </row>
    <row r="1823" spans="1:20">
      <c r="A1823" s="22" t="s">
        <v>1917</v>
      </c>
      <c r="H1823" s="22" t="str">
        <f t="shared" si="134"/>
        <v/>
      </c>
      <c r="J1823" s="32"/>
      <c r="R1823" s="24" t="str">
        <f t="shared" si="135"/>
        <v/>
      </c>
      <c r="S1823" s="24" t="str">
        <f t="shared" si="136"/>
        <v/>
      </c>
      <c r="T1823" t="str">
        <f t="shared" si="133"/>
        <v/>
      </c>
    </row>
    <row r="1824" spans="1:20">
      <c r="A1824" s="22" t="s">
        <v>1918</v>
      </c>
      <c r="H1824" s="22" t="str">
        <f t="shared" si="134"/>
        <v/>
      </c>
      <c r="J1824" s="32"/>
      <c r="R1824" s="24" t="str">
        <f t="shared" si="135"/>
        <v/>
      </c>
      <c r="S1824" s="24" t="str">
        <f t="shared" si="136"/>
        <v/>
      </c>
      <c r="T1824" t="str">
        <f t="shared" si="133"/>
        <v/>
      </c>
    </row>
    <row r="1825" spans="1:20">
      <c r="A1825" s="22" t="s">
        <v>1919</v>
      </c>
      <c r="H1825" s="22" t="str">
        <f t="shared" si="134"/>
        <v/>
      </c>
      <c r="J1825" s="32"/>
      <c r="R1825" s="24" t="str">
        <f t="shared" si="135"/>
        <v/>
      </c>
      <c r="S1825" s="24" t="str">
        <f t="shared" si="136"/>
        <v/>
      </c>
      <c r="T1825" t="str">
        <f t="shared" si="133"/>
        <v/>
      </c>
    </row>
    <row r="1826" spans="1:20">
      <c r="A1826" s="22" t="s">
        <v>1920</v>
      </c>
      <c r="H1826" s="22" t="str">
        <f t="shared" si="134"/>
        <v/>
      </c>
      <c r="J1826" s="32"/>
      <c r="R1826" s="24" t="str">
        <f t="shared" si="135"/>
        <v/>
      </c>
      <c r="S1826" s="24" t="str">
        <f t="shared" si="136"/>
        <v/>
      </c>
      <c r="T1826" t="str">
        <f t="shared" si="133"/>
        <v/>
      </c>
    </row>
    <row r="1827" spans="1:20">
      <c r="A1827" s="22" t="s">
        <v>1921</v>
      </c>
      <c r="H1827" s="22" t="str">
        <f t="shared" si="134"/>
        <v/>
      </c>
      <c r="J1827" s="32"/>
      <c r="R1827" s="24" t="str">
        <f t="shared" si="135"/>
        <v/>
      </c>
      <c r="S1827" s="24" t="str">
        <f t="shared" si="136"/>
        <v/>
      </c>
      <c r="T1827" t="str">
        <f t="shared" si="133"/>
        <v/>
      </c>
    </row>
    <row r="1828" spans="1:20">
      <c r="A1828" s="22" t="s">
        <v>1922</v>
      </c>
      <c r="H1828" s="22" t="str">
        <f t="shared" si="134"/>
        <v/>
      </c>
      <c r="J1828" s="32"/>
      <c r="R1828" s="24" t="str">
        <f t="shared" si="135"/>
        <v/>
      </c>
      <c r="S1828" s="24" t="str">
        <f t="shared" si="136"/>
        <v/>
      </c>
      <c r="T1828" t="str">
        <f t="shared" si="133"/>
        <v/>
      </c>
    </row>
    <row r="1829" spans="1:20">
      <c r="A1829" s="22" t="s">
        <v>1923</v>
      </c>
      <c r="H1829" s="22" t="str">
        <f t="shared" si="134"/>
        <v/>
      </c>
      <c r="J1829" s="32"/>
      <c r="R1829" s="24" t="str">
        <f t="shared" si="135"/>
        <v/>
      </c>
      <c r="S1829" s="24" t="str">
        <f t="shared" si="136"/>
        <v/>
      </c>
      <c r="T1829" t="str">
        <f t="shared" si="133"/>
        <v/>
      </c>
    </row>
    <row r="1830" spans="1:20">
      <c r="A1830" s="22" t="s">
        <v>1924</v>
      </c>
      <c r="H1830" s="22" t="str">
        <f t="shared" si="134"/>
        <v/>
      </c>
      <c r="J1830" s="32"/>
      <c r="R1830" s="24" t="str">
        <f t="shared" si="135"/>
        <v/>
      </c>
      <c r="S1830" s="24" t="str">
        <f t="shared" si="136"/>
        <v/>
      </c>
      <c r="T1830" t="str">
        <f t="shared" si="133"/>
        <v/>
      </c>
    </row>
    <row r="1831" spans="1:20">
      <c r="A1831" s="22" t="s">
        <v>1925</v>
      </c>
      <c r="H1831" s="22" t="str">
        <f t="shared" si="134"/>
        <v/>
      </c>
      <c r="J1831" s="32"/>
      <c r="R1831" s="24" t="str">
        <f t="shared" si="135"/>
        <v/>
      </c>
      <c r="S1831" s="24" t="str">
        <f t="shared" si="136"/>
        <v/>
      </c>
      <c r="T1831" t="str">
        <f t="shared" si="133"/>
        <v/>
      </c>
    </row>
    <row r="1832" spans="1:20">
      <c r="A1832" s="22" t="s">
        <v>1926</v>
      </c>
      <c r="H1832" s="22" t="str">
        <f t="shared" si="134"/>
        <v/>
      </c>
      <c r="J1832" s="32"/>
      <c r="R1832" s="24" t="str">
        <f t="shared" si="135"/>
        <v/>
      </c>
      <c r="S1832" s="24" t="str">
        <f t="shared" si="136"/>
        <v/>
      </c>
      <c r="T1832" t="str">
        <f t="shared" si="133"/>
        <v/>
      </c>
    </row>
    <row r="1833" spans="1:20">
      <c r="A1833" s="22" t="s">
        <v>1927</v>
      </c>
      <c r="H1833" s="22" t="str">
        <f t="shared" si="134"/>
        <v/>
      </c>
      <c r="J1833" s="32"/>
      <c r="R1833" s="24" t="str">
        <f t="shared" si="135"/>
        <v/>
      </c>
      <c r="S1833" s="24" t="str">
        <f t="shared" si="136"/>
        <v/>
      </c>
      <c r="T1833" t="str">
        <f t="shared" si="133"/>
        <v/>
      </c>
    </row>
    <row r="1834" spans="1:20">
      <c r="A1834" s="22" t="s">
        <v>1928</v>
      </c>
      <c r="H1834" s="22" t="str">
        <f t="shared" si="134"/>
        <v/>
      </c>
      <c r="J1834" s="32"/>
      <c r="R1834" s="24" t="str">
        <f t="shared" si="135"/>
        <v/>
      </c>
      <c r="S1834" s="24" t="str">
        <f t="shared" si="136"/>
        <v/>
      </c>
      <c r="T1834" t="str">
        <f t="shared" si="133"/>
        <v/>
      </c>
    </row>
    <row r="1835" spans="1:20">
      <c r="A1835" s="22" t="s">
        <v>1929</v>
      </c>
      <c r="H1835" s="22" t="str">
        <f t="shared" si="134"/>
        <v/>
      </c>
      <c r="J1835" s="32"/>
      <c r="R1835" s="24" t="str">
        <f t="shared" si="135"/>
        <v/>
      </c>
      <c r="S1835" s="24" t="str">
        <f t="shared" si="136"/>
        <v/>
      </c>
      <c r="T1835" t="str">
        <f t="shared" si="133"/>
        <v/>
      </c>
    </row>
    <row r="1836" spans="1:20">
      <c r="A1836" s="22" t="s">
        <v>1930</v>
      </c>
      <c r="H1836" s="22" t="str">
        <f t="shared" si="134"/>
        <v/>
      </c>
      <c r="J1836" s="32"/>
      <c r="R1836" s="24" t="str">
        <f t="shared" si="135"/>
        <v/>
      </c>
      <c r="S1836" s="24" t="str">
        <f t="shared" si="136"/>
        <v/>
      </c>
      <c r="T1836" t="str">
        <f t="shared" si="133"/>
        <v/>
      </c>
    </row>
    <row r="1837" spans="1:20">
      <c r="A1837" s="22" t="s">
        <v>1931</v>
      </c>
      <c r="H1837" s="22" t="str">
        <f t="shared" si="134"/>
        <v/>
      </c>
      <c r="J1837" s="32"/>
      <c r="R1837" s="24" t="str">
        <f t="shared" si="135"/>
        <v/>
      </c>
      <c r="S1837" s="24" t="str">
        <f t="shared" si="136"/>
        <v/>
      </c>
      <c r="T1837" t="str">
        <f t="shared" si="133"/>
        <v/>
      </c>
    </row>
    <row r="1838" spans="1:20">
      <c r="A1838" s="22" t="s">
        <v>1932</v>
      </c>
      <c r="H1838" s="22" t="str">
        <f t="shared" si="134"/>
        <v/>
      </c>
      <c r="J1838" s="32"/>
      <c r="R1838" s="24" t="str">
        <f t="shared" si="135"/>
        <v/>
      </c>
      <c r="S1838" s="24" t="str">
        <f t="shared" si="136"/>
        <v/>
      </c>
      <c r="T1838" t="str">
        <f t="shared" si="133"/>
        <v/>
      </c>
    </row>
    <row r="1839" spans="1:20">
      <c r="A1839" s="22" t="s">
        <v>1933</v>
      </c>
      <c r="H1839" s="22" t="str">
        <f t="shared" si="134"/>
        <v/>
      </c>
      <c r="J1839" s="32"/>
      <c r="R1839" s="24" t="str">
        <f t="shared" si="135"/>
        <v/>
      </c>
      <c r="S1839" s="24" t="str">
        <f t="shared" si="136"/>
        <v/>
      </c>
      <c r="T1839" t="str">
        <f t="shared" si="133"/>
        <v/>
      </c>
    </row>
    <row r="1840" spans="1:20">
      <c r="A1840" s="22" t="s">
        <v>1934</v>
      </c>
      <c r="H1840" s="22" t="str">
        <f t="shared" si="134"/>
        <v/>
      </c>
      <c r="J1840" s="32"/>
      <c r="R1840" s="24" t="str">
        <f t="shared" si="135"/>
        <v/>
      </c>
      <c r="S1840" s="24" t="str">
        <f t="shared" si="136"/>
        <v/>
      </c>
      <c r="T1840" t="str">
        <f t="shared" si="133"/>
        <v/>
      </c>
    </row>
    <row r="1841" spans="1:20">
      <c r="A1841" s="22" t="s">
        <v>1935</v>
      </c>
      <c r="H1841" s="22" t="str">
        <f t="shared" si="134"/>
        <v/>
      </c>
      <c r="J1841" s="32"/>
      <c r="R1841" s="24" t="str">
        <f t="shared" si="135"/>
        <v/>
      </c>
      <c r="S1841" s="24" t="str">
        <f t="shared" si="136"/>
        <v/>
      </c>
      <c r="T1841" t="str">
        <f t="shared" si="133"/>
        <v/>
      </c>
    </row>
    <row r="1842" spans="1:20">
      <c r="A1842" s="22" t="s">
        <v>1936</v>
      </c>
      <c r="H1842" s="22" t="str">
        <f t="shared" si="134"/>
        <v/>
      </c>
      <c r="J1842" s="32"/>
      <c r="R1842" s="24" t="str">
        <f t="shared" si="135"/>
        <v/>
      </c>
      <c r="S1842" s="24" t="str">
        <f t="shared" si="136"/>
        <v/>
      </c>
      <c r="T1842" t="str">
        <f t="shared" si="133"/>
        <v/>
      </c>
    </row>
    <row r="1843" spans="1:20">
      <c r="A1843" s="22" t="s">
        <v>1937</v>
      </c>
      <c r="H1843" s="22" t="str">
        <f t="shared" si="134"/>
        <v/>
      </c>
      <c r="J1843" s="32"/>
      <c r="R1843" s="24" t="str">
        <f t="shared" si="135"/>
        <v/>
      </c>
      <c r="S1843" s="24" t="str">
        <f t="shared" si="136"/>
        <v/>
      </c>
      <c r="T1843" t="str">
        <f t="shared" si="133"/>
        <v/>
      </c>
    </row>
    <row r="1844" spans="1:20">
      <c r="A1844" s="22" t="s">
        <v>1938</v>
      </c>
      <c r="H1844" s="22" t="str">
        <f t="shared" si="134"/>
        <v/>
      </c>
      <c r="J1844" s="32"/>
      <c r="R1844" s="24" t="str">
        <f t="shared" si="135"/>
        <v/>
      </c>
      <c r="S1844" s="24" t="str">
        <f t="shared" si="136"/>
        <v/>
      </c>
      <c r="T1844" t="str">
        <f t="shared" si="133"/>
        <v/>
      </c>
    </row>
    <row r="1845" spans="1:20">
      <c r="A1845" s="22" t="s">
        <v>1939</v>
      </c>
      <c r="H1845" s="22" t="str">
        <f t="shared" si="134"/>
        <v/>
      </c>
      <c r="J1845" s="32"/>
      <c r="R1845" s="24" t="str">
        <f t="shared" si="135"/>
        <v/>
      </c>
      <c r="S1845" s="24" t="str">
        <f t="shared" si="136"/>
        <v/>
      </c>
      <c r="T1845" t="str">
        <f t="shared" si="133"/>
        <v/>
      </c>
    </row>
    <row r="1846" spans="1:20">
      <c r="A1846" s="22" t="s">
        <v>1940</v>
      </c>
      <c r="H1846" s="22" t="str">
        <f t="shared" si="134"/>
        <v/>
      </c>
      <c r="J1846" s="32"/>
      <c r="R1846" s="24" t="str">
        <f t="shared" si="135"/>
        <v/>
      </c>
      <c r="S1846" s="24" t="str">
        <f t="shared" si="136"/>
        <v/>
      </c>
      <c r="T1846" t="str">
        <f t="shared" si="133"/>
        <v/>
      </c>
    </row>
    <row r="1847" spans="1:20">
      <c r="A1847" s="22" t="s">
        <v>1941</v>
      </c>
      <c r="H1847" s="22" t="str">
        <f t="shared" si="134"/>
        <v/>
      </c>
      <c r="J1847" s="32"/>
      <c r="R1847" s="24" t="str">
        <f t="shared" si="135"/>
        <v/>
      </c>
      <c r="S1847" s="24" t="str">
        <f t="shared" si="136"/>
        <v/>
      </c>
      <c r="T1847" t="str">
        <f t="shared" si="133"/>
        <v/>
      </c>
    </row>
    <row r="1848" spans="1:20">
      <c r="A1848" s="22" t="s">
        <v>1942</v>
      </c>
      <c r="H1848" s="22" t="str">
        <f t="shared" si="134"/>
        <v/>
      </c>
      <c r="J1848" s="32"/>
      <c r="R1848" s="24" t="str">
        <f t="shared" si="135"/>
        <v/>
      </c>
      <c r="S1848" s="24" t="str">
        <f t="shared" si="136"/>
        <v/>
      </c>
      <c r="T1848" t="str">
        <f t="shared" si="133"/>
        <v/>
      </c>
    </row>
    <row r="1849" spans="1:20">
      <c r="A1849" s="22" t="s">
        <v>1943</v>
      </c>
      <c r="H1849" s="22" t="str">
        <f t="shared" si="134"/>
        <v/>
      </c>
      <c r="J1849" s="32"/>
      <c r="R1849" s="24" t="str">
        <f t="shared" si="135"/>
        <v/>
      </c>
      <c r="S1849" s="24" t="str">
        <f t="shared" si="136"/>
        <v/>
      </c>
      <c r="T1849" t="str">
        <f t="shared" si="133"/>
        <v/>
      </c>
    </row>
    <row r="1850" spans="1:20">
      <c r="A1850" s="22" t="s">
        <v>1944</v>
      </c>
      <c r="H1850" s="22" t="str">
        <f t="shared" si="134"/>
        <v/>
      </c>
      <c r="J1850" s="32"/>
      <c r="R1850" s="24" t="str">
        <f t="shared" si="135"/>
        <v/>
      </c>
      <c r="S1850" s="24" t="str">
        <f t="shared" si="136"/>
        <v/>
      </c>
      <c r="T1850" t="str">
        <f t="shared" si="133"/>
        <v/>
      </c>
    </row>
    <row r="1851" spans="1:20">
      <c r="A1851" s="22" t="s">
        <v>1945</v>
      </c>
      <c r="H1851" s="22" t="str">
        <f t="shared" si="134"/>
        <v/>
      </c>
      <c r="J1851" s="32"/>
      <c r="R1851" s="24" t="str">
        <f t="shared" si="135"/>
        <v/>
      </c>
      <c r="S1851" s="24" t="str">
        <f t="shared" si="136"/>
        <v/>
      </c>
      <c r="T1851" t="str">
        <f t="shared" si="133"/>
        <v/>
      </c>
    </row>
    <row r="1852" spans="1:20">
      <c r="A1852" s="22" t="s">
        <v>1946</v>
      </c>
      <c r="H1852" s="22" t="str">
        <f t="shared" si="134"/>
        <v/>
      </c>
      <c r="J1852" s="32"/>
      <c r="R1852" s="24" t="str">
        <f t="shared" si="135"/>
        <v/>
      </c>
      <c r="S1852" s="24" t="str">
        <f t="shared" si="136"/>
        <v/>
      </c>
      <c r="T1852" t="str">
        <f t="shared" si="133"/>
        <v/>
      </c>
    </row>
    <row r="1853" spans="1:20">
      <c r="A1853" s="22" t="s">
        <v>1947</v>
      </c>
      <c r="H1853" s="22" t="str">
        <f t="shared" si="134"/>
        <v/>
      </c>
      <c r="J1853" s="32"/>
      <c r="R1853" s="24" t="str">
        <f t="shared" si="135"/>
        <v/>
      </c>
      <c r="S1853" s="24" t="str">
        <f t="shared" si="136"/>
        <v/>
      </c>
      <c r="T1853" t="str">
        <f t="shared" si="133"/>
        <v/>
      </c>
    </row>
    <row r="1854" spans="1:20">
      <c r="A1854" s="22" t="s">
        <v>1948</v>
      </c>
      <c r="H1854" s="22" t="str">
        <f t="shared" si="134"/>
        <v/>
      </c>
      <c r="J1854" s="32"/>
      <c r="R1854" s="24" t="str">
        <f t="shared" si="135"/>
        <v/>
      </c>
      <c r="S1854" s="24" t="str">
        <f t="shared" si="136"/>
        <v/>
      </c>
      <c r="T1854" t="str">
        <f t="shared" si="133"/>
        <v/>
      </c>
    </row>
    <row r="1855" spans="1:20">
      <c r="A1855" s="22" t="s">
        <v>1949</v>
      </c>
      <c r="H1855" s="22" t="str">
        <f t="shared" si="134"/>
        <v/>
      </c>
      <c r="J1855" s="32"/>
      <c r="R1855" s="24" t="str">
        <f t="shared" si="135"/>
        <v/>
      </c>
      <c r="S1855" s="24" t="str">
        <f t="shared" si="136"/>
        <v/>
      </c>
      <c r="T1855" t="str">
        <f t="shared" si="133"/>
        <v/>
      </c>
    </row>
    <row r="1856" spans="1:20">
      <c r="A1856" s="22" t="s">
        <v>1950</v>
      </c>
      <c r="H1856" s="22" t="str">
        <f t="shared" si="134"/>
        <v/>
      </c>
      <c r="J1856" s="32"/>
      <c r="R1856" s="24" t="str">
        <f t="shared" si="135"/>
        <v/>
      </c>
      <c r="S1856" s="24" t="str">
        <f t="shared" si="136"/>
        <v/>
      </c>
      <c r="T1856" t="str">
        <f t="shared" si="133"/>
        <v/>
      </c>
    </row>
    <row r="1857" spans="1:20">
      <c r="A1857" s="22" t="s">
        <v>1951</v>
      </c>
      <c r="H1857" s="22" t="str">
        <f t="shared" si="134"/>
        <v/>
      </c>
      <c r="J1857" s="32"/>
      <c r="R1857" s="24" t="str">
        <f t="shared" si="135"/>
        <v/>
      </c>
      <c r="S1857" s="24" t="str">
        <f t="shared" si="136"/>
        <v/>
      </c>
      <c r="T1857" t="str">
        <f t="shared" si="133"/>
        <v/>
      </c>
    </row>
    <row r="1858" spans="1:20">
      <c r="A1858" s="22" t="s">
        <v>1952</v>
      </c>
      <c r="H1858" s="22" t="str">
        <f t="shared" si="134"/>
        <v/>
      </c>
      <c r="J1858" s="32"/>
      <c r="R1858" s="24" t="str">
        <f t="shared" si="135"/>
        <v/>
      </c>
      <c r="S1858" s="24" t="str">
        <f t="shared" si="136"/>
        <v/>
      </c>
      <c r="T1858" t="str">
        <f t="shared" si="133"/>
        <v/>
      </c>
    </row>
    <row r="1859" spans="1:20">
      <c r="A1859" s="22" t="s">
        <v>1953</v>
      </c>
      <c r="H1859" s="22" t="str">
        <f t="shared" si="134"/>
        <v/>
      </c>
      <c r="J1859" s="32"/>
      <c r="R1859" s="24" t="str">
        <f t="shared" si="135"/>
        <v/>
      </c>
      <c r="S1859" s="24" t="str">
        <f t="shared" si="136"/>
        <v/>
      </c>
      <c r="T1859" t="str">
        <f t="shared" si="133"/>
        <v/>
      </c>
    </row>
    <row r="1860" spans="1:20">
      <c r="A1860" s="22" t="s">
        <v>1954</v>
      </c>
      <c r="H1860" s="22" t="str">
        <f t="shared" si="134"/>
        <v/>
      </c>
      <c r="J1860" s="32"/>
      <c r="R1860" s="24" t="str">
        <f t="shared" si="135"/>
        <v/>
      </c>
      <c r="S1860" s="24" t="str">
        <f t="shared" si="136"/>
        <v/>
      </c>
      <c r="T1860" t="str">
        <f t="shared" si="133"/>
        <v/>
      </c>
    </row>
    <row r="1861" spans="1:20">
      <c r="A1861" s="22" t="s">
        <v>1955</v>
      </c>
      <c r="H1861" s="22" t="str">
        <f t="shared" si="134"/>
        <v/>
      </c>
      <c r="J1861" s="32"/>
      <c r="R1861" s="24" t="str">
        <f t="shared" si="135"/>
        <v/>
      </c>
      <c r="S1861" s="24" t="str">
        <f t="shared" si="136"/>
        <v/>
      </c>
      <c r="T1861" t="str">
        <f t="shared" si="133"/>
        <v/>
      </c>
    </row>
    <row r="1862" spans="1:20">
      <c r="A1862" s="22" t="s">
        <v>1956</v>
      </c>
      <c r="H1862" s="22" t="str">
        <f t="shared" si="134"/>
        <v/>
      </c>
      <c r="J1862" s="32"/>
      <c r="R1862" s="24" t="str">
        <f t="shared" si="135"/>
        <v/>
      </c>
      <c r="S1862" s="24" t="str">
        <f t="shared" si="136"/>
        <v/>
      </c>
      <c r="T1862" t="str">
        <f t="shared" si="133"/>
        <v/>
      </c>
    </row>
    <row r="1863" spans="1:20">
      <c r="A1863" s="22" t="s">
        <v>1957</v>
      </c>
      <c r="H1863" s="22" t="str">
        <f t="shared" si="134"/>
        <v/>
      </c>
      <c r="J1863" s="32"/>
      <c r="R1863" s="24" t="str">
        <f t="shared" si="135"/>
        <v/>
      </c>
      <c r="S1863" s="24" t="str">
        <f t="shared" si="136"/>
        <v/>
      </c>
      <c r="T1863" t="str">
        <f t="shared" si="133"/>
        <v/>
      </c>
    </row>
    <row r="1864" spans="1:20">
      <c r="A1864" s="22" t="s">
        <v>1958</v>
      </c>
      <c r="H1864" s="22" t="str">
        <f t="shared" si="134"/>
        <v/>
      </c>
      <c r="J1864" s="32"/>
      <c r="R1864" s="24" t="str">
        <f t="shared" si="135"/>
        <v/>
      </c>
      <c r="S1864" s="24" t="str">
        <f t="shared" si="136"/>
        <v/>
      </c>
      <c r="T1864" t="str">
        <f t="shared" si="133"/>
        <v/>
      </c>
    </row>
    <row r="1865" spans="1:20">
      <c r="A1865" s="22" t="s">
        <v>1959</v>
      </c>
      <c r="H1865" s="22" t="str">
        <f t="shared" si="134"/>
        <v/>
      </c>
      <c r="J1865" s="32"/>
      <c r="R1865" s="24" t="str">
        <f t="shared" si="135"/>
        <v/>
      </c>
      <c r="S1865" s="24" t="str">
        <f t="shared" si="136"/>
        <v/>
      </c>
      <c r="T1865" t="str">
        <f t="shared" si="133"/>
        <v/>
      </c>
    </row>
    <row r="1866" spans="1:20">
      <c r="A1866" s="22" t="s">
        <v>1960</v>
      </c>
      <c r="H1866" s="22" t="str">
        <f t="shared" si="134"/>
        <v/>
      </c>
      <c r="J1866" s="32"/>
      <c r="R1866" s="24" t="str">
        <f t="shared" si="135"/>
        <v/>
      </c>
      <c r="S1866" s="24" t="str">
        <f t="shared" si="136"/>
        <v/>
      </c>
      <c r="T1866" t="str">
        <f t="shared" si="133"/>
        <v/>
      </c>
    </row>
    <row r="1867" spans="1:20">
      <c r="A1867" s="22" t="s">
        <v>1961</v>
      </c>
      <c r="H1867" s="22" t="str">
        <f t="shared" si="134"/>
        <v/>
      </c>
      <c r="J1867" s="32"/>
      <c r="R1867" s="24" t="str">
        <f t="shared" si="135"/>
        <v/>
      </c>
      <c r="S1867" s="24" t="str">
        <f t="shared" si="136"/>
        <v/>
      </c>
      <c r="T1867" t="str">
        <f t="shared" si="133"/>
        <v/>
      </c>
    </row>
    <row r="1868" spans="1:20">
      <c r="A1868" s="22" t="s">
        <v>1962</v>
      </c>
      <c r="H1868" s="22" t="str">
        <f t="shared" si="134"/>
        <v/>
      </c>
      <c r="J1868" s="32"/>
      <c r="R1868" s="24" t="str">
        <f t="shared" si="135"/>
        <v/>
      </c>
      <c r="S1868" s="24" t="str">
        <f t="shared" si="136"/>
        <v/>
      </c>
      <c r="T1868" t="str">
        <f t="shared" si="133"/>
        <v/>
      </c>
    </row>
    <row r="1869" spans="1:20">
      <c r="A1869" s="22" t="s">
        <v>1963</v>
      </c>
      <c r="H1869" s="22" t="str">
        <f t="shared" si="134"/>
        <v/>
      </c>
      <c r="J1869" s="32"/>
      <c r="R1869" s="24" t="str">
        <f t="shared" si="135"/>
        <v/>
      </c>
      <c r="S1869" s="24" t="str">
        <f t="shared" si="136"/>
        <v/>
      </c>
      <c r="T1869" t="str">
        <f t="shared" si="133"/>
        <v/>
      </c>
    </row>
    <row r="1870" spans="1:20">
      <c r="A1870" s="22" t="s">
        <v>1964</v>
      </c>
      <c r="H1870" s="22" t="str">
        <f t="shared" si="134"/>
        <v/>
      </c>
      <c r="J1870" s="32"/>
      <c r="R1870" s="24" t="str">
        <f t="shared" si="135"/>
        <v/>
      </c>
      <c r="S1870" s="24" t="str">
        <f t="shared" si="136"/>
        <v/>
      </c>
      <c r="T1870" t="str">
        <f t="shared" si="133"/>
        <v/>
      </c>
    </row>
    <row r="1871" spans="1:20">
      <c r="A1871" s="22" t="s">
        <v>1965</v>
      </c>
      <c r="H1871" s="22" t="str">
        <f t="shared" si="134"/>
        <v/>
      </c>
      <c r="J1871" s="32"/>
      <c r="R1871" s="24" t="str">
        <f t="shared" si="135"/>
        <v/>
      </c>
      <c r="S1871" s="24" t="str">
        <f t="shared" si="136"/>
        <v/>
      </c>
      <c r="T1871" t="str">
        <f t="shared" ref="T1871:T1934" si="137">IF(OR(C1871="",I1871&lt;&gt;"ENTRADA"),"",TEXT(B1871,"AAMMDD")&amp;"-"&amp;TEXT(VALUE(SUBSTITUTE(A1871,"MOV-","")),"000"))</f>
        <v/>
      </c>
    </row>
    <row r="1872" spans="1:20">
      <c r="A1872" s="22" t="s">
        <v>1966</v>
      </c>
      <c r="H1872" s="22" t="str">
        <f t="shared" ref="H1872:H1935" si="138">+T1872</f>
        <v/>
      </c>
      <c r="J1872" s="32"/>
      <c r="R1872" s="24" t="str">
        <f t="shared" ref="R1872:R1935" si="139">IF(H1872="","",H1872&amp;I1872)</f>
        <v/>
      </c>
      <c r="S1872" s="24" t="str">
        <f t="shared" ref="S1872:S1935" si="140">IF(C1872="","",C1872&amp;I1872)</f>
        <v/>
      </c>
      <c r="T1872" t="str">
        <f t="shared" si="137"/>
        <v/>
      </c>
    </row>
    <row r="1873" spans="1:20">
      <c r="A1873" s="22" t="s">
        <v>1967</v>
      </c>
      <c r="H1873" s="22" t="str">
        <f t="shared" si="138"/>
        <v/>
      </c>
      <c r="J1873" s="32"/>
      <c r="R1873" s="24" t="str">
        <f t="shared" si="139"/>
        <v/>
      </c>
      <c r="S1873" s="24" t="str">
        <f t="shared" si="140"/>
        <v/>
      </c>
      <c r="T1873" t="str">
        <f t="shared" si="137"/>
        <v/>
      </c>
    </row>
    <row r="1874" spans="1:20">
      <c r="A1874" s="22" t="s">
        <v>1968</v>
      </c>
      <c r="H1874" s="22" t="str">
        <f t="shared" si="138"/>
        <v/>
      </c>
      <c r="J1874" s="32"/>
      <c r="R1874" s="24" t="str">
        <f t="shared" si="139"/>
        <v/>
      </c>
      <c r="S1874" s="24" t="str">
        <f t="shared" si="140"/>
        <v/>
      </c>
      <c r="T1874" t="str">
        <f t="shared" si="137"/>
        <v/>
      </c>
    </row>
    <row r="1875" spans="1:20">
      <c r="A1875" s="22" t="s">
        <v>1969</v>
      </c>
      <c r="H1875" s="22" t="str">
        <f t="shared" si="138"/>
        <v/>
      </c>
      <c r="J1875" s="32"/>
      <c r="R1875" s="24" t="str">
        <f t="shared" si="139"/>
        <v/>
      </c>
      <c r="S1875" s="24" t="str">
        <f t="shared" si="140"/>
        <v/>
      </c>
      <c r="T1875" t="str">
        <f t="shared" si="137"/>
        <v/>
      </c>
    </row>
    <row r="1876" spans="1:20">
      <c r="A1876" s="22" t="s">
        <v>1970</v>
      </c>
      <c r="H1876" s="22" t="str">
        <f t="shared" si="138"/>
        <v/>
      </c>
      <c r="J1876" s="32"/>
      <c r="R1876" s="24" t="str">
        <f t="shared" si="139"/>
        <v/>
      </c>
      <c r="S1876" s="24" t="str">
        <f t="shared" si="140"/>
        <v/>
      </c>
      <c r="T1876" t="str">
        <f t="shared" si="137"/>
        <v/>
      </c>
    </row>
    <row r="1877" spans="1:20">
      <c r="A1877" s="22" t="s">
        <v>1971</v>
      </c>
      <c r="H1877" s="22" t="str">
        <f t="shared" si="138"/>
        <v/>
      </c>
      <c r="J1877" s="32"/>
      <c r="R1877" s="24" t="str">
        <f t="shared" si="139"/>
        <v/>
      </c>
      <c r="S1877" s="24" t="str">
        <f t="shared" si="140"/>
        <v/>
      </c>
      <c r="T1877" t="str">
        <f t="shared" si="137"/>
        <v/>
      </c>
    </row>
    <row r="1878" spans="1:20">
      <c r="A1878" s="22" t="s">
        <v>1972</v>
      </c>
      <c r="H1878" s="22" t="str">
        <f t="shared" si="138"/>
        <v/>
      </c>
      <c r="J1878" s="32"/>
      <c r="R1878" s="24" t="str">
        <f t="shared" si="139"/>
        <v/>
      </c>
      <c r="S1878" s="24" t="str">
        <f t="shared" si="140"/>
        <v/>
      </c>
      <c r="T1878" t="str">
        <f t="shared" si="137"/>
        <v/>
      </c>
    </row>
    <row r="1879" spans="1:20">
      <c r="A1879" s="22" t="s">
        <v>1973</v>
      </c>
      <c r="H1879" s="22" t="str">
        <f t="shared" si="138"/>
        <v/>
      </c>
      <c r="J1879" s="32"/>
      <c r="R1879" s="24" t="str">
        <f t="shared" si="139"/>
        <v/>
      </c>
      <c r="S1879" s="24" t="str">
        <f t="shared" si="140"/>
        <v/>
      </c>
      <c r="T1879" t="str">
        <f t="shared" si="137"/>
        <v/>
      </c>
    </row>
    <row r="1880" spans="1:20">
      <c r="A1880" s="22" t="s">
        <v>1974</v>
      </c>
      <c r="H1880" s="22" t="str">
        <f t="shared" si="138"/>
        <v/>
      </c>
      <c r="J1880" s="32"/>
      <c r="R1880" s="24" t="str">
        <f t="shared" si="139"/>
        <v/>
      </c>
      <c r="S1880" s="24" t="str">
        <f t="shared" si="140"/>
        <v/>
      </c>
      <c r="T1880" t="str">
        <f t="shared" si="137"/>
        <v/>
      </c>
    </row>
    <row r="1881" spans="1:20">
      <c r="A1881" s="22" t="s">
        <v>1975</v>
      </c>
      <c r="H1881" s="22" t="str">
        <f t="shared" si="138"/>
        <v/>
      </c>
      <c r="J1881" s="32"/>
      <c r="R1881" s="24" t="str">
        <f t="shared" si="139"/>
        <v/>
      </c>
      <c r="S1881" s="24" t="str">
        <f t="shared" si="140"/>
        <v/>
      </c>
      <c r="T1881" t="str">
        <f t="shared" si="137"/>
        <v/>
      </c>
    </row>
    <row r="1882" spans="1:20">
      <c r="A1882" s="22" t="s">
        <v>1976</v>
      </c>
      <c r="H1882" s="22" t="str">
        <f t="shared" si="138"/>
        <v/>
      </c>
      <c r="J1882" s="32"/>
      <c r="R1882" s="24" t="str">
        <f t="shared" si="139"/>
        <v/>
      </c>
      <c r="S1882" s="24" t="str">
        <f t="shared" si="140"/>
        <v/>
      </c>
      <c r="T1882" t="str">
        <f t="shared" si="137"/>
        <v/>
      </c>
    </row>
    <row r="1883" spans="1:20">
      <c r="A1883" s="22" t="s">
        <v>1977</v>
      </c>
      <c r="H1883" s="22" t="str">
        <f t="shared" si="138"/>
        <v/>
      </c>
      <c r="J1883" s="32"/>
      <c r="R1883" s="24" t="str">
        <f t="shared" si="139"/>
        <v/>
      </c>
      <c r="S1883" s="24" t="str">
        <f t="shared" si="140"/>
        <v/>
      </c>
      <c r="T1883" t="str">
        <f t="shared" si="137"/>
        <v/>
      </c>
    </row>
    <row r="1884" spans="1:20">
      <c r="A1884" s="22" t="s">
        <v>1978</v>
      </c>
      <c r="H1884" s="22" t="str">
        <f t="shared" si="138"/>
        <v/>
      </c>
      <c r="J1884" s="32"/>
      <c r="R1884" s="24" t="str">
        <f t="shared" si="139"/>
        <v/>
      </c>
      <c r="S1884" s="24" t="str">
        <f t="shared" si="140"/>
        <v/>
      </c>
      <c r="T1884" t="str">
        <f t="shared" si="137"/>
        <v/>
      </c>
    </row>
    <row r="1885" spans="1:20">
      <c r="A1885" s="22" t="s">
        <v>1979</v>
      </c>
      <c r="H1885" s="22" t="str">
        <f t="shared" si="138"/>
        <v/>
      </c>
      <c r="J1885" s="32"/>
      <c r="R1885" s="24" t="str">
        <f t="shared" si="139"/>
        <v/>
      </c>
      <c r="S1885" s="24" t="str">
        <f t="shared" si="140"/>
        <v/>
      </c>
      <c r="T1885" t="str">
        <f t="shared" si="137"/>
        <v/>
      </c>
    </row>
    <row r="1886" spans="1:20">
      <c r="A1886" s="22" t="s">
        <v>1980</v>
      </c>
      <c r="H1886" s="22" t="str">
        <f t="shared" si="138"/>
        <v/>
      </c>
      <c r="J1886" s="32"/>
      <c r="R1886" s="24" t="str">
        <f t="shared" si="139"/>
        <v/>
      </c>
      <c r="S1886" s="24" t="str">
        <f t="shared" si="140"/>
        <v/>
      </c>
      <c r="T1886" t="str">
        <f t="shared" si="137"/>
        <v/>
      </c>
    </row>
    <row r="1887" spans="1:20">
      <c r="A1887" s="22" t="s">
        <v>1981</v>
      </c>
      <c r="H1887" s="22" t="str">
        <f t="shared" si="138"/>
        <v/>
      </c>
      <c r="J1887" s="32"/>
      <c r="R1887" s="24" t="str">
        <f t="shared" si="139"/>
        <v/>
      </c>
      <c r="S1887" s="24" t="str">
        <f t="shared" si="140"/>
        <v/>
      </c>
      <c r="T1887" t="str">
        <f t="shared" si="137"/>
        <v/>
      </c>
    </row>
    <row r="1888" spans="1:20">
      <c r="A1888" s="22" t="s">
        <v>1982</v>
      </c>
      <c r="H1888" s="22" t="str">
        <f t="shared" si="138"/>
        <v/>
      </c>
      <c r="J1888" s="32"/>
      <c r="R1888" s="24" t="str">
        <f t="shared" si="139"/>
        <v/>
      </c>
      <c r="S1888" s="24" t="str">
        <f t="shared" si="140"/>
        <v/>
      </c>
      <c r="T1888" t="str">
        <f t="shared" si="137"/>
        <v/>
      </c>
    </row>
    <row r="1889" spans="1:20">
      <c r="A1889" s="22" t="s">
        <v>1983</v>
      </c>
      <c r="H1889" s="22" t="str">
        <f t="shared" si="138"/>
        <v/>
      </c>
      <c r="J1889" s="32"/>
      <c r="R1889" s="24" t="str">
        <f t="shared" si="139"/>
        <v/>
      </c>
      <c r="S1889" s="24" t="str">
        <f t="shared" si="140"/>
        <v/>
      </c>
      <c r="T1889" t="str">
        <f t="shared" si="137"/>
        <v/>
      </c>
    </row>
    <row r="1890" spans="1:20">
      <c r="A1890" s="22" t="s">
        <v>1984</v>
      </c>
      <c r="H1890" s="22" t="str">
        <f t="shared" si="138"/>
        <v/>
      </c>
      <c r="J1890" s="32"/>
      <c r="R1890" s="24" t="str">
        <f t="shared" si="139"/>
        <v/>
      </c>
      <c r="S1890" s="24" t="str">
        <f t="shared" si="140"/>
        <v/>
      </c>
      <c r="T1890" t="str">
        <f t="shared" si="137"/>
        <v/>
      </c>
    </row>
    <row r="1891" spans="1:20">
      <c r="A1891" s="22" t="s">
        <v>1985</v>
      </c>
      <c r="H1891" s="22" t="str">
        <f t="shared" si="138"/>
        <v/>
      </c>
      <c r="J1891" s="32"/>
      <c r="R1891" s="24" t="str">
        <f t="shared" si="139"/>
        <v/>
      </c>
      <c r="S1891" s="24" t="str">
        <f t="shared" si="140"/>
        <v/>
      </c>
      <c r="T1891" t="str">
        <f t="shared" si="137"/>
        <v/>
      </c>
    </row>
    <row r="1892" spans="1:20">
      <c r="A1892" s="22" t="s">
        <v>1986</v>
      </c>
      <c r="H1892" s="22" t="str">
        <f t="shared" si="138"/>
        <v/>
      </c>
      <c r="J1892" s="32"/>
      <c r="R1892" s="24" t="str">
        <f t="shared" si="139"/>
        <v/>
      </c>
      <c r="S1892" s="24" t="str">
        <f t="shared" si="140"/>
        <v/>
      </c>
      <c r="T1892" t="str">
        <f t="shared" si="137"/>
        <v/>
      </c>
    </row>
    <row r="1893" spans="1:20">
      <c r="A1893" s="22" t="s">
        <v>1987</v>
      </c>
      <c r="H1893" s="22" t="str">
        <f t="shared" si="138"/>
        <v/>
      </c>
      <c r="J1893" s="32"/>
      <c r="R1893" s="24" t="str">
        <f t="shared" si="139"/>
        <v/>
      </c>
      <c r="S1893" s="24" t="str">
        <f t="shared" si="140"/>
        <v/>
      </c>
      <c r="T1893" t="str">
        <f t="shared" si="137"/>
        <v/>
      </c>
    </row>
    <row r="1894" spans="1:20">
      <c r="A1894" s="22" t="s">
        <v>1988</v>
      </c>
      <c r="H1894" s="22" t="str">
        <f t="shared" si="138"/>
        <v/>
      </c>
      <c r="J1894" s="32"/>
      <c r="R1894" s="24" t="str">
        <f t="shared" si="139"/>
        <v/>
      </c>
      <c r="S1894" s="24" t="str">
        <f t="shared" si="140"/>
        <v/>
      </c>
      <c r="T1894" t="str">
        <f t="shared" si="137"/>
        <v/>
      </c>
    </row>
    <row r="1895" spans="1:20">
      <c r="A1895" s="22" t="s">
        <v>1989</v>
      </c>
      <c r="H1895" s="22" t="str">
        <f t="shared" si="138"/>
        <v/>
      </c>
      <c r="J1895" s="32"/>
      <c r="R1895" s="24" t="str">
        <f t="shared" si="139"/>
        <v/>
      </c>
      <c r="S1895" s="24" t="str">
        <f t="shared" si="140"/>
        <v/>
      </c>
      <c r="T1895" t="str">
        <f t="shared" si="137"/>
        <v/>
      </c>
    </row>
    <row r="1896" spans="1:20">
      <c r="A1896" s="22" t="s">
        <v>1990</v>
      </c>
      <c r="H1896" s="22" t="str">
        <f t="shared" si="138"/>
        <v/>
      </c>
      <c r="J1896" s="32"/>
      <c r="R1896" s="24" t="str">
        <f t="shared" si="139"/>
        <v/>
      </c>
      <c r="S1896" s="24" t="str">
        <f t="shared" si="140"/>
        <v/>
      </c>
      <c r="T1896" t="str">
        <f t="shared" si="137"/>
        <v/>
      </c>
    </row>
    <row r="1897" spans="1:20">
      <c r="A1897" s="22" t="s">
        <v>1991</v>
      </c>
      <c r="H1897" s="22" t="str">
        <f t="shared" si="138"/>
        <v/>
      </c>
      <c r="J1897" s="32"/>
      <c r="R1897" s="24" t="str">
        <f t="shared" si="139"/>
        <v/>
      </c>
      <c r="S1897" s="24" t="str">
        <f t="shared" si="140"/>
        <v/>
      </c>
      <c r="T1897" t="str">
        <f t="shared" si="137"/>
        <v/>
      </c>
    </row>
    <row r="1898" spans="1:20">
      <c r="A1898" s="22" t="s">
        <v>1992</v>
      </c>
      <c r="H1898" s="22" t="str">
        <f t="shared" si="138"/>
        <v/>
      </c>
      <c r="J1898" s="32"/>
      <c r="R1898" s="24" t="str">
        <f t="shared" si="139"/>
        <v/>
      </c>
      <c r="S1898" s="24" t="str">
        <f t="shared" si="140"/>
        <v/>
      </c>
      <c r="T1898" t="str">
        <f t="shared" si="137"/>
        <v/>
      </c>
    </row>
    <row r="1899" spans="1:20">
      <c r="A1899" s="22" t="s">
        <v>1993</v>
      </c>
      <c r="H1899" s="22" t="str">
        <f t="shared" si="138"/>
        <v/>
      </c>
      <c r="J1899" s="32"/>
      <c r="R1899" s="24" t="str">
        <f t="shared" si="139"/>
        <v/>
      </c>
      <c r="S1899" s="24" t="str">
        <f t="shared" si="140"/>
        <v/>
      </c>
      <c r="T1899" t="str">
        <f t="shared" si="137"/>
        <v/>
      </c>
    </row>
    <row r="1900" spans="1:20">
      <c r="A1900" s="22" t="s">
        <v>1994</v>
      </c>
      <c r="H1900" s="22" t="str">
        <f t="shared" si="138"/>
        <v/>
      </c>
      <c r="J1900" s="32"/>
      <c r="R1900" s="24" t="str">
        <f t="shared" si="139"/>
        <v/>
      </c>
      <c r="S1900" s="24" t="str">
        <f t="shared" si="140"/>
        <v/>
      </c>
      <c r="T1900" t="str">
        <f t="shared" si="137"/>
        <v/>
      </c>
    </row>
    <row r="1901" spans="1:20">
      <c r="A1901" s="22" t="s">
        <v>1995</v>
      </c>
      <c r="H1901" s="22" t="str">
        <f t="shared" si="138"/>
        <v/>
      </c>
      <c r="J1901" s="32"/>
      <c r="R1901" s="24" t="str">
        <f t="shared" si="139"/>
        <v/>
      </c>
      <c r="S1901" s="24" t="str">
        <f t="shared" si="140"/>
        <v/>
      </c>
      <c r="T1901" t="str">
        <f t="shared" si="137"/>
        <v/>
      </c>
    </row>
    <row r="1902" spans="1:20">
      <c r="A1902" s="22" t="s">
        <v>1996</v>
      </c>
      <c r="H1902" s="22" t="str">
        <f t="shared" si="138"/>
        <v/>
      </c>
      <c r="J1902" s="32"/>
      <c r="R1902" s="24" t="str">
        <f t="shared" si="139"/>
        <v/>
      </c>
      <c r="S1902" s="24" t="str">
        <f t="shared" si="140"/>
        <v/>
      </c>
      <c r="T1902" t="str">
        <f t="shared" si="137"/>
        <v/>
      </c>
    </row>
    <row r="1903" spans="1:20">
      <c r="A1903" s="22" t="s">
        <v>1997</v>
      </c>
      <c r="H1903" s="22" t="str">
        <f t="shared" si="138"/>
        <v/>
      </c>
      <c r="J1903" s="32"/>
      <c r="R1903" s="24" t="str">
        <f t="shared" si="139"/>
        <v/>
      </c>
      <c r="S1903" s="24" t="str">
        <f t="shared" si="140"/>
        <v/>
      </c>
      <c r="T1903" t="str">
        <f t="shared" si="137"/>
        <v/>
      </c>
    </row>
    <row r="1904" spans="1:20">
      <c r="A1904" s="22" t="s">
        <v>1998</v>
      </c>
      <c r="H1904" s="22" t="str">
        <f t="shared" si="138"/>
        <v/>
      </c>
      <c r="J1904" s="32"/>
      <c r="R1904" s="24" t="str">
        <f t="shared" si="139"/>
        <v/>
      </c>
      <c r="S1904" s="24" t="str">
        <f t="shared" si="140"/>
        <v/>
      </c>
      <c r="T1904" t="str">
        <f t="shared" si="137"/>
        <v/>
      </c>
    </row>
    <row r="1905" spans="1:20">
      <c r="A1905" s="22" t="s">
        <v>1999</v>
      </c>
      <c r="H1905" s="22" t="str">
        <f t="shared" si="138"/>
        <v/>
      </c>
      <c r="J1905" s="32"/>
      <c r="R1905" s="24" t="str">
        <f t="shared" si="139"/>
        <v/>
      </c>
      <c r="S1905" s="24" t="str">
        <f t="shared" si="140"/>
        <v/>
      </c>
      <c r="T1905" t="str">
        <f t="shared" si="137"/>
        <v/>
      </c>
    </row>
    <row r="1906" spans="1:20">
      <c r="A1906" s="22" t="s">
        <v>2000</v>
      </c>
      <c r="H1906" s="22" t="str">
        <f t="shared" si="138"/>
        <v/>
      </c>
      <c r="J1906" s="32"/>
      <c r="R1906" s="24" t="str">
        <f t="shared" si="139"/>
        <v/>
      </c>
      <c r="S1906" s="24" t="str">
        <f t="shared" si="140"/>
        <v/>
      </c>
      <c r="T1906" t="str">
        <f t="shared" si="137"/>
        <v/>
      </c>
    </row>
    <row r="1907" spans="1:20">
      <c r="A1907" s="22" t="s">
        <v>2001</v>
      </c>
      <c r="H1907" s="22" t="str">
        <f t="shared" si="138"/>
        <v/>
      </c>
      <c r="J1907" s="32"/>
      <c r="R1907" s="24" t="str">
        <f t="shared" si="139"/>
        <v/>
      </c>
      <c r="S1907" s="24" t="str">
        <f t="shared" si="140"/>
        <v/>
      </c>
      <c r="T1907" t="str">
        <f t="shared" si="137"/>
        <v/>
      </c>
    </row>
    <row r="1908" spans="1:20">
      <c r="A1908" s="22" t="s">
        <v>2002</v>
      </c>
      <c r="H1908" s="22" t="str">
        <f t="shared" si="138"/>
        <v/>
      </c>
      <c r="J1908" s="32"/>
      <c r="R1908" s="24" t="str">
        <f t="shared" si="139"/>
        <v/>
      </c>
      <c r="S1908" s="24" t="str">
        <f t="shared" si="140"/>
        <v/>
      </c>
      <c r="T1908" t="str">
        <f t="shared" si="137"/>
        <v/>
      </c>
    </row>
    <row r="1909" spans="1:20">
      <c r="A1909" s="22" t="s">
        <v>2003</v>
      </c>
      <c r="H1909" s="22" t="str">
        <f t="shared" si="138"/>
        <v/>
      </c>
      <c r="J1909" s="32"/>
      <c r="R1909" s="24" t="str">
        <f t="shared" si="139"/>
        <v/>
      </c>
      <c r="S1909" s="24" t="str">
        <f t="shared" si="140"/>
        <v/>
      </c>
      <c r="T1909" t="str">
        <f t="shared" si="137"/>
        <v/>
      </c>
    </row>
    <row r="1910" spans="1:20">
      <c r="A1910" s="22" t="s">
        <v>2004</v>
      </c>
      <c r="H1910" s="22" t="str">
        <f t="shared" si="138"/>
        <v/>
      </c>
      <c r="J1910" s="32"/>
      <c r="R1910" s="24" t="str">
        <f t="shared" si="139"/>
        <v/>
      </c>
      <c r="S1910" s="24" t="str">
        <f t="shared" si="140"/>
        <v/>
      </c>
      <c r="T1910" t="str">
        <f t="shared" si="137"/>
        <v/>
      </c>
    </row>
    <row r="1911" spans="1:20">
      <c r="A1911" s="22" t="s">
        <v>2005</v>
      </c>
      <c r="H1911" s="22" t="str">
        <f t="shared" si="138"/>
        <v/>
      </c>
      <c r="J1911" s="32"/>
      <c r="R1911" s="24" t="str">
        <f t="shared" si="139"/>
        <v/>
      </c>
      <c r="S1911" s="24" t="str">
        <f t="shared" si="140"/>
        <v/>
      </c>
      <c r="T1911" t="str">
        <f t="shared" si="137"/>
        <v/>
      </c>
    </row>
    <row r="1912" spans="1:20">
      <c r="A1912" s="22" t="s">
        <v>2006</v>
      </c>
      <c r="H1912" s="22" t="str">
        <f t="shared" si="138"/>
        <v/>
      </c>
      <c r="J1912" s="32"/>
      <c r="R1912" s="24" t="str">
        <f t="shared" si="139"/>
        <v/>
      </c>
      <c r="S1912" s="24" t="str">
        <f t="shared" si="140"/>
        <v/>
      </c>
      <c r="T1912" t="str">
        <f t="shared" si="137"/>
        <v/>
      </c>
    </row>
    <row r="1913" spans="1:20">
      <c r="A1913" s="22" t="s">
        <v>2007</v>
      </c>
      <c r="H1913" s="22" t="str">
        <f t="shared" si="138"/>
        <v/>
      </c>
      <c r="J1913" s="32"/>
      <c r="R1913" s="24" t="str">
        <f t="shared" si="139"/>
        <v/>
      </c>
      <c r="S1913" s="24" t="str">
        <f t="shared" si="140"/>
        <v/>
      </c>
      <c r="T1913" t="str">
        <f t="shared" si="137"/>
        <v/>
      </c>
    </row>
    <row r="1914" spans="1:20">
      <c r="A1914" s="22" t="s">
        <v>2008</v>
      </c>
      <c r="H1914" s="22" t="str">
        <f t="shared" si="138"/>
        <v/>
      </c>
      <c r="J1914" s="32"/>
      <c r="R1914" s="24" t="str">
        <f t="shared" si="139"/>
        <v/>
      </c>
      <c r="S1914" s="24" t="str">
        <f t="shared" si="140"/>
        <v/>
      </c>
      <c r="T1914" t="str">
        <f t="shared" si="137"/>
        <v/>
      </c>
    </row>
    <row r="1915" spans="1:20">
      <c r="A1915" s="22" t="s">
        <v>2009</v>
      </c>
      <c r="H1915" s="22" t="str">
        <f t="shared" si="138"/>
        <v/>
      </c>
      <c r="J1915" s="32"/>
      <c r="R1915" s="24" t="str">
        <f t="shared" si="139"/>
        <v/>
      </c>
      <c r="S1915" s="24" t="str">
        <f t="shared" si="140"/>
        <v/>
      </c>
      <c r="T1915" t="str">
        <f t="shared" si="137"/>
        <v/>
      </c>
    </row>
    <row r="1916" spans="1:20">
      <c r="A1916" s="22" t="s">
        <v>2010</v>
      </c>
      <c r="H1916" s="22" t="str">
        <f t="shared" si="138"/>
        <v/>
      </c>
      <c r="J1916" s="32"/>
      <c r="R1916" s="24" t="str">
        <f t="shared" si="139"/>
        <v/>
      </c>
      <c r="S1916" s="24" t="str">
        <f t="shared" si="140"/>
        <v/>
      </c>
      <c r="T1916" t="str">
        <f t="shared" si="137"/>
        <v/>
      </c>
    </row>
    <row r="1917" spans="1:20">
      <c r="A1917" s="22" t="s">
        <v>2011</v>
      </c>
      <c r="H1917" s="22" t="str">
        <f t="shared" si="138"/>
        <v/>
      </c>
      <c r="J1917" s="32"/>
      <c r="R1917" s="24" t="str">
        <f t="shared" si="139"/>
        <v/>
      </c>
      <c r="S1917" s="24" t="str">
        <f t="shared" si="140"/>
        <v/>
      </c>
      <c r="T1917" t="str">
        <f t="shared" si="137"/>
        <v/>
      </c>
    </row>
    <row r="1918" spans="1:20">
      <c r="A1918" s="22" t="s">
        <v>2012</v>
      </c>
      <c r="H1918" s="22" t="str">
        <f t="shared" si="138"/>
        <v/>
      </c>
      <c r="J1918" s="32"/>
      <c r="R1918" s="24" t="str">
        <f t="shared" si="139"/>
        <v/>
      </c>
      <c r="S1918" s="24" t="str">
        <f t="shared" si="140"/>
        <v/>
      </c>
      <c r="T1918" t="str">
        <f t="shared" si="137"/>
        <v/>
      </c>
    </row>
    <row r="1919" spans="1:20">
      <c r="A1919" s="22" t="s">
        <v>2013</v>
      </c>
      <c r="H1919" s="22" t="str">
        <f t="shared" si="138"/>
        <v/>
      </c>
      <c r="J1919" s="32"/>
      <c r="R1919" s="24" t="str">
        <f t="shared" si="139"/>
        <v/>
      </c>
      <c r="S1919" s="24" t="str">
        <f t="shared" si="140"/>
        <v/>
      </c>
      <c r="T1919" t="str">
        <f t="shared" si="137"/>
        <v/>
      </c>
    </row>
    <row r="1920" spans="1:20">
      <c r="A1920" s="22" t="s">
        <v>2014</v>
      </c>
      <c r="H1920" s="22" t="str">
        <f t="shared" si="138"/>
        <v/>
      </c>
      <c r="J1920" s="32"/>
      <c r="R1920" s="24" t="str">
        <f t="shared" si="139"/>
        <v/>
      </c>
      <c r="S1920" s="24" t="str">
        <f t="shared" si="140"/>
        <v/>
      </c>
      <c r="T1920" t="str">
        <f t="shared" si="137"/>
        <v/>
      </c>
    </row>
    <row r="1921" spans="1:20">
      <c r="A1921" s="22" t="s">
        <v>2015</v>
      </c>
      <c r="H1921" s="22" t="str">
        <f t="shared" si="138"/>
        <v/>
      </c>
      <c r="J1921" s="32"/>
      <c r="R1921" s="24" t="str">
        <f t="shared" si="139"/>
        <v/>
      </c>
      <c r="S1921" s="24" t="str">
        <f t="shared" si="140"/>
        <v/>
      </c>
      <c r="T1921" t="str">
        <f t="shared" si="137"/>
        <v/>
      </c>
    </row>
    <row r="1922" spans="1:20">
      <c r="A1922" s="22" t="s">
        <v>2016</v>
      </c>
      <c r="H1922" s="22" t="str">
        <f t="shared" si="138"/>
        <v/>
      </c>
      <c r="J1922" s="32"/>
      <c r="R1922" s="24" t="str">
        <f t="shared" si="139"/>
        <v/>
      </c>
      <c r="S1922" s="24" t="str">
        <f t="shared" si="140"/>
        <v/>
      </c>
      <c r="T1922" t="str">
        <f t="shared" si="137"/>
        <v/>
      </c>
    </row>
    <row r="1923" spans="1:20">
      <c r="A1923" s="22" t="s">
        <v>2017</v>
      </c>
      <c r="H1923" s="22" t="str">
        <f t="shared" si="138"/>
        <v/>
      </c>
      <c r="J1923" s="32"/>
      <c r="R1923" s="24" t="str">
        <f t="shared" si="139"/>
        <v/>
      </c>
      <c r="S1923" s="24" t="str">
        <f t="shared" si="140"/>
        <v/>
      </c>
      <c r="T1923" t="str">
        <f t="shared" si="137"/>
        <v/>
      </c>
    </row>
    <row r="1924" spans="1:20">
      <c r="A1924" s="22" t="s">
        <v>2018</v>
      </c>
      <c r="H1924" s="22" t="str">
        <f t="shared" si="138"/>
        <v/>
      </c>
      <c r="J1924" s="32"/>
      <c r="R1924" s="24" t="str">
        <f t="shared" si="139"/>
        <v/>
      </c>
      <c r="S1924" s="24" t="str">
        <f t="shared" si="140"/>
        <v/>
      </c>
      <c r="T1924" t="str">
        <f t="shared" si="137"/>
        <v/>
      </c>
    </row>
    <row r="1925" spans="1:20">
      <c r="A1925" s="22" t="s">
        <v>2019</v>
      </c>
      <c r="H1925" s="22" t="str">
        <f t="shared" si="138"/>
        <v/>
      </c>
      <c r="J1925" s="32"/>
      <c r="R1925" s="24" t="str">
        <f t="shared" si="139"/>
        <v/>
      </c>
      <c r="S1925" s="24" t="str">
        <f t="shared" si="140"/>
        <v/>
      </c>
      <c r="T1925" t="str">
        <f t="shared" si="137"/>
        <v/>
      </c>
    </row>
    <row r="1926" spans="1:20">
      <c r="A1926" s="22" t="s">
        <v>2020</v>
      </c>
      <c r="H1926" s="22" t="str">
        <f t="shared" si="138"/>
        <v/>
      </c>
      <c r="J1926" s="32"/>
      <c r="R1926" s="24" t="str">
        <f t="shared" si="139"/>
        <v/>
      </c>
      <c r="S1926" s="24" t="str">
        <f t="shared" si="140"/>
        <v/>
      </c>
      <c r="T1926" t="str">
        <f t="shared" si="137"/>
        <v/>
      </c>
    </row>
    <row r="1927" spans="1:20">
      <c r="A1927" s="22" t="s">
        <v>2021</v>
      </c>
      <c r="H1927" s="22" t="str">
        <f t="shared" si="138"/>
        <v/>
      </c>
      <c r="J1927" s="32"/>
      <c r="R1927" s="24" t="str">
        <f t="shared" si="139"/>
        <v/>
      </c>
      <c r="S1927" s="24" t="str">
        <f t="shared" si="140"/>
        <v/>
      </c>
      <c r="T1927" t="str">
        <f t="shared" si="137"/>
        <v/>
      </c>
    </row>
    <row r="1928" spans="1:20">
      <c r="A1928" s="22" t="s">
        <v>2022</v>
      </c>
      <c r="H1928" s="22" t="str">
        <f t="shared" si="138"/>
        <v/>
      </c>
      <c r="J1928" s="32"/>
      <c r="R1928" s="24" t="str">
        <f t="shared" si="139"/>
        <v/>
      </c>
      <c r="S1928" s="24" t="str">
        <f t="shared" si="140"/>
        <v/>
      </c>
      <c r="T1928" t="str">
        <f t="shared" si="137"/>
        <v/>
      </c>
    </row>
    <row r="1929" spans="1:20">
      <c r="A1929" s="22" t="s">
        <v>2023</v>
      </c>
      <c r="H1929" s="22" t="str">
        <f t="shared" si="138"/>
        <v/>
      </c>
      <c r="J1929" s="32"/>
      <c r="R1929" s="24" t="str">
        <f t="shared" si="139"/>
        <v/>
      </c>
      <c r="S1929" s="24" t="str">
        <f t="shared" si="140"/>
        <v/>
      </c>
      <c r="T1929" t="str">
        <f t="shared" si="137"/>
        <v/>
      </c>
    </row>
    <row r="1930" spans="1:20">
      <c r="A1930" s="22" t="s">
        <v>2024</v>
      </c>
      <c r="H1930" s="22" t="str">
        <f t="shared" si="138"/>
        <v/>
      </c>
      <c r="J1930" s="32"/>
      <c r="R1930" s="24" t="str">
        <f t="shared" si="139"/>
        <v/>
      </c>
      <c r="S1930" s="24" t="str">
        <f t="shared" si="140"/>
        <v/>
      </c>
      <c r="T1930" t="str">
        <f t="shared" si="137"/>
        <v/>
      </c>
    </row>
    <row r="1931" spans="1:20">
      <c r="A1931" s="22" t="s">
        <v>2025</v>
      </c>
      <c r="H1931" s="22" t="str">
        <f t="shared" si="138"/>
        <v/>
      </c>
      <c r="J1931" s="32"/>
      <c r="R1931" s="24" t="str">
        <f t="shared" si="139"/>
        <v/>
      </c>
      <c r="S1931" s="24" t="str">
        <f t="shared" si="140"/>
        <v/>
      </c>
      <c r="T1931" t="str">
        <f t="shared" si="137"/>
        <v/>
      </c>
    </row>
    <row r="1932" spans="1:20">
      <c r="A1932" s="22" t="s">
        <v>2026</v>
      </c>
      <c r="H1932" s="22" t="str">
        <f t="shared" si="138"/>
        <v/>
      </c>
      <c r="J1932" s="32"/>
      <c r="R1932" s="24" t="str">
        <f t="shared" si="139"/>
        <v/>
      </c>
      <c r="S1932" s="24" t="str">
        <f t="shared" si="140"/>
        <v/>
      </c>
      <c r="T1932" t="str">
        <f t="shared" si="137"/>
        <v/>
      </c>
    </row>
    <row r="1933" spans="1:20">
      <c r="A1933" s="22" t="s">
        <v>2027</v>
      </c>
      <c r="H1933" s="22" t="str">
        <f t="shared" si="138"/>
        <v/>
      </c>
      <c r="J1933" s="32"/>
      <c r="R1933" s="24" t="str">
        <f t="shared" si="139"/>
        <v/>
      </c>
      <c r="S1933" s="24" t="str">
        <f t="shared" si="140"/>
        <v/>
      </c>
      <c r="T1933" t="str">
        <f t="shared" si="137"/>
        <v/>
      </c>
    </row>
    <row r="1934" spans="1:20">
      <c r="A1934" s="22" t="s">
        <v>2028</v>
      </c>
      <c r="H1934" s="22" t="str">
        <f t="shared" si="138"/>
        <v/>
      </c>
      <c r="J1934" s="32"/>
      <c r="R1934" s="24" t="str">
        <f t="shared" si="139"/>
        <v/>
      </c>
      <c r="S1934" s="24" t="str">
        <f t="shared" si="140"/>
        <v/>
      </c>
      <c r="T1934" t="str">
        <f t="shared" si="137"/>
        <v/>
      </c>
    </row>
    <row r="1935" spans="1:20">
      <c r="A1935" s="22" t="s">
        <v>2029</v>
      </c>
      <c r="H1935" s="22" t="str">
        <f t="shared" si="138"/>
        <v/>
      </c>
      <c r="J1935" s="32"/>
      <c r="R1935" s="24" t="str">
        <f t="shared" si="139"/>
        <v/>
      </c>
      <c r="S1935" s="24" t="str">
        <f t="shared" si="140"/>
        <v/>
      </c>
      <c r="T1935" t="str">
        <f t="shared" ref="T1935:T1998" si="141">IF(OR(C1935="",I1935&lt;&gt;"ENTRADA"),"",TEXT(B1935,"AAMMDD")&amp;"-"&amp;TEXT(VALUE(SUBSTITUTE(A1935,"MOV-","")),"000"))</f>
        <v/>
      </c>
    </row>
    <row r="1936" spans="1:20">
      <c r="A1936" s="22" t="s">
        <v>2030</v>
      </c>
      <c r="H1936" s="22" t="str">
        <f t="shared" ref="H1936:H1999" si="142">+T1936</f>
        <v/>
      </c>
      <c r="J1936" s="32"/>
      <c r="R1936" s="24" t="str">
        <f t="shared" ref="R1936:R1999" si="143">IF(H1936="","",H1936&amp;I1936)</f>
        <v/>
      </c>
      <c r="S1936" s="24" t="str">
        <f t="shared" ref="S1936:S1999" si="144">IF(C1936="","",C1936&amp;I1936)</f>
        <v/>
      </c>
      <c r="T1936" t="str">
        <f t="shared" si="141"/>
        <v/>
      </c>
    </row>
    <row r="1937" spans="1:20">
      <c r="A1937" s="22" t="s">
        <v>2031</v>
      </c>
      <c r="H1937" s="22" t="str">
        <f t="shared" si="142"/>
        <v/>
      </c>
      <c r="J1937" s="32"/>
      <c r="R1937" s="24" t="str">
        <f t="shared" si="143"/>
        <v/>
      </c>
      <c r="S1937" s="24" t="str">
        <f t="shared" si="144"/>
        <v/>
      </c>
      <c r="T1937" t="str">
        <f t="shared" si="141"/>
        <v/>
      </c>
    </row>
    <row r="1938" spans="1:20">
      <c r="A1938" s="22" t="s">
        <v>2032</v>
      </c>
      <c r="H1938" s="22" t="str">
        <f t="shared" si="142"/>
        <v/>
      </c>
      <c r="J1938" s="32"/>
      <c r="R1938" s="24" t="str">
        <f t="shared" si="143"/>
        <v/>
      </c>
      <c r="S1938" s="24" t="str">
        <f t="shared" si="144"/>
        <v/>
      </c>
      <c r="T1938" t="str">
        <f t="shared" si="141"/>
        <v/>
      </c>
    </row>
    <row r="1939" spans="1:20">
      <c r="A1939" s="22" t="s">
        <v>2033</v>
      </c>
      <c r="H1939" s="22" t="str">
        <f t="shared" si="142"/>
        <v/>
      </c>
      <c r="J1939" s="32"/>
      <c r="R1939" s="24" t="str">
        <f t="shared" si="143"/>
        <v/>
      </c>
      <c r="S1939" s="24" t="str">
        <f t="shared" si="144"/>
        <v/>
      </c>
      <c r="T1939" t="str">
        <f t="shared" si="141"/>
        <v/>
      </c>
    </row>
    <row r="1940" spans="1:20">
      <c r="A1940" s="22" t="s">
        <v>2034</v>
      </c>
      <c r="H1940" s="22" t="str">
        <f t="shared" si="142"/>
        <v/>
      </c>
      <c r="J1940" s="32"/>
      <c r="R1940" s="24" t="str">
        <f t="shared" si="143"/>
        <v/>
      </c>
      <c r="S1940" s="24" t="str">
        <f t="shared" si="144"/>
        <v/>
      </c>
      <c r="T1940" t="str">
        <f t="shared" si="141"/>
        <v/>
      </c>
    </row>
    <row r="1941" spans="1:20">
      <c r="A1941" s="22" t="s">
        <v>2035</v>
      </c>
      <c r="H1941" s="22" t="str">
        <f t="shared" si="142"/>
        <v/>
      </c>
      <c r="J1941" s="32"/>
      <c r="R1941" s="24" t="str">
        <f t="shared" si="143"/>
        <v/>
      </c>
      <c r="S1941" s="24" t="str">
        <f t="shared" si="144"/>
        <v/>
      </c>
      <c r="T1941" t="str">
        <f t="shared" si="141"/>
        <v/>
      </c>
    </row>
    <row r="1942" spans="1:20">
      <c r="A1942" s="22" t="s">
        <v>2036</v>
      </c>
      <c r="H1942" s="22" t="str">
        <f t="shared" si="142"/>
        <v/>
      </c>
      <c r="J1942" s="32"/>
      <c r="R1942" s="24" t="str">
        <f t="shared" si="143"/>
        <v/>
      </c>
      <c r="S1942" s="24" t="str">
        <f t="shared" si="144"/>
        <v/>
      </c>
      <c r="T1942" t="str">
        <f t="shared" si="141"/>
        <v/>
      </c>
    </row>
    <row r="1943" spans="1:20">
      <c r="A1943" s="22" t="s">
        <v>2037</v>
      </c>
      <c r="H1943" s="22" t="str">
        <f t="shared" si="142"/>
        <v/>
      </c>
      <c r="J1943" s="32"/>
      <c r="R1943" s="24" t="str">
        <f t="shared" si="143"/>
        <v/>
      </c>
      <c r="S1943" s="24" t="str">
        <f t="shared" si="144"/>
        <v/>
      </c>
      <c r="T1943" t="str">
        <f t="shared" si="141"/>
        <v/>
      </c>
    </row>
    <row r="1944" spans="1:20">
      <c r="A1944" s="22" t="s">
        <v>2038</v>
      </c>
      <c r="H1944" s="22" t="str">
        <f t="shared" si="142"/>
        <v/>
      </c>
      <c r="J1944" s="32"/>
      <c r="R1944" s="24" t="str">
        <f t="shared" si="143"/>
        <v/>
      </c>
      <c r="S1944" s="24" t="str">
        <f t="shared" si="144"/>
        <v/>
      </c>
      <c r="T1944" t="str">
        <f t="shared" si="141"/>
        <v/>
      </c>
    </row>
    <row r="1945" spans="1:20">
      <c r="A1945" s="22" t="s">
        <v>2039</v>
      </c>
      <c r="H1945" s="22" t="str">
        <f t="shared" si="142"/>
        <v/>
      </c>
      <c r="J1945" s="32"/>
      <c r="R1945" s="24" t="str">
        <f t="shared" si="143"/>
        <v/>
      </c>
      <c r="S1945" s="24" t="str">
        <f t="shared" si="144"/>
        <v/>
      </c>
      <c r="T1945" t="str">
        <f t="shared" si="141"/>
        <v/>
      </c>
    </row>
    <row r="1946" spans="1:20">
      <c r="A1946" s="22" t="s">
        <v>2040</v>
      </c>
      <c r="H1946" s="22" t="str">
        <f t="shared" si="142"/>
        <v/>
      </c>
      <c r="J1946" s="32"/>
      <c r="R1946" s="24" t="str">
        <f t="shared" si="143"/>
        <v/>
      </c>
      <c r="S1946" s="24" t="str">
        <f t="shared" si="144"/>
        <v/>
      </c>
      <c r="T1946" t="str">
        <f t="shared" si="141"/>
        <v/>
      </c>
    </row>
    <row r="1947" spans="1:20">
      <c r="A1947" s="22" t="s">
        <v>2041</v>
      </c>
      <c r="H1947" s="22" t="str">
        <f t="shared" si="142"/>
        <v/>
      </c>
      <c r="J1947" s="32"/>
      <c r="R1947" s="24" t="str">
        <f t="shared" si="143"/>
        <v/>
      </c>
      <c r="S1947" s="24" t="str">
        <f t="shared" si="144"/>
        <v/>
      </c>
      <c r="T1947" t="str">
        <f t="shared" si="141"/>
        <v/>
      </c>
    </row>
    <row r="1948" spans="1:20">
      <c r="A1948" s="22" t="s">
        <v>2042</v>
      </c>
      <c r="H1948" s="22" t="str">
        <f t="shared" si="142"/>
        <v/>
      </c>
      <c r="J1948" s="32"/>
      <c r="R1948" s="24" t="str">
        <f t="shared" si="143"/>
        <v/>
      </c>
      <c r="S1948" s="24" t="str">
        <f t="shared" si="144"/>
        <v/>
      </c>
      <c r="T1948" t="str">
        <f t="shared" si="141"/>
        <v/>
      </c>
    </row>
    <row r="1949" spans="1:20">
      <c r="A1949" s="22" t="s">
        <v>2043</v>
      </c>
      <c r="H1949" s="22" t="str">
        <f t="shared" si="142"/>
        <v/>
      </c>
      <c r="J1949" s="32"/>
      <c r="R1949" s="24" t="str">
        <f t="shared" si="143"/>
        <v/>
      </c>
      <c r="S1949" s="24" t="str">
        <f t="shared" si="144"/>
        <v/>
      </c>
      <c r="T1949" t="str">
        <f t="shared" si="141"/>
        <v/>
      </c>
    </row>
    <row r="1950" spans="1:20">
      <c r="A1950" s="22" t="s">
        <v>2044</v>
      </c>
      <c r="H1950" s="22" t="str">
        <f t="shared" si="142"/>
        <v/>
      </c>
      <c r="J1950" s="32"/>
      <c r="R1950" s="24" t="str">
        <f t="shared" si="143"/>
        <v/>
      </c>
      <c r="S1950" s="24" t="str">
        <f t="shared" si="144"/>
        <v/>
      </c>
      <c r="T1950" t="str">
        <f t="shared" si="141"/>
        <v/>
      </c>
    </row>
    <row r="1951" spans="1:20">
      <c r="A1951" s="22" t="s">
        <v>2045</v>
      </c>
      <c r="H1951" s="22" t="str">
        <f t="shared" si="142"/>
        <v/>
      </c>
      <c r="J1951" s="32"/>
      <c r="R1951" s="24" t="str">
        <f t="shared" si="143"/>
        <v/>
      </c>
      <c r="S1951" s="24" t="str">
        <f t="shared" si="144"/>
        <v/>
      </c>
      <c r="T1951" t="str">
        <f t="shared" si="141"/>
        <v/>
      </c>
    </row>
    <row r="1952" spans="1:20">
      <c r="A1952" s="22" t="s">
        <v>2046</v>
      </c>
      <c r="H1952" s="22" t="str">
        <f t="shared" si="142"/>
        <v/>
      </c>
      <c r="J1952" s="32"/>
      <c r="R1952" s="24" t="str">
        <f t="shared" si="143"/>
        <v/>
      </c>
      <c r="S1952" s="24" t="str">
        <f t="shared" si="144"/>
        <v/>
      </c>
      <c r="T1952" t="str">
        <f t="shared" si="141"/>
        <v/>
      </c>
    </row>
    <row r="1953" spans="1:20">
      <c r="A1953" s="22" t="s">
        <v>2047</v>
      </c>
      <c r="H1953" s="22" t="str">
        <f t="shared" si="142"/>
        <v/>
      </c>
      <c r="J1953" s="32"/>
      <c r="R1953" s="24" t="str">
        <f t="shared" si="143"/>
        <v/>
      </c>
      <c r="S1953" s="24" t="str">
        <f t="shared" si="144"/>
        <v/>
      </c>
      <c r="T1953" t="str">
        <f t="shared" si="141"/>
        <v/>
      </c>
    </row>
    <row r="1954" spans="1:20">
      <c r="A1954" s="22" t="s">
        <v>2048</v>
      </c>
      <c r="H1954" s="22" t="str">
        <f t="shared" si="142"/>
        <v/>
      </c>
      <c r="J1954" s="32"/>
      <c r="R1954" s="24" t="str">
        <f t="shared" si="143"/>
        <v/>
      </c>
      <c r="S1954" s="24" t="str">
        <f t="shared" si="144"/>
        <v/>
      </c>
      <c r="T1954" t="str">
        <f t="shared" si="141"/>
        <v/>
      </c>
    </row>
    <row r="1955" spans="1:20">
      <c r="A1955" s="22" t="s">
        <v>2049</v>
      </c>
      <c r="H1955" s="22" t="str">
        <f t="shared" si="142"/>
        <v/>
      </c>
      <c r="J1955" s="32"/>
      <c r="R1955" s="24" t="str">
        <f t="shared" si="143"/>
        <v/>
      </c>
      <c r="S1955" s="24" t="str">
        <f t="shared" si="144"/>
        <v/>
      </c>
      <c r="T1955" t="str">
        <f t="shared" si="141"/>
        <v/>
      </c>
    </row>
    <row r="1956" spans="1:20">
      <c r="A1956" s="22" t="s">
        <v>2050</v>
      </c>
      <c r="H1956" s="22" t="str">
        <f t="shared" si="142"/>
        <v/>
      </c>
      <c r="J1956" s="32"/>
      <c r="R1956" s="24" t="str">
        <f t="shared" si="143"/>
        <v/>
      </c>
      <c r="S1956" s="24" t="str">
        <f t="shared" si="144"/>
        <v/>
      </c>
      <c r="T1956" t="str">
        <f t="shared" si="141"/>
        <v/>
      </c>
    </row>
    <row r="1957" spans="1:20">
      <c r="A1957" s="22" t="s">
        <v>2051</v>
      </c>
      <c r="H1957" s="22" t="str">
        <f t="shared" si="142"/>
        <v/>
      </c>
      <c r="J1957" s="32"/>
      <c r="R1957" s="24" t="str">
        <f t="shared" si="143"/>
        <v/>
      </c>
      <c r="S1957" s="24" t="str">
        <f t="shared" si="144"/>
        <v/>
      </c>
      <c r="T1957" t="str">
        <f t="shared" si="141"/>
        <v/>
      </c>
    </row>
    <row r="1958" spans="1:20">
      <c r="A1958" s="22" t="s">
        <v>2052</v>
      </c>
      <c r="H1958" s="22" t="str">
        <f t="shared" si="142"/>
        <v/>
      </c>
      <c r="J1958" s="32"/>
      <c r="R1958" s="24" t="str">
        <f t="shared" si="143"/>
        <v/>
      </c>
      <c r="S1958" s="24" t="str">
        <f t="shared" si="144"/>
        <v/>
      </c>
      <c r="T1958" t="str">
        <f t="shared" si="141"/>
        <v/>
      </c>
    </row>
    <row r="1959" spans="1:20">
      <c r="A1959" s="22" t="s">
        <v>2053</v>
      </c>
      <c r="H1959" s="22" t="str">
        <f t="shared" si="142"/>
        <v/>
      </c>
      <c r="J1959" s="32"/>
      <c r="R1959" s="24" t="str">
        <f t="shared" si="143"/>
        <v/>
      </c>
      <c r="S1959" s="24" t="str">
        <f t="shared" si="144"/>
        <v/>
      </c>
      <c r="T1959" t="str">
        <f t="shared" si="141"/>
        <v/>
      </c>
    </row>
    <row r="1960" spans="1:20">
      <c r="A1960" s="22" t="s">
        <v>2054</v>
      </c>
      <c r="H1960" s="22" t="str">
        <f t="shared" si="142"/>
        <v/>
      </c>
      <c r="J1960" s="32"/>
      <c r="R1960" s="24" t="str">
        <f t="shared" si="143"/>
        <v/>
      </c>
      <c r="S1960" s="24" t="str">
        <f t="shared" si="144"/>
        <v/>
      </c>
      <c r="T1960" t="str">
        <f t="shared" si="141"/>
        <v/>
      </c>
    </row>
    <row r="1961" spans="1:20">
      <c r="A1961" s="22" t="s">
        <v>2055</v>
      </c>
      <c r="H1961" s="22" t="str">
        <f t="shared" si="142"/>
        <v/>
      </c>
      <c r="J1961" s="32"/>
      <c r="R1961" s="24" t="str">
        <f t="shared" si="143"/>
        <v/>
      </c>
      <c r="S1961" s="24" t="str">
        <f t="shared" si="144"/>
        <v/>
      </c>
      <c r="T1961" t="str">
        <f t="shared" si="141"/>
        <v/>
      </c>
    </row>
    <row r="1962" spans="1:20">
      <c r="A1962" s="22" t="s">
        <v>2056</v>
      </c>
      <c r="H1962" s="22" t="str">
        <f t="shared" si="142"/>
        <v/>
      </c>
      <c r="J1962" s="32"/>
      <c r="R1962" s="24" t="str">
        <f t="shared" si="143"/>
        <v/>
      </c>
      <c r="S1962" s="24" t="str">
        <f t="shared" si="144"/>
        <v/>
      </c>
      <c r="T1962" t="str">
        <f t="shared" si="141"/>
        <v/>
      </c>
    </row>
    <row r="1963" spans="1:20">
      <c r="A1963" s="22" t="s">
        <v>2057</v>
      </c>
      <c r="H1963" s="22" t="str">
        <f t="shared" si="142"/>
        <v/>
      </c>
      <c r="J1963" s="32"/>
      <c r="R1963" s="24" t="str">
        <f t="shared" si="143"/>
        <v/>
      </c>
      <c r="S1963" s="24" t="str">
        <f t="shared" si="144"/>
        <v/>
      </c>
      <c r="T1963" t="str">
        <f t="shared" si="141"/>
        <v/>
      </c>
    </row>
    <row r="1964" spans="1:20">
      <c r="A1964" s="22" t="s">
        <v>2058</v>
      </c>
      <c r="H1964" s="22" t="str">
        <f t="shared" si="142"/>
        <v/>
      </c>
      <c r="J1964" s="32"/>
      <c r="R1964" s="24" t="str">
        <f t="shared" si="143"/>
        <v/>
      </c>
      <c r="S1964" s="24" t="str">
        <f t="shared" si="144"/>
        <v/>
      </c>
      <c r="T1964" t="str">
        <f t="shared" si="141"/>
        <v/>
      </c>
    </row>
    <row r="1965" spans="1:20">
      <c r="A1965" s="22" t="s">
        <v>2059</v>
      </c>
      <c r="H1965" s="22" t="str">
        <f t="shared" si="142"/>
        <v/>
      </c>
      <c r="J1965" s="32"/>
      <c r="R1965" s="24" t="str">
        <f t="shared" si="143"/>
        <v/>
      </c>
      <c r="S1965" s="24" t="str">
        <f t="shared" si="144"/>
        <v/>
      </c>
      <c r="T1965" t="str">
        <f t="shared" si="141"/>
        <v/>
      </c>
    </row>
    <row r="1966" spans="1:20">
      <c r="A1966" s="22" t="s">
        <v>2060</v>
      </c>
      <c r="H1966" s="22" t="str">
        <f t="shared" si="142"/>
        <v/>
      </c>
      <c r="J1966" s="32"/>
      <c r="R1966" s="24" t="str">
        <f t="shared" si="143"/>
        <v/>
      </c>
      <c r="S1966" s="24" t="str">
        <f t="shared" si="144"/>
        <v/>
      </c>
      <c r="T1966" t="str">
        <f t="shared" si="141"/>
        <v/>
      </c>
    </row>
    <row r="1967" spans="1:20">
      <c r="A1967" s="22" t="s">
        <v>2061</v>
      </c>
      <c r="H1967" s="22" t="str">
        <f t="shared" si="142"/>
        <v/>
      </c>
      <c r="J1967" s="32"/>
      <c r="R1967" s="24" t="str">
        <f t="shared" si="143"/>
        <v/>
      </c>
      <c r="S1967" s="24" t="str">
        <f t="shared" si="144"/>
        <v/>
      </c>
      <c r="T1967" t="str">
        <f t="shared" si="141"/>
        <v/>
      </c>
    </row>
    <row r="1968" spans="1:20">
      <c r="A1968" s="22" t="s">
        <v>2062</v>
      </c>
      <c r="H1968" s="22" t="str">
        <f t="shared" si="142"/>
        <v/>
      </c>
      <c r="J1968" s="32"/>
      <c r="R1968" s="24" t="str">
        <f t="shared" si="143"/>
        <v/>
      </c>
      <c r="S1968" s="24" t="str">
        <f t="shared" si="144"/>
        <v/>
      </c>
      <c r="T1968" t="str">
        <f t="shared" si="141"/>
        <v/>
      </c>
    </row>
    <row r="1969" spans="1:20">
      <c r="A1969" s="22" t="s">
        <v>2063</v>
      </c>
      <c r="H1969" s="22" t="str">
        <f t="shared" si="142"/>
        <v/>
      </c>
      <c r="J1969" s="32"/>
      <c r="R1969" s="24" t="str">
        <f t="shared" si="143"/>
        <v/>
      </c>
      <c r="S1969" s="24" t="str">
        <f t="shared" si="144"/>
        <v/>
      </c>
      <c r="T1969" t="str">
        <f t="shared" si="141"/>
        <v/>
      </c>
    </row>
    <row r="1970" spans="1:20">
      <c r="A1970" s="22" t="s">
        <v>2064</v>
      </c>
      <c r="H1970" s="22" t="str">
        <f t="shared" si="142"/>
        <v/>
      </c>
      <c r="J1970" s="32"/>
      <c r="R1970" s="24" t="str">
        <f t="shared" si="143"/>
        <v/>
      </c>
      <c r="S1970" s="24" t="str">
        <f t="shared" si="144"/>
        <v/>
      </c>
      <c r="T1970" t="str">
        <f t="shared" si="141"/>
        <v/>
      </c>
    </row>
    <row r="1971" spans="1:20">
      <c r="A1971" s="22" t="s">
        <v>2065</v>
      </c>
      <c r="H1971" s="22" t="str">
        <f t="shared" si="142"/>
        <v/>
      </c>
      <c r="J1971" s="32"/>
      <c r="R1971" s="24" t="str">
        <f t="shared" si="143"/>
        <v/>
      </c>
      <c r="S1971" s="24" t="str">
        <f t="shared" si="144"/>
        <v/>
      </c>
      <c r="T1971" t="str">
        <f t="shared" si="141"/>
        <v/>
      </c>
    </row>
    <row r="1972" spans="1:20">
      <c r="A1972" s="22" t="s">
        <v>2066</v>
      </c>
      <c r="H1972" s="22" t="str">
        <f t="shared" si="142"/>
        <v/>
      </c>
      <c r="J1972" s="32"/>
      <c r="R1972" s="24" t="str">
        <f t="shared" si="143"/>
        <v/>
      </c>
      <c r="S1972" s="24" t="str">
        <f t="shared" si="144"/>
        <v/>
      </c>
      <c r="T1972" t="str">
        <f t="shared" si="141"/>
        <v/>
      </c>
    </row>
    <row r="1973" spans="1:20">
      <c r="A1973" s="22" t="s">
        <v>2067</v>
      </c>
      <c r="H1973" s="22" t="str">
        <f t="shared" si="142"/>
        <v/>
      </c>
      <c r="J1973" s="32"/>
      <c r="R1973" s="24" t="str">
        <f t="shared" si="143"/>
        <v/>
      </c>
      <c r="S1973" s="24" t="str">
        <f t="shared" si="144"/>
        <v/>
      </c>
      <c r="T1973" t="str">
        <f t="shared" si="141"/>
        <v/>
      </c>
    </row>
    <row r="1974" spans="1:20">
      <c r="A1974" s="22" t="s">
        <v>2068</v>
      </c>
      <c r="H1974" s="22" t="str">
        <f t="shared" si="142"/>
        <v/>
      </c>
      <c r="J1974" s="32"/>
      <c r="R1974" s="24" t="str">
        <f t="shared" si="143"/>
        <v/>
      </c>
      <c r="S1974" s="24" t="str">
        <f t="shared" si="144"/>
        <v/>
      </c>
      <c r="T1974" t="str">
        <f t="shared" si="141"/>
        <v/>
      </c>
    </row>
    <row r="1975" spans="1:20">
      <c r="A1975" s="22" t="s">
        <v>2069</v>
      </c>
      <c r="H1975" s="22" t="str">
        <f t="shared" si="142"/>
        <v/>
      </c>
      <c r="J1975" s="32"/>
      <c r="R1975" s="24" t="str">
        <f t="shared" si="143"/>
        <v/>
      </c>
      <c r="S1975" s="24" t="str">
        <f t="shared" si="144"/>
        <v/>
      </c>
      <c r="T1975" t="str">
        <f t="shared" si="141"/>
        <v/>
      </c>
    </row>
    <row r="1976" spans="1:20">
      <c r="A1976" s="22" t="s">
        <v>2070</v>
      </c>
      <c r="H1976" s="22" t="str">
        <f t="shared" si="142"/>
        <v/>
      </c>
      <c r="J1976" s="32"/>
      <c r="R1976" s="24" t="str">
        <f t="shared" si="143"/>
        <v/>
      </c>
      <c r="S1976" s="24" t="str">
        <f t="shared" si="144"/>
        <v/>
      </c>
      <c r="T1976" t="str">
        <f t="shared" si="141"/>
        <v/>
      </c>
    </row>
    <row r="1977" spans="1:20">
      <c r="A1977" s="22" t="s">
        <v>2071</v>
      </c>
      <c r="H1977" s="22" t="str">
        <f t="shared" si="142"/>
        <v/>
      </c>
      <c r="J1977" s="32"/>
      <c r="R1977" s="24" t="str">
        <f t="shared" si="143"/>
        <v/>
      </c>
      <c r="S1977" s="24" t="str">
        <f t="shared" si="144"/>
        <v/>
      </c>
      <c r="T1977" t="str">
        <f t="shared" si="141"/>
        <v/>
      </c>
    </row>
    <row r="1978" spans="1:20">
      <c r="A1978" s="22" t="s">
        <v>2072</v>
      </c>
      <c r="H1978" s="22" t="str">
        <f t="shared" si="142"/>
        <v/>
      </c>
      <c r="J1978" s="32"/>
      <c r="R1978" s="24" t="str">
        <f t="shared" si="143"/>
        <v/>
      </c>
      <c r="S1978" s="24" t="str">
        <f t="shared" si="144"/>
        <v/>
      </c>
      <c r="T1978" t="str">
        <f t="shared" si="141"/>
        <v/>
      </c>
    </row>
    <row r="1979" spans="1:20">
      <c r="A1979" s="22" t="s">
        <v>2073</v>
      </c>
      <c r="H1979" s="22" t="str">
        <f t="shared" si="142"/>
        <v/>
      </c>
      <c r="J1979" s="32"/>
      <c r="R1979" s="24" t="str">
        <f t="shared" si="143"/>
        <v/>
      </c>
      <c r="S1979" s="24" t="str">
        <f t="shared" si="144"/>
        <v/>
      </c>
      <c r="T1979" t="str">
        <f t="shared" si="141"/>
        <v/>
      </c>
    </row>
    <row r="1980" spans="1:20">
      <c r="A1980" s="22" t="s">
        <v>2074</v>
      </c>
      <c r="H1980" s="22" t="str">
        <f t="shared" si="142"/>
        <v/>
      </c>
      <c r="J1980" s="32"/>
      <c r="R1980" s="24" t="str">
        <f t="shared" si="143"/>
        <v/>
      </c>
      <c r="S1980" s="24" t="str">
        <f t="shared" si="144"/>
        <v/>
      </c>
      <c r="T1980" t="str">
        <f t="shared" si="141"/>
        <v/>
      </c>
    </row>
    <row r="1981" spans="1:20">
      <c r="A1981" s="22" t="s">
        <v>2075</v>
      </c>
      <c r="H1981" s="22" t="str">
        <f t="shared" si="142"/>
        <v/>
      </c>
      <c r="J1981" s="32"/>
      <c r="R1981" s="24" t="str">
        <f t="shared" si="143"/>
        <v/>
      </c>
      <c r="S1981" s="24" t="str">
        <f t="shared" si="144"/>
        <v/>
      </c>
      <c r="T1981" t="str">
        <f t="shared" si="141"/>
        <v/>
      </c>
    </row>
    <row r="1982" spans="1:20">
      <c r="A1982" s="22" t="s">
        <v>2076</v>
      </c>
      <c r="H1982" s="22" t="str">
        <f t="shared" si="142"/>
        <v/>
      </c>
      <c r="J1982" s="32"/>
      <c r="R1982" s="24" t="str">
        <f t="shared" si="143"/>
        <v/>
      </c>
      <c r="S1982" s="24" t="str">
        <f t="shared" si="144"/>
        <v/>
      </c>
      <c r="T1982" t="str">
        <f t="shared" si="141"/>
        <v/>
      </c>
    </row>
    <row r="1983" spans="1:20">
      <c r="A1983" s="22" t="s">
        <v>2077</v>
      </c>
      <c r="H1983" s="22" t="str">
        <f t="shared" si="142"/>
        <v/>
      </c>
      <c r="J1983" s="32"/>
      <c r="R1983" s="24" t="str">
        <f t="shared" si="143"/>
        <v/>
      </c>
      <c r="S1983" s="24" t="str">
        <f t="shared" si="144"/>
        <v/>
      </c>
      <c r="T1983" t="str">
        <f t="shared" si="141"/>
        <v/>
      </c>
    </row>
    <row r="1984" spans="1:20">
      <c r="A1984" s="22" t="s">
        <v>2078</v>
      </c>
      <c r="H1984" s="22" t="str">
        <f t="shared" si="142"/>
        <v/>
      </c>
      <c r="J1984" s="32"/>
      <c r="R1984" s="24" t="str">
        <f t="shared" si="143"/>
        <v/>
      </c>
      <c r="S1984" s="24" t="str">
        <f t="shared" si="144"/>
        <v/>
      </c>
      <c r="T1984" t="str">
        <f t="shared" si="141"/>
        <v/>
      </c>
    </row>
    <row r="1985" spans="1:20">
      <c r="A1985" s="22" t="s">
        <v>2079</v>
      </c>
      <c r="H1985" s="22" t="str">
        <f t="shared" si="142"/>
        <v/>
      </c>
      <c r="J1985" s="32"/>
      <c r="R1985" s="24" t="str">
        <f t="shared" si="143"/>
        <v/>
      </c>
      <c r="S1985" s="24" t="str">
        <f t="shared" si="144"/>
        <v/>
      </c>
      <c r="T1985" t="str">
        <f t="shared" si="141"/>
        <v/>
      </c>
    </row>
    <row r="1986" spans="1:20">
      <c r="A1986" s="22" t="s">
        <v>2080</v>
      </c>
      <c r="H1986" s="22" t="str">
        <f t="shared" si="142"/>
        <v/>
      </c>
      <c r="J1986" s="32"/>
      <c r="R1986" s="24" t="str">
        <f t="shared" si="143"/>
        <v/>
      </c>
      <c r="S1986" s="24" t="str">
        <f t="shared" si="144"/>
        <v/>
      </c>
      <c r="T1986" t="str">
        <f t="shared" si="141"/>
        <v/>
      </c>
    </row>
    <row r="1987" spans="1:20">
      <c r="A1987" s="22" t="s">
        <v>2081</v>
      </c>
      <c r="H1987" s="22" t="str">
        <f t="shared" si="142"/>
        <v/>
      </c>
      <c r="J1987" s="32"/>
      <c r="R1987" s="24" t="str">
        <f t="shared" si="143"/>
        <v/>
      </c>
      <c r="S1987" s="24" t="str">
        <f t="shared" si="144"/>
        <v/>
      </c>
      <c r="T1987" t="str">
        <f t="shared" si="141"/>
        <v/>
      </c>
    </row>
    <row r="1988" spans="1:20">
      <c r="A1988" s="22" t="s">
        <v>2082</v>
      </c>
      <c r="H1988" s="22" t="str">
        <f t="shared" si="142"/>
        <v/>
      </c>
      <c r="J1988" s="32"/>
      <c r="R1988" s="24" t="str">
        <f t="shared" si="143"/>
        <v/>
      </c>
      <c r="S1988" s="24" t="str">
        <f t="shared" si="144"/>
        <v/>
      </c>
      <c r="T1988" t="str">
        <f t="shared" si="141"/>
        <v/>
      </c>
    </row>
    <row r="1989" spans="1:20">
      <c r="A1989" s="22" t="s">
        <v>2083</v>
      </c>
      <c r="H1989" s="22" t="str">
        <f t="shared" si="142"/>
        <v/>
      </c>
      <c r="J1989" s="32"/>
      <c r="R1989" s="24" t="str">
        <f t="shared" si="143"/>
        <v/>
      </c>
      <c r="S1989" s="24" t="str">
        <f t="shared" si="144"/>
        <v/>
      </c>
      <c r="T1989" t="str">
        <f t="shared" si="141"/>
        <v/>
      </c>
    </row>
    <row r="1990" spans="1:20">
      <c r="A1990" s="22" t="s">
        <v>2084</v>
      </c>
      <c r="H1990" s="22" t="str">
        <f t="shared" si="142"/>
        <v/>
      </c>
      <c r="J1990" s="32"/>
      <c r="R1990" s="24" t="str">
        <f t="shared" si="143"/>
        <v/>
      </c>
      <c r="S1990" s="24" t="str">
        <f t="shared" si="144"/>
        <v/>
      </c>
      <c r="T1990" t="str">
        <f t="shared" si="141"/>
        <v/>
      </c>
    </row>
    <row r="1991" spans="1:20">
      <c r="A1991" s="22" t="s">
        <v>2085</v>
      </c>
      <c r="H1991" s="22" t="str">
        <f t="shared" si="142"/>
        <v/>
      </c>
      <c r="J1991" s="32"/>
      <c r="R1991" s="24" t="str">
        <f t="shared" si="143"/>
        <v/>
      </c>
      <c r="S1991" s="24" t="str">
        <f t="shared" si="144"/>
        <v/>
      </c>
      <c r="T1991" t="str">
        <f t="shared" si="141"/>
        <v/>
      </c>
    </row>
    <row r="1992" spans="1:20">
      <c r="A1992" s="22" t="s">
        <v>2086</v>
      </c>
      <c r="H1992" s="22" t="str">
        <f t="shared" si="142"/>
        <v/>
      </c>
      <c r="J1992" s="32"/>
      <c r="R1992" s="24" t="str">
        <f t="shared" si="143"/>
        <v/>
      </c>
      <c r="S1992" s="24" t="str">
        <f t="shared" si="144"/>
        <v/>
      </c>
      <c r="T1992" t="str">
        <f t="shared" si="141"/>
        <v/>
      </c>
    </row>
    <row r="1993" spans="1:20">
      <c r="A1993" s="22" t="s">
        <v>2087</v>
      </c>
      <c r="H1993" s="22" t="str">
        <f t="shared" si="142"/>
        <v/>
      </c>
      <c r="J1993" s="32"/>
      <c r="R1993" s="24" t="str">
        <f t="shared" si="143"/>
        <v/>
      </c>
      <c r="S1993" s="24" t="str">
        <f t="shared" si="144"/>
        <v/>
      </c>
      <c r="T1993" t="str">
        <f t="shared" si="141"/>
        <v/>
      </c>
    </row>
    <row r="1994" spans="1:20">
      <c r="A1994" s="22" t="s">
        <v>2088</v>
      </c>
      <c r="H1994" s="22" t="str">
        <f t="shared" si="142"/>
        <v/>
      </c>
      <c r="J1994" s="32"/>
      <c r="R1994" s="24" t="str">
        <f t="shared" si="143"/>
        <v/>
      </c>
      <c r="S1994" s="24" t="str">
        <f t="shared" si="144"/>
        <v/>
      </c>
      <c r="T1994" t="str">
        <f t="shared" si="141"/>
        <v/>
      </c>
    </row>
    <row r="1995" spans="1:20">
      <c r="A1995" s="22" t="s">
        <v>2089</v>
      </c>
      <c r="H1995" s="22" t="str">
        <f t="shared" si="142"/>
        <v/>
      </c>
      <c r="J1995" s="32"/>
      <c r="R1995" s="24" t="str">
        <f t="shared" si="143"/>
        <v/>
      </c>
      <c r="S1995" s="24" t="str">
        <f t="shared" si="144"/>
        <v/>
      </c>
      <c r="T1995" t="str">
        <f t="shared" si="141"/>
        <v/>
      </c>
    </row>
    <row r="1996" spans="1:20">
      <c r="A1996" s="22" t="s">
        <v>2090</v>
      </c>
      <c r="H1996" s="22" t="str">
        <f t="shared" si="142"/>
        <v/>
      </c>
      <c r="J1996" s="32"/>
      <c r="R1996" s="24" t="str">
        <f t="shared" si="143"/>
        <v/>
      </c>
      <c r="S1996" s="24" t="str">
        <f t="shared" si="144"/>
        <v/>
      </c>
      <c r="T1996" t="str">
        <f t="shared" si="141"/>
        <v/>
      </c>
    </row>
    <row r="1997" spans="1:20">
      <c r="A1997" s="22" t="s">
        <v>2091</v>
      </c>
      <c r="H1997" s="22" t="str">
        <f t="shared" si="142"/>
        <v/>
      </c>
      <c r="J1997" s="32"/>
      <c r="R1997" s="24" t="str">
        <f t="shared" si="143"/>
        <v/>
      </c>
      <c r="S1997" s="24" t="str">
        <f t="shared" si="144"/>
        <v/>
      </c>
      <c r="T1997" t="str">
        <f t="shared" si="141"/>
        <v/>
      </c>
    </row>
    <row r="1998" spans="1:20">
      <c r="A1998" s="22" t="s">
        <v>2092</v>
      </c>
      <c r="H1998" s="22" t="str">
        <f t="shared" si="142"/>
        <v/>
      </c>
      <c r="J1998" s="32"/>
      <c r="R1998" s="24" t="str">
        <f t="shared" si="143"/>
        <v/>
      </c>
      <c r="S1998" s="24" t="str">
        <f t="shared" si="144"/>
        <v/>
      </c>
      <c r="T1998" t="str">
        <f t="shared" si="141"/>
        <v/>
      </c>
    </row>
    <row r="1999" spans="1:20">
      <c r="A1999" s="22" t="s">
        <v>2093</v>
      </c>
      <c r="H1999" s="22" t="str">
        <f t="shared" si="142"/>
        <v/>
      </c>
      <c r="J1999" s="32"/>
      <c r="R1999" s="24" t="str">
        <f t="shared" si="143"/>
        <v/>
      </c>
      <c r="S1999" s="24" t="str">
        <f t="shared" si="144"/>
        <v/>
      </c>
      <c r="T1999" t="str">
        <f t="shared" ref="T1999:T2062" si="145">IF(OR(C1999="",I1999&lt;&gt;"ENTRADA"),"",TEXT(B1999,"AAMMDD")&amp;"-"&amp;TEXT(VALUE(SUBSTITUTE(A1999,"MOV-","")),"000"))</f>
        <v/>
      </c>
    </row>
    <row r="2000" spans="1:20">
      <c r="A2000" s="22" t="s">
        <v>2094</v>
      </c>
      <c r="H2000" s="22" t="str">
        <f t="shared" ref="H2000" si="146">+T2000</f>
        <v/>
      </c>
      <c r="J2000" s="32"/>
      <c r="R2000" s="24" t="str">
        <f t="shared" ref="R2000:R2063" si="147">IF(H2000="","",H2000&amp;I2000)</f>
        <v/>
      </c>
      <c r="S2000" s="24" t="str">
        <f t="shared" ref="S2000:S2063" si="148">IF(C2000="","",C2000&amp;I2000)</f>
        <v/>
      </c>
      <c r="T2000" t="str">
        <f t="shared" si="145"/>
        <v/>
      </c>
    </row>
    <row r="2001" spans="1:20">
      <c r="A2001" s="22" t="s">
        <v>2095</v>
      </c>
      <c r="R2001" s="24" t="str">
        <f t="shared" si="147"/>
        <v/>
      </c>
      <c r="S2001" s="24" t="str">
        <f t="shared" si="148"/>
        <v/>
      </c>
      <c r="T2001" t="str">
        <f t="shared" si="145"/>
        <v/>
      </c>
    </row>
    <row r="2002" spans="1:20">
      <c r="A2002" s="22" t="s">
        <v>2096</v>
      </c>
      <c r="R2002" s="24" t="str">
        <f t="shared" si="147"/>
        <v/>
      </c>
      <c r="S2002" s="24" t="str">
        <f t="shared" si="148"/>
        <v/>
      </c>
      <c r="T2002" t="str">
        <f t="shared" si="145"/>
        <v/>
      </c>
    </row>
    <row r="2003" spans="1:20">
      <c r="A2003" s="22" t="s">
        <v>2097</v>
      </c>
      <c r="R2003" s="24" t="str">
        <f t="shared" si="147"/>
        <v/>
      </c>
      <c r="S2003" s="24" t="str">
        <f t="shared" si="148"/>
        <v/>
      </c>
      <c r="T2003" t="str">
        <f t="shared" si="145"/>
        <v/>
      </c>
    </row>
    <row r="2004" spans="1:20">
      <c r="A2004" s="22" t="s">
        <v>2098</v>
      </c>
      <c r="R2004" s="24" t="str">
        <f t="shared" si="147"/>
        <v/>
      </c>
      <c r="S2004" s="24" t="str">
        <f t="shared" si="148"/>
        <v/>
      </c>
      <c r="T2004" t="str">
        <f t="shared" si="145"/>
        <v/>
      </c>
    </row>
    <row r="2005" spans="1:20">
      <c r="R2005" s="24" t="str">
        <f t="shared" si="147"/>
        <v/>
      </c>
      <c r="S2005" s="24" t="str">
        <f t="shared" si="148"/>
        <v/>
      </c>
      <c r="T2005" t="str">
        <f t="shared" si="145"/>
        <v/>
      </c>
    </row>
    <row r="2006" spans="1:20">
      <c r="R2006" s="24" t="str">
        <f t="shared" si="147"/>
        <v/>
      </c>
      <c r="S2006" s="24" t="str">
        <f t="shared" si="148"/>
        <v/>
      </c>
      <c r="T2006" t="str">
        <f t="shared" si="145"/>
        <v/>
      </c>
    </row>
    <row r="2007" spans="1:20">
      <c r="R2007" s="24" t="str">
        <f t="shared" si="147"/>
        <v/>
      </c>
      <c r="S2007" s="24" t="str">
        <f t="shared" si="148"/>
        <v/>
      </c>
      <c r="T2007" t="str">
        <f t="shared" si="145"/>
        <v/>
      </c>
    </row>
    <row r="2008" spans="1:20">
      <c r="R2008" s="24" t="str">
        <f t="shared" si="147"/>
        <v/>
      </c>
      <c r="S2008" s="24" t="str">
        <f t="shared" si="148"/>
        <v/>
      </c>
      <c r="T2008" t="str">
        <f t="shared" si="145"/>
        <v/>
      </c>
    </row>
    <row r="2009" spans="1:20">
      <c r="R2009" s="24" t="str">
        <f t="shared" si="147"/>
        <v/>
      </c>
      <c r="S2009" s="24" t="str">
        <f t="shared" si="148"/>
        <v/>
      </c>
      <c r="T2009" t="str">
        <f t="shared" si="145"/>
        <v/>
      </c>
    </row>
    <row r="2010" spans="1:20">
      <c r="R2010" s="24" t="str">
        <f t="shared" si="147"/>
        <v/>
      </c>
      <c r="S2010" s="24" t="str">
        <f t="shared" si="148"/>
        <v/>
      </c>
      <c r="T2010" t="str">
        <f t="shared" si="145"/>
        <v/>
      </c>
    </row>
    <row r="2011" spans="1:20">
      <c r="R2011" s="24" t="str">
        <f t="shared" si="147"/>
        <v/>
      </c>
      <c r="S2011" s="24" t="str">
        <f t="shared" si="148"/>
        <v/>
      </c>
      <c r="T2011" t="str">
        <f t="shared" si="145"/>
        <v/>
      </c>
    </row>
    <row r="2012" spans="1:20">
      <c r="R2012" s="24" t="str">
        <f t="shared" si="147"/>
        <v/>
      </c>
      <c r="S2012" s="24" t="str">
        <f t="shared" si="148"/>
        <v/>
      </c>
      <c r="T2012" t="str">
        <f t="shared" si="145"/>
        <v/>
      </c>
    </row>
    <row r="2013" spans="1:20">
      <c r="R2013" s="24" t="str">
        <f t="shared" si="147"/>
        <v/>
      </c>
      <c r="S2013" s="24" t="str">
        <f t="shared" si="148"/>
        <v/>
      </c>
      <c r="T2013" t="str">
        <f t="shared" si="145"/>
        <v/>
      </c>
    </row>
    <row r="2014" spans="1:20">
      <c r="R2014" s="24" t="str">
        <f t="shared" si="147"/>
        <v/>
      </c>
      <c r="S2014" s="24" t="str">
        <f t="shared" si="148"/>
        <v/>
      </c>
      <c r="T2014" t="str">
        <f t="shared" si="145"/>
        <v/>
      </c>
    </row>
    <row r="2015" spans="1:20">
      <c r="R2015" s="24" t="str">
        <f t="shared" si="147"/>
        <v/>
      </c>
      <c r="S2015" s="24" t="str">
        <f t="shared" si="148"/>
        <v/>
      </c>
      <c r="T2015" t="str">
        <f t="shared" si="145"/>
        <v/>
      </c>
    </row>
    <row r="2016" spans="1:20">
      <c r="R2016" s="24" t="str">
        <f t="shared" si="147"/>
        <v/>
      </c>
      <c r="S2016" s="24" t="str">
        <f t="shared" si="148"/>
        <v/>
      </c>
      <c r="T2016" t="str">
        <f t="shared" si="145"/>
        <v/>
      </c>
    </row>
    <row r="2017" spans="18:20">
      <c r="R2017" s="24" t="str">
        <f t="shared" si="147"/>
        <v/>
      </c>
      <c r="S2017" s="24" t="str">
        <f t="shared" si="148"/>
        <v/>
      </c>
      <c r="T2017" t="str">
        <f t="shared" si="145"/>
        <v/>
      </c>
    </row>
    <row r="2018" spans="18:20">
      <c r="R2018" s="24" t="str">
        <f t="shared" si="147"/>
        <v/>
      </c>
      <c r="S2018" s="24" t="str">
        <f t="shared" si="148"/>
        <v/>
      </c>
      <c r="T2018" t="str">
        <f t="shared" si="145"/>
        <v/>
      </c>
    </row>
    <row r="2019" spans="18:20">
      <c r="R2019" s="24" t="str">
        <f t="shared" si="147"/>
        <v/>
      </c>
      <c r="S2019" s="24" t="str">
        <f t="shared" si="148"/>
        <v/>
      </c>
      <c r="T2019" t="str">
        <f t="shared" si="145"/>
        <v/>
      </c>
    </row>
    <row r="2020" spans="18:20">
      <c r="R2020" s="24" t="str">
        <f t="shared" si="147"/>
        <v/>
      </c>
      <c r="S2020" s="24" t="str">
        <f t="shared" si="148"/>
        <v/>
      </c>
      <c r="T2020" t="str">
        <f t="shared" si="145"/>
        <v/>
      </c>
    </row>
    <row r="2021" spans="18:20">
      <c r="R2021" s="24" t="str">
        <f t="shared" si="147"/>
        <v/>
      </c>
      <c r="S2021" s="24" t="str">
        <f t="shared" si="148"/>
        <v/>
      </c>
      <c r="T2021" t="str">
        <f t="shared" si="145"/>
        <v/>
      </c>
    </row>
    <row r="2022" spans="18:20">
      <c r="R2022" s="24" t="str">
        <f t="shared" si="147"/>
        <v/>
      </c>
      <c r="S2022" s="24" t="str">
        <f t="shared" si="148"/>
        <v/>
      </c>
      <c r="T2022" t="str">
        <f t="shared" si="145"/>
        <v/>
      </c>
    </row>
    <row r="2023" spans="18:20">
      <c r="R2023" s="24" t="str">
        <f t="shared" si="147"/>
        <v/>
      </c>
      <c r="S2023" s="24" t="str">
        <f t="shared" si="148"/>
        <v/>
      </c>
      <c r="T2023" t="str">
        <f t="shared" si="145"/>
        <v/>
      </c>
    </row>
    <row r="2024" spans="18:20">
      <c r="R2024" s="24" t="str">
        <f t="shared" si="147"/>
        <v/>
      </c>
      <c r="S2024" s="24" t="str">
        <f t="shared" si="148"/>
        <v/>
      </c>
      <c r="T2024" t="str">
        <f t="shared" si="145"/>
        <v/>
      </c>
    </row>
    <row r="2025" spans="18:20">
      <c r="R2025" s="24" t="str">
        <f t="shared" si="147"/>
        <v/>
      </c>
      <c r="S2025" s="24" t="str">
        <f t="shared" si="148"/>
        <v/>
      </c>
      <c r="T2025" t="str">
        <f t="shared" si="145"/>
        <v/>
      </c>
    </row>
    <row r="2026" spans="18:20">
      <c r="R2026" s="24" t="str">
        <f t="shared" si="147"/>
        <v/>
      </c>
      <c r="S2026" s="24" t="str">
        <f t="shared" si="148"/>
        <v/>
      </c>
      <c r="T2026" t="str">
        <f t="shared" si="145"/>
        <v/>
      </c>
    </row>
    <row r="2027" spans="18:20">
      <c r="R2027" s="24" t="str">
        <f t="shared" si="147"/>
        <v/>
      </c>
      <c r="S2027" s="24" t="str">
        <f t="shared" si="148"/>
        <v/>
      </c>
      <c r="T2027" t="str">
        <f t="shared" si="145"/>
        <v/>
      </c>
    </row>
    <row r="2028" spans="18:20">
      <c r="R2028" s="24" t="str">
        <f t="shared" si="147"/>
        <v/>
      </c>
      <c r="S2028" s="24" t="str">
        <f t="shared" si="148"/>
        <v/>
      </c>
      <c r="T2028" t="str">
        <f t="shared" si="145"/>
        <v/>
      </c>
    </row>
    <row r="2029" spans="18:20">
      <c r="R2029" s="24" t="str">
        <f t="shared" si="147"/>
        <v/>
      </c>
      <c r="S2029" s="24" t="str">
        <f t="shared" si="148"/>
        <v/>
      </c>
      <c r="T2029" t="str">
        <f t="shared" si="145"/>
        <v/>
      </c>
    </row>
    <row r="2030" spans="18:20">
      <c r="R2030" s="24" t="str">
        <f t="shared" si="147"/>
        <v/>
      </c>
      <c r="S2030" s="24" t="str">
        <f t="shared" si="148"/>
        <v/>
      </c>
      <c r="T2030" t="str">
        <f t="shared" si="145"/>
        <v/>
      </c>
    </row>
    <row r="2031" spans="18:20">
      <c r="R2031" s="24" t="str">
        <f t="shared" si="147"/>
        <v/>
      </c>
      <c r="S2031" s="24" t="str">
        <f t="shared" si="148"/>
        <v/>
      </c>
      <c r="T2031" t="str">
        <f t="shared" si="145"/>
        <v/>
      </c>
    </row>
    <row r="2032" spans="18:20">
      <c r="R2032" s="24" t="str">
        <f t="shared" si="147"/>
        <v/>
      </c>
      <c r="S2032" s="24" t="str">
        <f t="shared" si="148"/>
        <v/>
      </c>
      <c r="T2032" t="str">
        <f t="shared" si="145"/>
        <v/>
      </c>
    </row>
    <row r="2033" spans="18:20">
      <c r="R2033" s="24" t="str">
        <f t="shared" si="147"/>
        <v/>
      </c>
      <c r="S2033" s="24" t="str">
        <f t="shared" si="148"/>
        <v/>
      </c>
      <c r="T2033" t="str">
        <f t="shared" si="145"/>
        <v/>
      </c>
    </row>
    <row r="2034" spans="18:20">
      <c r="R2034" s="24" t="str">
        <f t="shared" si="147"/>
        <v/>
      </c>
      <c r="S2034" s="24" t="str">
        <f t="shared" si="148"/>
        <v/>
      </c>
      <c r="T2034" t="str">
        <f t="shared" si="145"/>
        <v/>
      </c>
    </row>
    <row r="2035" spans="18:20">
      <c r="R2035" s="24" t="str">
        <f t="shared" si="147"/>
        <v/>
      </c>
      <c r="S2035" s="24" t="str">
        <f t="shared" si="148"/>
        <v/>
      </c>
      <c r="T2035" t="str">
        <f t="shared" si="145"/>
        <v/>
      </c>
    </row>
    <row r="2036" spans="18:20">
      <c r="R2036" s="24" t="str">
        <f t="shared" si="147"/>
        <v/>
      </c>
      <c r="S2036" s="24" t="str">
        <f t="shared" si="148"/>
        <v/>
      </c>
      <c r="T2036" t="str">
        <f t="shared" si="145"/>
        <v/>
      </c>
    </row>
    <row r="2037" spans="18:20">
      <c r="R2037" s="24" t="str">
        <f t="shared" si="147"/>
        <v/>
      </c>
      <c r="S2037" s="24" t="str">
        <f t="shared" si="148"/>
        <v/>
      </c>
      <c r="T2037" t="str">
        <f t="shared" si="145"/>
        <v/>
      </c>
    </row>
    <row r="2038" spans="18:20">
      <c r="R2038" s="24" t="str">
        <f t="shared" si="147"/>
        <v/>
      </c>
      <c r="S2038" s="24" t="str">
        <f t="shared" si="148"/>
        <v/>
      </c>
      <c r="T2038" t="str">
        <f t="shared" si="145"/>
        <v/>
      </c>
    </row>
    <row r="2039" spans="18:20">
      <c r="R2039" s="24" t="str">
        <f t="shared" si="147"/>
        <v/>
      </c>
      <c r="S2039" s="24" t="str">
        <f t="shared" si="148"/>
        <v/>
      </c>
      <c r="T2039" t="str">
        <f t="shared" si="145"/>
        <v/>
      </c>
    </row>
    <row r="2040" spans="18:20">
      <c r="R2040" s="24" t="str">
        <f t="shared" si="147"/>
        <v/>
      </c>
      <c r="S2040" s="24" t="str">
        <f t="shared" si="148"/>
        <v/>
      </c>
      <c r="T2040" t="str">
        <f t="shared" si="145"/>
        <v/>
      </c>
    </row>
    <row r="2041" spans="18:20">
      <c r="R2041" s="24" t="str">
        <f t="shared" si="147"/>
        <v/>
      </c>
      <c r="S2041" s="24" t="str">
        <f t="shared" si="148"/>
        <v/>
      </c>
      <c r="T2041" t="str">
        <f t="shared" si="145"/>
        <v/>
      </c>
    </row>
    <row r="2042" spans="18:20">
      <c r="R2042" s="24" t="str">
        <f t="shared" si="147"/>
        <v/>
      </c>
      <c r="S2042" s="24" t="str">
        <f t="shared" si="148"/>
        <v/>
      </c>
      <c r="T2042" t="str">
        <f t="shared" si="145"/>
        <v/>
      </c>
    </row>
    <row r="2043" spans="18:20">
      <c r="R2043" s="24" t="str">
        <f t="shared" si="147"/>
        <v/>
      </c>
      <c r="S2043" s="24" t="str">
        <f t="shared" si="148"/>
        <v/>
      </c>
      <c r="T2043" t="str">
        <f t="shared" si="145"/>
        <v/>
      </c>
    </row>
    <row r="2044" spans="18:20">
      <c r="R2044" s="24" t="str">
        <f t="shared" si="147"/>
        <v/>
      </c>
      <c r="S2044" s="24" t="str">
        <f t="shared" si="148"/>
        <v/>
      </c>
      <c r="T2044" t="str">
        <f t="shared" si="145"/>
        <v/>
      </c>
    </row>
    <row r="2045" spans="18:20">
      <c r="R2045" s="24" t="str">
        <f t="shared" si="147"/>
        <v/>
      </c>
      <c r="S2045" s="24" t="str">
        <f t="shared" si="148"/>
        <v/>
      </c>
      <c r="T2045" t="str">
        <f t="shared" si="145"/>
        <v/>
      </c>
    </row>
    <row r="2046" spans="18:20">
      <c r="R2046" s="24" t="str">
        <f t="shared" si="147"/>
        <v/>
      </c>
      <c r="S2046" s="24" t="str">
        <f t="shared" si="148"/>
        <v/>
      </c>
      <c r="T2046" t="str">
        <f t="shared" si="145"/>
        <v/>
      </c>
    </row>
    <row r="2047" spans="18:20">
      <c r="R2047" s="24" t="str">
        <f t="shared" si="147"/>
        <v/>
      </c>
      <c r="S2047" s="24" t="str">
        <f t="shared" si="148"/>
        <v/>
      </c>
      <c r="T2047" t="str">
        <f t="shared" si="145"/>
        <v/>
      </c>
    </row>
    <row r="2048" spans="18:20">
      <c r="R2048" s="24" t="str">
        <f t="shared" si="147"/>
        <v/>
      </c>
      <c r="S2048" s="24" t="str">
        <f t="shared" si="148"/>
        <v/>
      </c>
      <c r="T2048" t="str">
        <f t="shared" si="145"/>
        <v/>
      </c>
    </row>
    <row r="2049" spans="18:20">
      <c r="R2049" s="24" t="str">
        <f t="shared" si="147"/>
        <v/>
      </c>
      <c r="S2049" s="24" t="str">
        <f t="shared" si="148"/>
        <v/>
      </c>
      <c r="T2049" t="str">
        <f t="shared" si="145"/>
        <v/>
      </c>
    </row>
    <row r="2050" spans="18:20">
      <c r="R2050" s="24" t="str">
        <f t="shared" si="147"/>
        <v/>
      </c>
      <c r="S2050" s="24" t="str">
        <f t="shared" si="148"/>
        <v/>
      </c>
      <c r="T2050" t="str">
        <f t="shared" si="145"/>
        <v/>
      </c>
    </row>
    <row r="2051" spans="18:20">
      <c r="R2051" s="24" t="str">
        <f t="shared" si="147"/>
        <v/>
      </c>
      <c r="S2051" s="24" t="str">
        <f t="shared" si="148"/>
        <v/>
      </c>
      <c r="T2051" t="str">
        <f t="shared" si="145"/>
        <v/>
      </c>
    </row>
    <row r="2052" spans="18:20">
      <c r="R2052" s="24" t="str">
        <f t="shared" si="147"/>
        <v/>
      </c>
      <c r="S2052" s="24" t="str">
        <f t="shared" si="148"/>
        <v/>
      </c>
      <c r="T2052" t="str">
        <f t="shared" si="145"/>
        <v/>
      </c>
    </row>
    <row r="2053" spans="18:20">
      <c r="R2053" s="24" t="str">
        <f t="shared" si="147"/>
        <v/>
      </c>
      <c r="S2053" s="24" t="str">
        <f t="shared" si="148"/>
        <v/>
      </c>
      <c r="T2053" t="str">
        <f t="shared" si="145"/>
        <v/>
      </c>
    </row>
    <row r="2054" spans="18:20">
      <c r="R2054" s="24" t="str">
        <f t="shared" si="147"/>
        <v/>
      </c>
      <c r="S2054" s="24" t="str">
        <f t="shared" si="148"/>
        <v/>
      </c>
      <c r="T2054" t="str">
        <f t="shared" si="145"/>
        <v/>
      </c>
    </row>
    <row r="2055" spans="18:20">
      <c r="R2055" s="24" t="str">
        <f t="shared" si="147"/>
        <v/>
      </c>
      <c r="S2055" s="24" t="str">
        <f t="shared" si="148"/>
        <v/>
      </c>
      <c r="T2055" t="str">
        <f t="shared" si="145"/>
        <v/>
      </c>
    </row>
    <row r="2056" spans="18:20">
      <c r="R2056" s="24" t="str">
        <f t="shared" si="147"/>
        <v/>
      </c>
      <c r="S2056" s="24" t="str">
        <f t="shared" si="148"/>
        <v/>
      </c>
      <c r="T2056" t="str">
        <f t="shared" si="145"/>
        <v/>
      </c>
    </row>
    <row r="2057" spans="18:20">
      <c r="R2057" s="24" t="str">
        <f t="shared" si="147"/>
        <v/>
      </c>
      <c r="S2057" s="24" t="str">
        <f t="shared" si="148"/>
        <v/>
      </c>
      <c r="T2057" t="str">
        <f t="shared" si="145"/>
        <v/>
      </c>
    </row>
    <row r="2058" spans="18:20">
      <c r="R2058" s="24" t="str">
        <f t="shared" si="147"/>
        <v/>
      </c>
      <c r="S2058" s="24" t="str">
        <f t="shared" si="148"/>
        <v/>
      </c>
      <c r="T2058" t="str">
        <f t="shared" si="145"/>
        <v/>
      </c>
    </row>
    <row r="2059" spans="18:20">
      <c r="R2059" s="24" t="str">
        <f t="shared" si="147"/>
        <v/>
      </c>
      <c r="S2059" s="24" t="str">
        <f t="shared" si="148"/>
        <v/>
      </c>
      <c r="T2059" t="str">
        <f t="shared" si="145"/>
        <v/>
      </c>
    </row>
    <row r="2060" spans="18:20">
      <c r="R2060" s="24" t="str">
        <f t="shared" si="147"/>
        <v/>
      </c>
      <c r="S2060" s="24" t="str">
        <f t="shared" si="148"/>
        <v/>
      </c>
      <c r="T2060" t="str">
        <f t="shared" si="145"/>
        <v/>
      </c>
    </row>
    <row r="2061" spans="18:20">
      <c r="R2061" s="24" t="str">
        <f t="shared" si="147"/>
        <v/>
      </c>
      <c r="S2061" s="24" t="str">
        <f t="shared" si="148"/>
        <v/>
      </c>
      <c r="T2061" t="str">
        <f t="shared" si="145"/>
        <v/>
      </c>
    </row>
    <row r="2062" spans="18:20">
      <c r="R2062" s="24" t="str">
        <f t="shared" si="147"/>
        <v/>
      </c>
      <c r="S2062" s="24" t="str">
        <f t="shared" si="148"/>
        <v/>
      </c>
      <c r="T2062" t="str">
        <f t="shared" si="145"/>
        <v/>
      </c>
    </row>
    <row r="2063" spans="18:20">
      <c r="R2063" s="24" t="str">
        <f t="shared" si="147"/>
        <v/>
      </c>
      <c r="S2063" s="24" t="str">
        <f t="shared" si="148"/>
        <v/>
      </c>
      <c r="T2063" t="str">
        <f t="shared" ref="T2063:T2126" si="149">IF(OR(C2063="",I2063&lt;&gt;"ENTRADA"),"",TEXT(B2063,"AAMMDD")&amp;"-"&amp;TEXT(VALUE(SUBSTITUTE(A2063,"MOV-","")),"000"))</f>
        <v/>
      </c>
    </row>
    <row r="2064" spans="18:20">
      <c r="R2064" s="24" t="str">
        <f t="shared" ref="R2064:R2127" si="150">IF(H2064="","",H2064&amp;I2064)</f>
        <v/>
      </c>
      <c r="S2064" s="24" t="str">
        <f t="shared" ref="S2064:S2127" si="151">IF(C2064="","",C2064&amp;I2064)</f>
        <v/>
      </c>
      <c r="T2064" t="str">
        <f t="shared" si="149"/>
        <v/>
      </c>
    </row>
    <row r="2065" spans="18:20">
      <c r="R2065" s="24" t="str">
        <f t="shared" si="150"/>
        <v/>
      </c>
      <c r="S2065" s="24" t="str">
        <f t="shared" si="151"/>
        <v/>
      </c>
      <c r="T2065" t="str">
        <f t="shared" si="149"/>
        <v/>
      </c>
    </row>
    <row r="2066" spans="18:20">
      <c r="R2066" s="24" t="str">
        <f t="shared" si="150"/>
        <v/>
      </c>
      <c r="S2066" s="24" t="str">
        <f t="shared" si="151"/>
        <v/>
      </c>
      <c r="T2066" t="str">
        <f t="shared" si="149"/>
        <v/>
      </c>
    </row>
    <row r="2067" spans="18:20">
      <c r="R2067" s="24" t="str">
        <f t="shared" si="150"/>
        <v/>
      </c>
      <c r="S2067" s="24" t="str">
        <f t="shared" si="151"/>
        <v/>
      </c>
      <c r="T2067" t="str">
        <f t="shared" si="149"/>
        <v/>
      </c>
    </row>
    <row r="2068" spans="18:20">
      <c r="R2068" s="24" t="str">
        <f t="shared" si="150"/>
        <v/>
      </c>
      <c r="S2068" s="24" t="str">
        <f t="shared" si="151"/>
        <v/>
      </c>
      <c r="T2068" t="str">
        <f t="shared" si="149"/>
        <v/>
      </c>
    </row>
    <row r="2069" spans="18:20">
      <c r="R2069" s="24" t="str">
        <f t="shared" si="150"/>
        <v/>
      </c>
      <c r="S2069" s="24" t="str">
        <f t="shared" si="151"/>
        <v/>
      </c>
      <c r="T2069" t="str">
        <f t="shared" si="149"/>
        <v/>
      </c>
    </row>
    <row r="2070" spans="18:20">
      <c r="R2070" s="24" t="str">
        <f t="shared" si="150"/>
        <v/>
      </c>
      <c r="S2070" s="24" t="str">
        <f t="shared" si="151"/>
        <v/>
      </c>
      <c r="T2070" t="str">
        <f t="shared" si="149"/>
        <v/>
      </c>
    </row>
    <row r="2071" spans="18:20">
      <c r="R2071" s="24" t="str">
        <f t="shared" si="150"/>
        <v/>
      </c>
      <c r="S2071" s="24" t="str">
        <f t="shared" si="151"/>
        <v/>
      </c>
      <c r="T2071" t="str">
        <f t="shared" si="149"/>
        <v/>
      </c>
    </row>
    <row r="2072" spans="18:20">
      <c r="R2072" s="24" t="str">
        <f t="shared" si="150"/>
        <v/>
      </c>
      <c r="S2072" s="24" t="str">
        <f t="shared" si="151"/>
        <v/>
      </c>
      <c r="T2072" t="str">
        <f t="shared" si="149"/>
        <v/>
      </c>
    </row>
    <row r="2073" spans="18:20">
      <c r="R2073" s="24" t="str">
        <f t="shared" si="150"/>
        <v/>
      </c>
      <c r="S2073" s="24" t="str">
        <f t="shared" si="151"/>
        <v/>
      </c>
      <c r="T2073" t="str">
        <f t="shared" si="149"/>
        <v/>
      </c>
    </row>
    <row r="2074" spans="18:20">
      <c r="R2074" s="24" t="str">
        <f t="shared" si="150"/>
        <v/>
      </c>
      <c r="S2074" s="24" t="str">
        <f t="shared" si="151"/>
        <v/>
      </c>
      <c r="T2074" t="str">
        <f t="shared" si="149"/>
        <v/>
      </c>
    </row>
    <row r="2075" spans="18:20">
      <c r="R2075" s="24" t="str">
        <f t="shared" si="150"/>
        <v/>
      </c>
      <c r="S2075" s="24" t="str">
        <f t="shared" si="151"/>
        <v/>
      </c>
      <c r="T2075" t="str">
        <f t="shared" si="149"/>
        <v/>
      </c>
    </row>
    <row r="2076" spans="18:20">
      <c r="R2076" s="24" t="str">
        <f t="shared" si="150"/>
        <v/>
      </c>
      <c r="S2076" s="24" t="str">
        <f t="shared" si="151"/>
        <v/>
      </c>
      <c r="T2076" t="str">
        <f t="shared" si="149"/>
        <v/>
      </c>
    </row>
    <row r="2077" spans="18:20">
      <c r="R2077" s="24" t="str">
        <f t="shared" si="150"/>
        <v/>
      </c>
      <c r="S2077" s="24" t="str">
        <f t="shared" si="151"/>
        <v/>
      </c>
      <c r="T2077" t="str">
        <f t="shared" si="149"/>
        <v/>
      </c>
    </row>
    <row r="2078" spans="18:20">
      <c r="R2078" s="24" t="str">
        <f t="shared" si="150"/>
        <v/>
      </c>
      <c r="S2078" s="24" t="str">
        <f t="shared" si="151"/>
        <v/>
      </c>
      <c r="T2078" t="str">
        <f t="shared" si="149"/>
        <v/>
      </c>
    </row>
    <row r="2079" spans="18:20">
      <c r="R2079" s="24" t="str">
        <f t="shared" si="150"/>
        <v/>
      </c>
      <c r="S2079" s="24" t="str">
        <f t="shared" si="151"/>
        <v/>
      </c>
      <c r="T2079" t="str">
        <f t="shared" si="149"/>
        <v/>
      </c>
    </row>
    <row r="2080" spans="18:20">
      <c r="R2080" s="24" t="str">
        <f t="shared" si="150"/>
        <v/>
      </c>
      <c r="S2080" s="24" t="str">
        <f t="shared" si="151"/>
        <v/>
      </c>
      <c r="T2080" t="str">
        <f t="shared" si="149"/>
        <v/>
      </c>
    </row>
    <row r="2081" spans="18:20">
      <c r="R2081" s="24" t="str">
        <f t="shared" si="150"/>
        <v/>
      </c>
      <c r="S2081" s="24" t="str">
        <f t="shared" si="151"/>
        <v/>
      </c>
      <c r="T2081" t="str">
        <f t="shared" si="149"/>
        <v/>
      </c>
    </row>
    <row r="2082" spans="18:20">
      <c r="R2082" s="24" t="str">
        <f t="shared" si="150"/>
        <v/>
      </c>
      <c r="S2082" s="24" t="str">
        <f t="shared" si="151"/>
        <v/>
      </c>
      <c r="T2082" t="str">
        <f t="shared" si="149"/>
        <v/>
      </c>
    </row>
    <row r="2083" spans="18:20">
      <c r="R2083" s="24" t="str">
        <f t="shared" si="150"/>
        <v/>
      </c>
      <c r="S2083" s="24" t="str">
        <f t="shared" si="151"/>
        <v/>
      </c>
      <c r="T2083" t="str">
        <f t="shared" si="149"/>
        <v/>
      </c>
    </row>
    <row r="2084" spans="18:20">
      <c r="R2084" s="24" t="str">
        <f t="shared" si="150"/>
        <v/>
      </c>
      <c r="S2084" s="24" t="str">
        <f t="shared" si="151"/>
        <v/>
      </c>
      <c r="T2084" t="str">
        <f t="shared" si="149"/>
        <v/>
      </c>
    </row>
    <row r="2085" spans="18:20">
      <c r="R2085" s="24" t="str">
        <f t="shared" si="150"/>
        <v/>
      </c>
      <c r="S2085" s="24" t="str">
        <f t="shared" si="151"/>
        <v/>
      </c>
      <c r="T2085" t="str">
        <f t="shared" si="149"/>
        <v/>
      </c>
    </row>
    <row r="2086" spans="18:20">
      <c r="R2086" s="24" t="str">
        <f t="shared" si="150"/>
        <v/>
      </c>
      <c r="S2086" s="24" t="str">
        <f t="shared" si="151"/>
        <v/>
      </c>
      <c r="T2086" t="str">
        <f t="shared" si="149"/>
        <v/>
      </c>
    </row>
    <row r="2087" spans="18:20">
      <c r="R2087" s="24" t="str">
        <f t="shared" si="150"/>
        <v/>
      </c>
      <c r="S2087" s="24" t="str">
        <f t="shared" si="151"/>
        <v/>
      </c>
      <c r="T2087" t="str">
        <f t="shared" si="149"/>
        <v/>
      </c>
    </row>
    <row r="2088" spans="18:20">
      <c r="R2088" s="24" t="str">
        <f t="shared" si="150"/>
        <v/>
      </c>
      <c r="S2088" s="24" t="str">
        <f t="shared" si="151"/>
        <v/>
      </c>
      <c r="T2088" t="str">
        <f t="shared" si="149"/>
        <v/>
      </c>
    </row>
    <row r="2089" spans="18:20">
      <c r="R2089" s="24" t="str">
        <f t="shared" si="150"/>
        <v/>
      </c>
      <c r="S2089" s="24" t="str">
        <f t="shared" si="151"/>
        <v/>
      </c>
      <c r="T2089" t="str">
        <f t="shared" si="149"/>
        <v/>
      </c>
    </row>
    <row r="2090" spans="18:20">
      <c r="R2090" s="24" t="str">
        <f t="shared" si="150"/>
        <v/>
      </c>
      <c r="S2090" s="24" t="str">
        <f t="shared" si="151"/>
        <v/>
      </c>
      <c r="T2090" t="str">
        <f t="shared" si="149"/>
        <v/>
      </c>
    </row>
    <row r="2091" spans="18:20">
      <c r="R2091" s="24" t="str">
        <f t="shared" si="150"/>
        <v/>
      </c>
      <c r="S2091" s="24" t="str">
        <f t="shared" si="151"/>
        <v/>
      </c>
      <c r="T2091" t="str">
        <f t="shared" si="149"/>
        <v/>
      </c>
    </row>
    <row r="2092" spans="18:20">
      <c r="R2092" s="24" t="str">
        <f t="shared" si="150"/>
        <v/>
      </c>
      <c r="S2092" s="24" t="str">
        <f t="shared" si="151"/>
        <v/>
      </c>
      <c r="T2092" t="str">
        <f t="shared" si="149"/>
        <v/>
      </c>
    </row>
    <row r="2093" spans="18:20">
      <c r="R2093" s="24" t="str">
        <f t="shared" si="150"/>
        <v/>
      </c>
      <c r="S2093" s="24" t="str">
        <f t="shared" si="151"/>
        <v/>
      </c>
      <c r="T2093" t="str">
        <f t="shared" si="149"/>
        <v/>
      </c>
    </row>
    <row r="2094" spans="18:20">
      <c r="R2094" s="24" t="str">
        <f t="shared" si="150"/>
        <v/>
      </c>
      <c r="S2094" s="24" t="str">
        <f t="shared" si="151"/>
        <v/>
      </c>
      <c r="T2094" t="str">
        <f t="shared" si="149"/>
        <v/>
      </c>
    </row>
    <row r="2095" spans="18:20">
      <c r="R2095" s="24" t="str">
        <f t="shared" si="150"/>
        <v/>
      </c>
      <c r="S2095" s="24" t="str">
        <f t="shared" si="151"/>
        <v/>
      </c>
      <c r="T2095" t="str">
        <f t="shared" si="149"/>
        <v/>
      </c>
    </row>
    <row r="2096" spans="18:20">
      <c r="R2096" s="24" t="str">
        <f t="shared" si="150"/>
        <v/>
      </c>
      <c r="S2096" s="24" t="str">
        <f t="shared" si="151"/>
        <v/>
      </c>
      <c r="T2096" t="str">
        <f t="shared" si="149"/>
        <v/>
      </c>
    </row>
    <row r="2097" spans="18:20">
      <c r="R2097" s="24" t="str">
        <f t="shared" si="150"/>
        <v/>
      </c>
      <c r="S2097" s="24" t="str">
        <f t="shared" si="151"/>
        <v/>
      </c>
      <c r="T2097" t="str">
        <f t="shared" si="149"/>
        <v/>
      </c>
    </row>
    <row r="2098" spans="18:20">
      <c r="R2098" s="24" t="str">
        <f t="shared" si="150"/>
        <v/>
      </c>
      <c r="S2098" s="24" t="str">
        <f t="shared" si="151"/>
        <v/>
      </c>
      <c r="T2098" t="str">
        <f t="shared" si="149"/>
        <v/>
      </c>
    </row>
    <row r="2099" spans="18:20">
      <c r="R2099" s="24" t="str">
        <f t="shared" si="150"/>
        <v/>
      </c>
      <c r="S2099" s="24" t="str">
        <f t="shared" si="151"/>
        <v/>
      </c>
      <c r="T2099" t="str">
        <f t="shared" si="149"/>
        <v/>
      </c>
    </row>
    <row r="2100" spans="18:20">
      <c r="R2100" s="24" t="str">
        <f t="shared" si="150"/>
        <v/>
      </c>
      <c r="S2100" s="24" t="str">
        <f t="shared" si="151"/>
        <v/>
      </c>
      <c r="T2100" t="str">
        <f t="shared" si="149"/>
        <v/>
      </c>
    </row>
    <row r="2101" spans="18:20">
      <c r="R2101" s="24" t="str">
        <f t="shared" si="150"/>
        <v/>
      </c>
      <c r="S2101" s="24" t="str">
        <f t="shared" si="151"/>
        <v/>
      </c>
      <c r="T2101" t="str">
        <f t="shared" si="149"/>
        <v/>
      </c>
    </row>
    <row r="2102" spans="18:20">
      <c r="R2102" s="24" t="str">
        <f t="shared" si="150"/>
        <v/>
      </c>
      <c r="S2102" s="24" t="str">
        <f t="shared" si="151"/>
        <v/>
      </c>
      <c r="T2102" t="str">
        <f t="shared" si="149"/>
        <v/>
      </c>
    </row>
    <row r="2103" spans="18:20">
      <c r="R2103" s="24" t="str">
        <f t="shared" si="150"/>
        <v/>
      </c>
      <c r="S2103" s="24" t="str">
        <f t="shared" si="151"/>
        <v/>
      </c>
      <c r="T2103" t="str">
        <f t="shared" si="149"/>
        <v/>
      </c>
    </row>
    <row r="2104" spans="18:20">
      <c r="R2104" s="24" t="str">
        <f t="shared" si="150"/>
        <v/>
      </c>
      <c r="S2104" s="24" t="str">
        <f t="shared" si="151"/>
        <v/>
      </c>
      <c r="T2104" t="str">
        <f t="shared" si="149"/>
        <v/>
      </c>
    </row>
    <row r="2105" spans="18:20">
      <c r="R2105" s="24" t="str">
        <f t="shared" si="150"/>
        <v/>
      </c>
      <c r="S2105" s="24" t="str">
        <f t="shared" si="151"/>
        <v/>
      </c>
      <c r="T2105" t="str">
        <f t="shared" si="149"/>
        <v/>
      </c>
    </row>
    <row r="2106" spans="18:20">
      <c r="R2106" s="24" t="str">
        <f t="shared" si="150"/>
        <v/>
      </c>
      <c r="S2106" s="24" t="str">
        <f t="shared" si="151"/>
        <v/>
      </c>
      <c r="T2106" t="str">
        <f t="shared" si="149"/>
        <v/>
      </c>
    </row>
    <row r="2107" spans="18:20">
      <c r="R2107" s="24" t="str">
        <f t="shared" si="150"/>
        <v/>
      </c>
      <c r="S2107" s="24" t="str">
        <f t="shared" si="151"/>
        <v/>
      </c>
      <c r="T2107" t="str">
        <f t="shared" si="149"/>
        <v/>
      </c>
    </row>
    <row r="2108" spans="18:20">
      <c r="R2108" s="24" t="str">
        <f t="shared" si="150"/>
        <v/>
      </c>
      <c r="S2108" s="24" t="str">
        <f t="shared" si="151"/>
        <v/>
      </c>
      <c r="T2108" t="str">
        <f t="shared" si="149"/>
        <v/>
      </c>
    </row>
    <row r="2109" spans="18:20">
      <c r="R2109" s="24" t="str">
        <f t="shared" si="150"/>
        <v/>
      </c>
      <c r="S2109" s="24" t="str">
        <f t="shared" si="151"/>
        <v/>
      </c>
      <c r="T2109" t="str">
        <f t="shared" si="149"/>
        <v/>
      </c>
    </row>
    <row r="2110" spans="18:20">
      <c r="R2110" s="24" t="str">
        <f t="shared" si="150"/>
        <v/>
      </c>
      <c r="S2110" s="24" t="str">
        <f t="shared" si="151"/>
        <v/>
      </c>
      <c r="T2110" t="str">
        <f t="shared" si="149"/>
        <v/>
      </c>
    </row>
    <row r="2111" spans="18:20">
      <c r="R2111" s="24" t="str">
        <f t="shared" si="150"/>
        <v/>
      </c>
      <c r="S2111" s="24" t="str">
        <f t="shared" si="151"/>
        <v/>
      </c>
      <c r="T2111" t="str">
        <f t="shared" si="149"/>
        <v/>
      </c>
    </row>
    <row r="2112" spans="18:20">
      <c r="R2112" s="24" t="str">
        <f t="shared" si="150"/>
        <v/>
      </c>
      <c r="S2112" s="24" t="str">
        <f t="shared" si="151"/>
        <v/>
      </c>
      <c r="T2112" t="str">
        <f t="shared" si="149"/>
        <v/>
      </c>
    </row>
    <row r="2113" spans="18:20">
      <c r="R2113" s="24" t="str">
        <f t="shared" si="150"/>
        <v/>
      </c>
      <c r="S2113" s="24" t="str">
        <f t="shared" si="151"/>
        <v/>
      </c>
      <c r="T2113" t="str">
        <f t="shared" si="149"/>
        <v/>
      </c>
    </row>
    <row r="2114" spans="18:20">
      <c r="R2114" s="24" t="str">
        <f t="shared" si="150"/>
        <v/>
      </c>
      <c r="S2114" s="24" t="str">
        <f t="shared" si="151"/>
        <v/>
      </c>
      <c r="T2114" t="str">
        <f t="shared" si="149"/>
        <v/>
      </c>
    </row>
    <row r="2115" spans="18:20">
      <c r="R2115" s="24" t="str">
        <f t="shared" si="150"/>
        <v/>
      </c>
      <c r="S2115" s="24" t="str">
        <f t="shared" si="151"/>
        <v/>
      </c>
      <c r="T2115" t="str">
        <f t="shared" si="149"/>
        <v/>
      </c>
    </row>
    <row r="2116" spans="18:20">
      <c r="R2116" s="24" t="str">
        <f t="shared" si="150"/>
        <v/>
      </c>
      <c r="S2116" s="24" t="str">
        <f t="shared" si="151"/>
        <v/>
      </c>
      <c r="T2116" t="str">
        <f t="shared" si="149"/>
        <v/>
      </c>
    </row>
    <row r="2117" spans="18:20">
      <c r="R2117" s="24" t="str">
        <f t="shared" si="150"/>
        <v/>
      </c>
      <c r="S2117" s="24" t="str">
        <f t="shared" si="151"/>
        <v/>
      </c>
      <c r="T2117" t="str">
        <f t="shared" si="149"/>
        <v/>
      </c>
    </row>
    <row r="2118" spans="18:20">
      <c r="R2118" s="24" t="str">
        <f t="shared" si="150"/>
        <v/>
      </c>
      <c r="S2118" s="24" t="str">
        <f t="shared" si="151"/>
        <v/>
      </c>
      <c r="T2118" t="str">
        <f t="shared" si="149"/>
        <v/>
      </c>
    </row>
    <row r="2119" spans="18:20">
      <c r="R2119" s="24" t="str">
        <f t="shared" si="150"/>
        <v/>
      </c>
      <c r="S2119" s="24" t="str">
        <f t="shared" si="151"/>
        <v/>
      </c>
      <c r="T2119" t="str">
        <f t="shared" si="149"/>
        <v/>
      </c>
    </row>
    <row r="2120" spans="18:20">
      <c r="R2120" s="24" t="str">
        <f t="shared" si="150"/>
        <v/>
      </c>
      <c r="S2120" s="24" t="str">
        <f t="shared" si="151"/>
        <v/>
      </c>
      <c r="T2120" t="str">
        <f t="shared" si="149"/>
        <v/>
      </c>
    </row>
    <row r="2121" spans="18:20">
      <c r="R2121" s="24" t="str">
        <f t="shared" si="150"/>
        <v/>
      </c>
      <c r="S2121" s="24" t="str">
        <f t="shared" si="151"/>
        <v/>
      </c>
      <c r="T2121" t="str">
        <f t="shared" si="149"/>
        <v/>
      </c>
    </row>
    <row r="2122" spans="18:20">
      <c r="R2122" s="24" t="str">
        <f t="shared" si="150"/>
        <v/>
      </c>
      <c r="S2122" s="24" t="str">
        <f t="shared" si="151"/>
        <v/>
      </c>
      <c r="T2122" t="str">
        <f t="shared" si="149"/>
        <v/>
      </c>
    </row>
    <row r="2123" spans="18:20">
      <c r="R2123" s="24" t="str">
        <f t="shared" si="150"/>
        <v/>
      </c>
      <c r="S2123" s="24" t="str">
        <f t="shared" si="151"/>
        <v/>
      </c>
      <c r="T2123" t="str">
        <f t="shared" si="149"/>
        <v/>
      </c>
    </row>
    <row r="2124" spans="18:20">
      <c r="R2124" s="24" t="str">
        <f t="shared" si="150"/>
        <v/>
      </c>
      <c r="S2124" s="24" t="str">
        <f t="shared" si="151"/>
        <v/>
      </c>
      <c r="T2124" t="str">
        <f t="shared" si="149"/>
        <v/>
      </c>
    </row>
    <row r="2125" spans="18:20">
      <c r="R2125" s="24" t="str">
        <f t="shared" si="150"/>
        <v/>
      </c>
      <c r="S2125" s="24" t="str">
        <f t="shared" si="151"/>
        <v/>
      </c>
      <c r="T2125" t="str">
        <f t="shared" si="149"/>
        <v/>
      </c>
    </row>
    <row r="2126" spans="18:20">
      <c r="R2126" s="24" t="str">
        <f t="shared" si="150"/>
        <v/>
      </c>
      <c r="S2126" s="24" t="str">
        <f t="shared" si="151"/>
        <v/>
      </c>
      <c r="T2126" t="str">
        <f t="shared" si="149"/>
        <v/>
      </c>
    </row>
    <row r="2127" spans="18:20">
      <c r="R2127" s="24" t="str">
        <f t="shared" si="150"/>
        <v/>
      </c>
      <c r="S2127" s="24" t="str">
        <f t="shared" si="151"/>
        <v/>
      </c>
      <c r="T2127" t="str">
        <f t="shared" ref="T2127:T2190" si="152">IF(OR(C2127="",I2127&lt;&gt;"ENTRADA"),"",TEXT(B2127,"AAMMDD")&amp;"-"&amp;TEXT(VALUE(SUBSTITUTE(A2127,"MOV-","")),"000"))</f>
        <v/>
      </c>
    </row>
    <row r="2128" spans="18:20">
      <c r="R2128" s="24" t="str">
        <f t="shared" ref="R2128:R2191" si="153">IF(H2128="","",H2128&amp;I2128)</f>
        <v/>
      </c>
      <c r="S2128" s="24" t="str">
        <f t="shared" ref="S2128:S2191" si="154">IF(C2128="","",C2128&amp;I2128)</f>
        <v/>
      </c>
      <c r="T2128" t="str">
        <f t="shared" si="152"/>
        <v/>
      </c>
    </row>
    <row r="2129" spans="18:20">
      <c r="R2129" s="24" t="str">
        <f t="shared" si="153"/>
        <v/>
      </c>
      <c r="S2129" s="24" t="str">
        <f t="shared" si="154"/>
        <v/>
      </c>
      <c r="T2129" t="str">
        <f t="shared" si="152"/>
        <v/>
      </c>
    </row>
    <row r="2130" spans="18:20">
      <c r="R2130" s="24" t="str">
        <f t="shared" si="153"/>
        <v/>
      </c>
      <c r="S2130" s="24" t="str">
        <f t="shared" si="154"/>
        <v/>
      </c>
      <c r="T2130" t="str">
        <f t="shared" si="152"/>
        <v/>
      </c>
    </row>
    <row r="2131" spans="18:20">
      <c r="R2131" s="24" t="str">
        <f t="shared" si="153"/>
        <v/>
      </c>
      <c r="S2131" s="24" t="str">
        <f t="shared" si="154"/>
        <v/>
      </c>
      <c r="T2131" t="str">
        <f t="shared" si="152"/>
        <v/>
      </c>
    </row>
    <row r="2132" spans="18:20">
      <c r="R2132" s="24" t="str">
        <f t="shared" si="153"/>
        <v/>
      </c>
      <c r="S2132" s="24" t="str">
        <f t="shared" si="154"/>
        <v/>
      </c>
      <c r="T2132" t="str">
        <f t="shared" si="152"/>
        <v/>
      </c>
    </row>
    <row r="2133" spans="18:20">
      <c r="R2133" s="24" t="str">
        <f t="shared" si="153"/>
        <v/>
      </c>
      <c r="S2133" s="24" t="str">
        <f t="shared" si="154"/>
        <v/>
      </c>
      <c r="T2133" t="str">
        <f t="shared" si="152"/>
        <v/>
      </c>
    </row>
    <row r="2134" spans="18:20">
      <c r="R2134" s="24" t="str">
        <f t="shared" si="153"/>
        <v/>
      </c>
      <c r="S2134" s="24" t="str">
        <f t="shared" si="154"/>
        <v/>
      </c>
      <c r="T2134" t="str">
        <f t="shared" si="152"/>
        <v/>
      </c>
    </row>
    <row r="2135" spans="18:20">
      <c r="R2135" s="24" t="str">
        <f t="shared" si="153"/>
        <v/>
      </c>
      <c r="S2135" s="24" t="str">
        <f t="shared" si="154"/>
        <v/>
      </c>
      <c r="T2135" t="str">
        <f t="shared" si="152"/>
        <v/>
      </c>
    </row>
    <row r="2136" spans="18:20">
      <c r="R2136" s="24" t="str">
        <f t="shared" si="153"/>
        <v/>
      </c>
      <c r="S2136" s="24" t="str">
        <f t="shared" si="154"/>
        <v/>
      </c>
      <c r="T2136" t="str">
        <f t="shared" si="152"/>
        <v/>
      </c>
    </row>
    <row r="2137" spans="18:20">
      <c r="R2137" s="24" t="str">
        <f t="shared" si="153"/>
        <v/>
      </c>
      <c r="S2137" s="24" t="str">
        <f t="shared" si="154"/>
        <v/>
      </c>
      <c r="T2137" t="str">
        <f t="shared" si="152"/>
        <v/>
      </c>
    </row>
    <row r="2138" spans="18:20">
      <c r="R2138" s="24" t="str">
        <f t="shared" si="153"/>
        <v/>
      </c>
      <c r="S2138" s="24" t="str">
        <f t="shared" si="154"/>
        <v/>
      </c>
      <c r="T2138" t="str">
        <f t="shared" si="152"/>
        <v/>
      </c>
    </row>
    <row r="2139" spans="18:20">
      <c r="R2139" s="24" t="str">
        <f t="shared" si="153"/>
        <v/>
      </c>
      <c r="S2139" s="24" t="str">
        <f t="shared" si="154"/>
        <v/>
      </c>
      <c r="T2139" t="str">
        <f t="shared" si="152"/>
        <v/>
      </c>
    </row>
    <row r="2140" spans="18:20">
      <c r="R2140" s="24" t="str">
        <f t="shared" si="153"/>
        <v/>
      </c>
      <c r="S2140" s="24" t="str">
        <f t="shared" si="154"/>
        <v/>
      </c>
      <c r="T2140" t="str">
        <f t="shared" si="152"/>
        <v/>
      </c>
    </row>
    <row r="2141" spans="18:20">
      <c r="R2141" s="24" t="str">
        <f t="shared" si="153"/>
        <v/>
      </c>
      <c r="S2141" s="24" t="str">
        <f t="shared" si="154"/>
        <v/>
      </c>
      <c r="T2141" t="str">
        <f t="shared" si="152"/>
        <v/>
      </c>
    </row>
    <row r="2142" spans="18:20">
      <c r="R2142" s="24" t="str">
        <f t="shared" si="153"/>
        <v/>
      </c>
      <c r="S2142" s="24" t="str">
        <f t="shared" si="154"/>
        <v/>
      </c>
      <c r="T2142" t="str">
        <f t="shared" si="152"/>
        <v/>
      </c>
    </row>
    <row r="2143" spans="18:20">
      <c r="R2143" s="24" t="str">
        <f t="shared" si="153"/>
        <v/>
      </c>
      <c r="S2143" s="24" t="str">
        <f t="shared" si="154"/>
        <v/>
      </c>
      <c r="T2143" t="str">
        <f t="shared" si="152"/>
        <v/>
      </c>
    </row>
    <row r="2144" spans="18:20">
      <c r="R2144" s="24" t="str">
        <f t="shared" si="153"/>
        <v/>
      </c>
      <c r="S2144" s="24" t="str">
        <f t="shared" si="154"/>
        <v/>
      </c>
      <c r="T2144" t="str">
        <f t="shared" si="152"/>
        <v/>
      </c>
    </row>
    <row r="2145" spans="18:20">
      <c r="R2145" s="24" t="str">
        <f t="shared" si="153"/>
        <v/>
      </c>
      <c r="S2145" s="24" t="str">
        <f t="shared" si="154"/>
        <v/>
      </c>
      <c r="T2145" t="str">
        <f t="shared" si="152"/>
        <v/>
      </c>
    </row>
    <row r="2146" spans="18:20">
      <c r="R2146" s="24" t="str">
        <f t="shared" si="153"/>
        <v/>
      </c>
      <c r="S2146" s="24" t="str">
        <f t="shared" si="154"/>
        <v/>
      </c>
      <c r="T2146" t="str">
        <f t="shared" si="152"/>
        <v/>
      </c>
    </row>
    <row r="2147" spans="18:20">
      <c r="R2147" s="24" t="str">
        <f t="shared" si="153"/>
        <v/>
      </c>
      <c r="S2147" s="24" t="str">
        <f t="shared" si="154"/>
        <v/>
      </c>
      <c r="T2147" t="str">
        <f t="shared" si="152"/>
        <v/>
      </c>
    </row>
    <row r="2148" spans="18:20">
      <c r="R2148" s="24" t="str">
        <f t="shared" si="153"/>
        <v/>
      </c>
      <c r="S2148" s="24" t="str">
        <f t="shared" si="154"/>
        <v/>
      </c>
      <c r="T2148" t="str">
        <f t="shared" si="152"/>
        <v/>
      </c>
    </row>
    <row r="2149" spans="18:20">
      <c r="R2149" s="24" t="str">
        <f t="shared" si="153"/>
        <v/>
      </c>
      <c r="S2149" s="24" t="str">
        <f t="shared" si="154"/>
        <v/>
      </c>
      <c r="T2149" t="str">
        <f t="shared" si="152"/>
        <v/>
      </c>
    </row>
    <row r="2150" spans="18:20">
      <c r="R2150" s="24" t="str">
        <f t="shared" si="153"/>
        <v/>
      </c>
      <c r="S2150" s="24" t="str">
        <f t="shared" si="154"/>
        <v/>
      </c>
      <c r="T2150" t="str">
        <f t="shared" si="152"/>
        <v/>
      </c>
    </row>
    <row r="2151" spans="18:20">
      <c r="R2151" s="24" t="str">
        <f t="shared" si="153"/>
        <v/>
      </c>
      <c r="S2151" s="24" t="str">
        <f t="shared" si="154"/>
        <v/>
      </c>
      <c r="T2151" t="str">
        <f t="shared" si="152"/>
        <v/>
      </c>
    </row>
    <row r="2152" spans="18:20">
      <c r="R2152" s="24" t="str">
        <f t="shared" si="153"/>
        <v/>
      </c>
      <c r="S2152" s="24" t="str">
        <f t="shared" si="154"/>
        <v/>
      </c>
      <c r="T2152" t="str">
        <f t="shared" si="152"/>
        <v/>
      </c>
    </row>
    <row r="2153" spans="18:20">
      <c r="R2153" s="24" t="str">
        <f t="shared" si="153"/>
        <v/>
      </c>
      <c r="S2153" s="24" t="str">
        <f t="shared" si="154"/>
        <v/>
      </c>
      <c r="T2153" t="str">
        <f t="shared" si="152"/>
        <v/>
      </c>
    </row>
    <row r="2154" spans="18:20">
      <c r="R2154" s="24" t="str">
        <f t="shared" si="153"/>
        <v/>
      </c>
      <c r="S2154" s="24" t="str">
        <f t="shared" si="154"/>
        <v/>
      </c>
      <c r="T2154" t="str">
        <f t="shared" si="152"/>
        <v/>
      </c>
    </row>
    <row r="2155" spans="18:20">
      <c r="R2155" s="24" t="str">
        <f t="shared" si="153"/>
        <v/>
      </c>
      <c r="S2155" s="24" t="str">
        <f t="shared" si="154"/>
        <v/>
      </c>
      <c r="T2155" t="str">
        <f t="shared" si="152"/>
        <v/>
      </c>
    </row>
    <row r="2156" spans="18:20">
      <c r="R2156" s="24" t="str">
        <f t="shared" si="153"/>
        <v/>
      </c>
      <c r="S2156" s="24" t="str">
        <f t="shared" si="154"/>
        <v/>
      </c>
      <c r="T2156" t="str">
        <f t="shared" si="152"/>
        <v/>
      </c>
    </row>
    <row r="2157" spans="18:20">
      <c r="R2157" s="24" t="str">
        <f t="shared" si="153"/>
        <v/>
      </c>
      <c r="S2157" s="24" t="str">
        <f t="shared" si="154"/>
        <v/>
      </c>
      <c r="T2157" t="str">
        <f t="shared" si="152"/>
        <v/>
      </c>
    </row>
    <row r="2158" spans="18:20">
      <c r="R2158" s="24" t="str">
        <f t="shared" si="153"/>
        <v/>
      </c>
      <c r="S2158" s="24" t="str">
        <f t="shared" si="154"/>
        <v/>
      </c>
      <c r="T2158" t="str">
        <f t="shared" si="152"/>
        <v/>
      </c>
    </row>
    <row r="2159" spans="18:20">
      <c r="R2159" s="24" t="str">
        <f t="shared" si="153"/>
        <v/>
      </c>
      <c r="S2159" s="24" t="str">
        <f t="shared" si="154"/>
        <v/>
      </c>
      <c r="T2159" t="str">
        <f t="shared" si="152"/>
        <v/>
      </c>
    </row>
    <row r="2160" spans="18:20">
      <c r="R2160" s="24" t="str">
        <f t="shared" si="153"/>
        <v/>
      </c>
      <c r="S2160" s="24" t="str">
        <f t="shared" si="154"/>
        <v/>
      </c>
      <c r="T2160" t="str">
        <f t="shared" si="152"/>
        <v/>
      </c>
    </row>
    <row r="2161" spans="18:20">
      <c r="R2161" s="24" t="str">
        <f t="shared" si="153"/>
        <v/>
      </c>
      <c r="S2161" s="24" t="str">
        <f t="shared" si="154"/>
        <v/>
      </c>
      <c r="T2161" t="str">
        <f t="shared" si="152"/>
        <v/>
      </c>
    </row>
    <row r="2162" spans="18:20">
      <c r="R2162" s="24" t="str">
        <f t="shared" si="153"/>
        <v/>
      </c>
      <c r="S2162" s="24" t="str">
        <f t="shared" si="154"/>
        <v/>
      </c>
      <c r="T2162" t="str">
        <f t="shared" si="152"/>
        <v/>
      </c>
    </row>
    <row r="2163" spans="18:20">
      <c r="R2163" s="24" t="str">
        <f t="shared" si="153"/>
        <v/>
      </c>
      <c r="S2163" s="24" t="str">
        <f t="shared" si="154"/>
        <v/>
      </c>
      <c r="T2163" t="str">
        <f t="shared" si="152"/>
        <v/>
      </c>
    </row>
    <row r="2164" spans="18:20">
      <c r="R2164" s="24" t="str">
        <f t="shared" si="153"/>
        <v/>
      </c>
      <c r="S2164" s="24" t="str">
        <f t="shared" si="154"/>
        <v/>
      </c>
      <c r="T2164" t="str">
        <f t="shared" si="152"/>
        <v/>
      </c>
    </row>
    <row r="2165" spans="18:20">
      <c r="R2165" s="24" t="str">
        <f t="shared" si="153"/>
        <v/>
      </c>
      <c r="S2165" s="24" t="str">
        <f t="shared" si="154"/>
        <v/>
      </c>
      <c r="T2165" t="str">
        <f t="shared" si="152"/>
        <v/>
      </c>
    </row>
    <row r="2166" spans="18:20">
      <c r="R2166" s="24" t="str">
        <f t="shared" si="153"/>
        <v/>
      </c>
      <c r="S2166" s="24" t="str">
        <f t="shared" si="154"/>
        <v/>
      </c>
      <c r="T2166" t="str">
        <f t="shared" si="152"/>
        <v/>
      </c>
    </row>
    <row r="2167" spans="18:20">
      <c r="R2167" s="24" t="str">
        <f t="shared" si="153"/>
        <v/>
      </c>
      <c r="S2167" s="24" t="str">
        <f t="shared" si="154"/>
        <v/>
      </c>
      <c r="T2167" t="str">
        <f t="shared" si="152"/>
        <v/>
      </c>
    </row>
    <row r="2168" spans="18:20">
      <c r="R2168" s="24" t="str">
        <f t="shared" si="153"/>
        <v/>
      </c>
      <c r="S2168" s="24" t="str">
        <f t="shared" si="154"/>
        <v/>
      </c>
      <c r="T2168" t="str">
        <f t="shared" si="152"/>
        <v/>
      </c>
    </row>
    <row r="2169" spans="18:20">
      <c r="R2169" s="24" t="str">
        <f t="shared" si="153"/>
        <v/>
      </c>
      <c r="S2169" s="24" t="str">
        <f t="shared" si="154"/>
        <v/>
      </c>
      <c r="T2169" t="str">
        <f t="shared" si="152"/>
        <v/>
      </c>
    </row>
    <row r="2170" spans="18:20">
      <c r="R2170" s="24" t="str">
        <f t="shared" si="153"/>
        <v/>
      </c>
      <c r="S2170" s="24" t="str">
        <f t="shared" si="154"/>
        <v/>
      </c>
      <c r="T2170" t="str">
        <f t="shared" si="152"/>
        <v/>
      </c>
    </row>
    <row r="2171" spans="18:20">
      <c r="R2171" s="24" t="str">
        <f t="shared" si="153"/>
        <v/>
      </c>
      <c r="S2171" s="24" t="str">
        <f t="shared" si="154"/>
        <v/>
      </c>
      <c r="T2171" t="str">
        <f t="shared" si="152"/>
        <v/>
      </c>
    </row>
    <row r="2172" spans="18:20">
      <c r="R2172" s="24" t="str">
        <f t="shared" si="153"/>
        <v/>
      </c>
      <c r="S2172" s="24" t="str">
        <f t="shared" si="154"/>
        <v/>
      </c>
      <c r="T2172" t="str">
        <f t="shared" si="152"/>
        <v/>
      </c>
    </row>
    <row r="2173" spans="18:20">
      <c r="R2173" s="24" t="str">
        <f t="shared" si="153"/>
        <v/>
      </c>
      <c r="S2173" s="24" t="str">
        <f t="shared" si="154"/>
        <v/>
      </c>
      <c r="T2173" t="str">
        <f t="shared" si="152"/>
        <v/>
      </c>
    </row>
    <row r="2174" spans="18:20">
      <c r="R2174" s="24" t="str">
        <f t="shared" si="153"/>
        <v/>
      </c>
      <c r="S2174" s="24" t="str">
        <f t="shared" si="154"/>
        <v/>
      </c>
      <c r="T2174" t="str">
        <f t="shared" si="152"/>
        <v/>
      </c>
    </row>
    <row r="2175" spans="18:20">
      <c r="R2175" s="24" t="str">
        <f t="shared" si="153"/>
        <v/>
      </c>
      <c r="S2175" s="24" t="str">
        <f t="shared" si="154"/>
        <v/>
      </c>
      <c r="T2175" t="str">
        <f t="shared" si="152"/>
        <v/>
      </c>
    </row>
    <row r="2176" spans="18:20">
      <c r="R2176" s="24" t="str">
        <f t="shared" si="153"/>
        <v/>
      </c>
      <c r="S2176" s="24" t="str">
        <f t="shared" si="154"/>
        <v/>
      </c>
      <c r="T2176" t="str">
        <f t="shared" si="152"/>
        <v/>
      </c>
    </row>
    <row r="2177" spans="18:20">
      <c r="R2177" s="24" t="str">
        <f t="shared" si="153"/>
        <v/>
      </c>
      <c r="S2177" s="24" t="str">
        <f t="shared" si="154"/>
        <v/>
      </c>
      <c r="T2177" t="str">
        <f t="shared" si="152"/>
        <v/>
      </c>
    </row>
    <row r="2178" spans="18:20">
      <c r="R2178" s="24" t="str">
        <f t="shared" si="153"/>
        <v/>
      </c>
      <c r="S2178" s="24" t="str">
        <f t="shared" si="154"/>
        <v/>
      </c>
      <c r="T2178" t="str">
        <f t="shared" si="152"/>
        <v/>
      </c>
    </row>
    <row r="2179" spans="18:20">
      <c r="R2179" s="24" t="str">
        <f t="shared" si="153"/>
        <v/>
      </c>
      <c r="S2179" s="24" t="str">
        <f t="shared" si="154"/>
        <v/>
      </c>
      <c r="T2179" t="str">
        <f t="shared" si="152"/>
        <v/>
      </c>
    </row>
    <row r="2180" spans="18:20">
      <c r="R2180" s="24" t="str">
        <f t="shared" si="153"/>
        <v/>
      </c>
      <c r="S2180" s="24" t="str">
        <f t="shared" si="154"/>
        <v/>
      </c>
      <c r="T2180" t="str">
        <f t="shared" si="152"/>
        <v/>
      </c>
    </row>
    <row r="2181" spans="18:20">
      <c r="R2181" s="24" t="str">
        <f t="shared" si="153"/>
        <v/>
      </c>
      <c r="S2181" s="24" t="str">
        <f t="shared" si="154"/>
        <v/>
      </c>
      <c r="T2181" t="str">
        <f t="shared" si="152"/>
        <v/>
      </c>
    </row>
    <row r="2182" spans="18:20">
      <c r="R2182" s="24" t="str">
        <f t="shared" si="153"/>
        <v/>
      </c>
      <c r="S2182" s="24" t="str">
        <f t="shared" si="154"/>
        <v/>
      </c>
      <c r="T2182" t="str">
        <f t="shared" si="152"/>
        <v/>
      </c>
    </row>
    <row r="2183" spans="18:20">
      <c r="R2183" s="24" t="str">
        <f t="shared" si="153"/>
        <v/>
      </c>
      <c r="S2183" s="24" t="str">
        <f t="shared" si="154"/>
        <v/>
      </c>
      <c r="T2183" t="str">
        <f t="shared" si="152"/>
        <v/>
      </c>
    </row>
    <row r="2184" spans="18:20">
      <c r="R2184" s="24" t="str">
        <f t="shared" si="153"/>
        <v/>
      </c>
      <c r="S2184" s="24" t="str">
        <f t="shared" si="154"/>
        <v/>
      </c>
      <c r="T2184" t="str">
        <f t="shared" si="152"/>
        <v/>
      </c>
    </row>
    <row r="2185" spans="18:20">
      <c r="R2185" s="24" t="str">
        <f t="shared" si="153"/>
        <v/>
      </c>
      <c r="S2185" s="24" t="str">
        <f t="shared" si="154"/>
        <v/>
      </c>
      <c r="T2185" t="str">
        <f t="shared" si="152"/>
        <v/>
      </c>
    </row>
    <row r="2186" spans="18:20">
      <c r="R2186" s="24" t="str">
        <f t="shared" si="153"/>
        <v/>
      </c>
      <c r="S2186" s="24" t="str">
        <f t="shared" si="154"/>
        <v/>
      </c>
      <c r="T2186" t="str">
        <f t="shared" si="152"/>
        <v/>
      </c>
    </row>
    <row r="2187" spans="18:20">
      <c r="R2187" s="24" t="str">
        <f t="shared" si="153"/>
        <v/>
      </c>
      <c r="S2187" s="24" t="str">
        <f t="shared" si="154"/>
        <v/>
      </c>
      <c r="T2187" t="str">
        <f t="shared" si="152"/>
        <v/>
      </c>
    </row>
    <row r="2188" spans="18:20">
      <c r="R2188" s="24" t="str">
        <f t="shared" si="153"/>
        <v/>
      </c>
      <c r="S2188" s="24" t="str">
        <f t="shared" si="154"/>
        <v/>
      </c>
      <c r="T2188" t="str">
        <f t="shared" si="152"/>
        <v/>
      </c>
    </row>
    <row r="2189" spans="18:20">
      <c r="R2189" s="24" t="str">
        <f t="shared" si="153"/>
        <v/>
      </c>
      <c r="S2189" s="24" t="str">
        <f t="shared" si="154"/>
        <v/>
      </c>
      <c r="T2189" t="str">
        <f t="shared" si="152"/>
        <v/>
      </c>
    </row>
    <row r="2190" spans="18:20">
      <c r="R2190" s="24" t="str">
        <f t="shared" si="153"/>
        <v/>
      </c>
      <c r="S2190" s="24" t="str">
        <f t="shared" si="154"/>
        <v/>
      </c>
      <c r="T2190" t="str">
        <f t="shared" si="152"/>
        <v/>
      </c>
    </row>
    <row r="2191" spans="18:20">
      <c r="R2191" s="24" t="str">
        <f t="shared" si="153"/>
        <v/>
      </c>
      <c r="S2191" s="24" t="str">
        <f t="shared" si="154"/>
        <v/>
      </c>
      <c r="T2191" t="str">
        <f t="shared" ref="T2191:T2254" si="155">IF(OR(C2191="",I2191&lt;&gt;"ENTRADA"),"",TEXT(B2191,"AAMMDD")&amp;"-"&amp;TEXT(VALUE(SUBSTITUTE(A2191,"MOV-","")),"000"))</f>
        <v/>
      </c>
    </row>
    <row r="2192" spans="18:20">
      <c r="R2192" s="24" t="str">
        <f t="shared" ref="R2192:R2255" si="156">IF(H2192="","",H2192&amp;I2192)</f>
        <v/>
      </c>
      <c r="S2192" s="24" t="str">
        <f t="shared" ref="S2192:S2255" si="157">IF(C2192="","",C2192&amp;I2192)</f>
        <v/>
      </c>
      <c r="T2192" t="str">
        <f t="shared" si="155"/>
        <v/>
      </c>
    </row>
    <row r="2193" spans="18:20">
      <c r="R2193" s="24" t="str">
        <f t="shared" si="156"/>
        <v/>
      </c>
      <c r="S2193" s="24" t="str">
        <f t="shared" si="157"/>
        <v/>
      </c>
      <c r="T2193" t="str">
        <f t="shared" si="155"/>
        <v/>
      </c>
    </row>
    <row r="2194" spans="18:20">
      <c r="R2194" s="24" t="str">
        <f t="shared" si="156"/>
        <v/>
      </c>
      <c r="S2194" s="24" t="str">
        <f t="shared" si="157"/>
        <v/>
      </c>
      <c r="T2194" t="str">
        <f t="shared" si="155"/>
        <v/>
      </c>
    </row>
    <row r="2195" spans="18:20">
      <c r="R2195" s="24" t="str">
        <f t="shared" si="156"/>
        <v/>
      </c>
      <c r="S2195" s="24" t="str">
        <f t="shared" si="157"/>
        <v/>
      </c>
      <c r="T2195" t="str">
        <f t="shared" si="155"/>
        <v/>
      </c>
    </row>
    <row r="2196" spans="18:20">
      <c r="R2196" s="24" t="str">
        <f t="shared" si="156"/>
        <v/>
      </c>
      <c r="S2196" s="24" t="str">
        <f t="shared" si="157"/>
        <v/>
      </c>
      <c r="T2196" t="str">
        <f t="shared" si="155"/>
        <v/>
      </c>
    </row>
    <row r="2197" spans="18:20">
      <c r="R2197" s="24" t="str">
        <f t="shared" si="156"/>
        <v/>
      </c>
      <c r="S2197" s="24" t="str">
        <f t="shared" si="157"/>
        <v/>
      </c>
      <c r="T2197" t="str">
        <f t="shared" si="155"/>
        <v/>
      </c>
    </row>
    <row r="2198" spans="18:20">
      <c r="R2198" s="24" t="str">
        <f t="shared" si="156"/>
        <v/>
      </c>
      <c r="S2198" s="24" t="str">
        <f t="shared" si="157"/>
        <v/>
      </c>
      <c r="T2198" t="str">
        <f t="shared" si="155"/>
        <v/>
      </c>
    </row>
    <row r="2199" spans="18:20">
      <c r="R2199" s="24" t="str">
        <f t="shared" si="156"/>
        <v/>
      </c>
      <c r="S2199" s="24" t="str">
        <f t="shared" si="157"/>
        <v/>
      </c>
      <c r="T2199" t="str">
        <f t="shared" si="155"/>
        <v/>
      </c>
    </row>
    <row r="2200" spans="18:20">
      <c r="R2200" s="24" t="str">
        <f t="shared" si="156"/>
        <v/>
      </c>
      <c r="S2200" s="24" t="str">
        <f t="shared" si="157"/>
        <v/>
      </c>
      <c r="T2200" t="str">
        <f t="shared" si="155"/>
        <v/>
      </c>
    </row>
    <row r="2201" spans="18:20">
      <c r="R2201" s="24" t="str">
        <f t="shared" si="156"/>
        <v/>
      </c>
      <c r="S2201" s="24" t="str">
        <f t="shared" si="157"/>
        <v/>
      </c>
      <c r="T2201" t="str">
        <f t="shared" si="155"/>
        <v/>
      </c>
    </row>
    <row r="2202" spans="18:20">
      <c r="R2202" s="24" t="str">
        <f t="shared" si="156"/>
        <v/>
      </c>
      <c r="S2202" s="24" t="str">
        <f t="shared" si="157"/>
        <v/>
      </c>
      <c r="T2202" t="str">
        <f t="shared" si="155"/>
        <v/>
      </c>
    </row>
    <row r="2203" spans="18:20">
      <c r="R2203" s="24" t="str">
        <f t="shared" si="156"/>
        <v/>
      </c>
      <c r="S2203" s="24" t="str">
        <f t="shared" si="157"/>
        <v/>
      </c>
      <c r="T2203" t="str">
        <f t="shared" si="155"/>
        <v/>
      </c>
    </row>
    <row r="2204" spans="18:20">
      <c r="R2204" s="24" t="str">
        <f t="shared" si="156"/>
        <v/>
      </c>
      <c r="S2204" s="24" t="str">
        <f t="shared" si="157"/>
        <v/>
      </c>
      <c r="T2204" t="str">
        <f t="shared" si="155"/>
        <v/>
      </c>
    </row>
    <row r="2205" spans="18:20">
      <c r="R2205" s="24" t="str">
        <f t="shared" si="156"/>
        <v/>
      </c>
      <c r="S2205" s="24" t="str">
        <f t="shared" si="157"/>
        <v/>
      </c>
      <c r="T2205" t="str">
        <f t="shared" si="155"/>
        <v/>
      </c>
    </row>
    <row r="2206" spans="18:20">
      <c r="R2206" s="24" t="str">
        <f t="shared" si="156"/>
        <v/>
      </c>
      <c r="S2206" s="24" t="str">
        <f t="shared" si="157"/>
        <v/>
      </c>
      <c r="T2206" t="str">
        <f t="shared" si="155"/>
        <v/>
      </c>
    </row>
    <row r="2207" spans="18:20">
      <c r="R2207" s="24" t="str">
        <f t="shared" si="156"/>
        <v/>
      </c>
      <c r="S2207" s="24" t="str">
        <f t="shared" si="157"/>
        <v/>
      </c>
      <c r="T2207" t="str">
        <f t="shared" si="155"/>
        <v/>
      </c>
    </row>
    <row r="2208" spans="18:20">
      <c r="R2208" s="24" t="str">
        <f t="shared" si="156"/>
        <v/>
      </c>
      <c r="S2208" s="24" t="str">
        <f t="shared" si="157"/>
        <v/>
      </c>
      <c r="T2208" t="str">
        <f t="shared" si="155"/>
        <v/>
      </c>
    </row>
    <row r="2209" spans="18:20">
      <c r="R2209" s="24" t="str">
        <f t="shared" si="156"/>
        <v/>
      </c>
      <c r="S2209" s="24" t="str">
        <f t="shared" si="157"/>
        <v/>
      </c>
      <c r="T2209" t="str">
        <f t="shared" si="155"/>
        <v/>
      </c>
    </row>
    <row r="2210" spans="18:20">
      <c r="R2210" s="24" t="str">
        <f t="shared" si="156"/>
        <v/>
      </c>
      <c r="S2210" s="24" t="str">
        <f t="shared" si="157"/>
        <v/>
      </c>
      <c r="T2210" t="str">
        <f t="shared" si="155"/>
        <v/>
      </c>
    </row>
    <row r="2211" spans="18:20">
      <c r="R2211" s="24" t="str">
        <f t="shared" si="156"/>
        <v/>
      </c>
      <c r="S2211" s="24" t="str">
        <f t="shared" si="157"/>
        <v/>
      </c>
      <c r="T2211" t="str">
        <f t="shared" si="155"/>
        <v/>
      </c>
    </row>
    <row r="2212" spans="18:20">
      <c r="R2212" s="24" t="str">
        <f t="shared" si="156"/>
        <v/>
      </c>
      <c r="S2212" s="24" t="str">
        <f t="shared" si="157"/>
        <v/>
      </c>
      <c r="T2212" t="str">
        <f t="shared" si="155"/>
        <v/>
      </c>
    </row>
    <row r="2213" spans="18:20">
      <c r="R2213" s="24" t="str">
        <f t="shared" si="156"/>
        <v/>
      </c>
      <c r="S2213" s="24" t="str">
        <f t="shared" si="157"/>
        <v/>
      </c>
      <c r="T2213" t="str">
        <f t="shared" si="155"/>
        <v/>
      </c>
    </row>
    <row r="2214" spans="18:20">
      <c r="R2214" s="24" t="str">
        <f t="shared" si="156"/>
        <v/>
      </c>
      <c r="S2214" s="24" t="str">
        <f t="shared" si="157"/>
        <v/>
      </c>
      <c r="T2214" t="str">
        <f t="shared" si="155"/>
        <v/>
      </c>
    </row>
    <row r="2215" spans="18:20">
      <c r="R2215" s="24" t="str">
        <f t="shared" si="156"/>
        <v/>
      </c>
      <c r="S2215" s="24" t="str">
        <f t="shared" si="157"/>
        <v/>
      </c>
      <c r="T2215" t="str">
        <f t="shared" si="155"/>
        <v/>
      </c>
    </row>
    <row r="2216" spans="18:20">
      <c r="R2216" s="24" t="str">
        <f t="shared" si="156"/>
        <v/>
      </c>
      <c r="S2216" s="24" t="str">
        <f t="shared" si="157"/>
        <v/>
      </c>
      <c r="T2216" t="str">
        <f t="shared" si="155"/>
        <v/>
      </c>
    </row>
    <row r="2217" spans="18:20">
      <c r="R2217" s="24" t="str">
        <f t="shared" si="156"/>
        <v/>
      </c>
      <c r="S2217" s="24" t="str">
        <f t="shared" si="157"/>
        <v/>
      </c>
      <c r="T2217" t="str">
        <f t="shared" si="155"/>
        <v/>
      </c>
    </row>
    <row r="2218" spans="18:20">
      <c r="R2218" s="24" t="str">
        <f t="shared" si="156"/>
        <v/>
      </c>
      <c r="S2218" s="24" t="str">
        <f t="shared" si="157"/>
        <v/>
      </c>
      <c r="T2218" t="str">
        <f t="shared" si="155"/>
        <v/>
      </c>
    </row>
    <row r="2219" spans="18:20">
      <c r="R2219" s="24" t="str">
        <f t="shared" si="156"/>
        <v/>
      </c>
      <c r="S2219" s="24" t="str">
        <f t="shared" si="157"/>
        <v/>
      </c>
      <c r="T2219" t="str">
        <f t="shared" si="155"/>
        <v/>
      </c>
    </row>
    <row r="2220" spans="18:20">
      <c r="R2220" s="24" t="str">
        <f t="shared" si="156"/>
        <v/>
      </c>
      <c r="S2220" s="24" t="str">
        <f t="shared" si="157"/>
        <v/>
      </c>
      <c r="T2220" t="str">
        <f t="shared" si="155"/>
        <v/>
      </c>
    </row>
    <row r="2221" spans="18:20">
      <c r="R2221" s="24" t="str">
        <f t="shared" si="156"/>
        <v/>
      </c>
      <c r="S2221" s="24" t="str">
        <f t="shared" si="157"/>
        <v/>
      </c>
      <c r="T2221" t="str">
        <f t="shared" si="155"/>
        <v/>
      </c>
    </row>
    <row r="2222" spans="18:20">
      <c r="R2222" s="24" t="str">
        <f t="shared" si="156"/>
        <v/>
      </c>
      <c r="S2222" s="24" t="str">
        <f t="shared" si="157"/>
        <v/>
      </c>
      <c r="T2222" t="str">
        <f t="shared" si="155"/>
        <v/>
      </c>
    </row>
    <row r="2223" spans="18:20">
      <c r="R2223" s="24" t="str">
        <f t="shared" si="156"/>
        <v/>
      </c>
      <c r="S2223" s="24" t="str">
        <f t="shared" si="157"/>
        <v/>
      </c>
      <c r="T2223" t="str">
        <f t="shared" si="155"/>
        <v/>
      </c>
    </row>
    <row r="2224" spans="18:20">
      <c r="R2224" s="24" t="str">
        <f t="shared" si="156"/>
        <v/>
      </c>
      <c r="S2224" s="24" t="str">
        <f t="shared" si="157"/>
        <v/>
      </c>
      <c r="T2224" t="str">
        <f t="shared" si="155"/>
        <v/>
      </c>
    </row>
    <row r="2225" spans="18:20">
      <c r="R2225" s="24" t="str">
        <f t="shared" si="156"/>
        <v/>
      </c>
      <c r="S2225" s="24" t="str">
        <f t="shared" si="157"/>
        <v/>
      </c>
      <c r="T2225" t="str">
        <f t="shared" si="155"/>
        <v/>
      </c>
    </row>
    <row r="2226" spans="18:20">
      <c r="R2226" s="24" t="str">
        <f t="shared" si="156"/>
        <v/>
      </c>
      <c r="S2226" s="24" t="str">
        <f t="shared" si="157"/>
        <v/>
      </c>
      <c r="T2226" t="str">
        <f t="shared" si="155"/>
        <v/>
      </c>
    </row>
    <row r="2227" spans="18:20">
      <c r="R2227" s="24" t="str">
        <f t="shared" si="156"/>
        <v/>
      </c>
      <c r="S2227" s="24" t="str">
        <f t="shared" si="157"/>
        <v/>
      </c>
      <c r="T2227" t="str">
        <f t="shared" si="155"/>
        <v/>
      </c>
    </row>
    <row r="2228" spans="18:20">
      <c r="R2228" s="24" t="str">
        <f t="shared" si="156"/>
        <v/>
      </c>
      <c r="S2228" s="24" t="str">
        <f t="shared" si="157"/>
        <v/>
      </c>
      <c r="T2228" t="str">
        <f t="shared" si="155"/>
        <v/>
      </c>
    </row>
    <row r="2229" spans="18:20">
      <c r="R2229" s="24" t="str">
        <f t="shared" si="156"/>
        <v/>
      </c>
      <c r="S2229" s="24" t="str">
        <f t="shared" si="157"/>
        <v/>
      </c>
      <c r="T2229" t="str">
        <f t="shared" si="155"/>
        <v/>
      </c>
    </row>
    <row r="2230" spans="18:20">
      <c r="R2230" s="24" t="str">
        <f t="shared" si="156"/>
        <v/>
      </c>
      <c r="S2230" s="24" t="str">
        <f t="shared" si="157"/>
        <v/>
      </c>
      <c r="T2230" t="str">
        <f t="shared" si="155"/>
        <v/>
      </c>
    </row>
    <row r="2231" spans="18:20">
      <c r="R2231" s="24" t="str">
        <f t="shared" si="156"/>
        <v/>
      </c>
      <c r="S2231" s="24" t="str">
        <f t="shared" si="157"/>
        <v/>
      </c>
      <c r="T2231" t="str">
        <f t="shared" si="155"/>
        <v/>
      </c>
    </row>
    <row r="2232" spans="18:20">
      <c r="R2232" s="24" t="str">
        <f t="shared" si="156"/>
        <v/>
      </c>
      <c r="S2232" s="24" t="str">
        <f t="shared" si="157"/>
        <v/>
      </c>
      <c r="T2232" t="str">
        <f t="shared" si="155"/>
        <v/>
      </c>
    </row>
    <row r="2233" spans="18:20">
      <c r="R2233" s="24" t="str">
        <f t="shared" si="156"/>
        <v/>
      </c>
      <c r="S2233" s="24" t="str">
        <f t="shared" si="157"/>
        <v/>
      </c>
      <c r="T2233" t="str">
        <f t="shared" si="155"/>
        <v/>
      </c>
    </row>
    <row r="2234" spans="18:20">
      <c r="R2234" s="24" t="str">
        <f t="shared" si="156"/>
        <v/>
      </c>
      <c r="S2234" s="24" t="str">
        <f t="shared" si="157"/>
        <v/>
      </c>
      <c r="T2234" t="str">
        <f t="shared" si="155"/>
        <v/>
      </c>
    </row>
    <row r="2235" spans="18:20">
      <c r="R2235" s="24" t="str">
        <f t="shared" si="156"/>
        <v/>
      </c>
      <c r="S2235" s="24" t="str">
        <f t="shared" si="157"/>
        <v/>
      </c>
      <c r="T2235" t="str">
        <f t="shared" si="155"/>
        <v/>
      </c>
    </row>
    <row r="2236" spans="18:20">
      <c r="R2236" s="24" t="str">
        <f t="shared" si="156"/>
        <v/>
      </c>
      <c r="S2236" s="24" t="str">
        <f t="shared" si="157"/>
        <v/>
      </c>
      <c r="T2236" t="str">
        <f t="shared" si="155"/>
        <v/>
      </c>
    </row>
    <row r="2237" spans="18:20">
      <c r="R2237" s="24" t="str">
        <f t="shared" si="156"/>
        <v/>
      </c>
      <c r="S2237" s="24" t="str">
        <f t="shared" si="157"/>
        <v/>
      </c>
      <c r="T2237" t="str">
        <f t="shared" si="155"/>
        <v/>
      </c>
    </row>
    <row r="2238" spans="18:20">
      <c r="R2238" s="24" t="str">
        <f t="shared" si="156"/>
        <v/>
      </c>
      <c r="S2238" s="24" t="str">
        <f t="shared" si="157"/>
        <v/>
      </c>
      <c r="T2238" t="str">
        <f t="shared" si="155"/>
        <v/>
      </c>
    </row>
    <row r="2239" spans="18:20">
      <c r="R2239" s="24" t="str">
        <f t="shared" si="156"/>
        <v/>
      </c>
      <c r="S2239" s="24" t="str">
        <f t="shared" si="157"/>
        <v/>
      </c>
      <c r="T2239" t="str">
        <f t="shared" si="155"/>
        <v/>
      </c>
    </row>
    <row r="2240" spans="18:20">
      <c r="R2240" s="24" t="str">
        <f t="shared" si="156"/>
        <v/>
      </c>
      <c r="S2240" s="24" t="str">
        <f t="shared" si="157"/>
        <v/>
      </c>
      <c r="T2240" t="str">
        <f t="shared" si="155"/>
        <v/>
      </c>
    </row>
    <row r="2241" spans="18:20">
      <c r="R2241" s="24" t="str">
        <f t="shared" si="156"/>
        <v/>
      </c>
      <c r="S2241" s="24" t="str">
        <f t="shared" si="157"/>
        <v/>
      </c>
      <c r="T2241" t="str">
        <f t="shared" si="155"/>
        <v/>
      </c>
    </row>
    <row r="2242" spans="18:20">
      <c r="R2242" s="24" t="str">
        <f t="shared" si="156"/>
        <v/>
      </c>
      <c r="S2242" s="24" t="str">
        <f t="shared" si="157"/>
        <v/>
      </c>
      <c r="T2242" t="str">
        <f t="shared" si="155"/>
        <v/>
      </c>
    </row>
    <row r="2243" spans="18:20">
      <c r="R2243" s="24" t="str">
        <f t="shared" si="156"/>
        <v/>
      </c>
      <c r="S2243" s="24" t="str">
        <f t="shared" si="157"/>
        <v/>
      </c>
      <c r="T2243" t="str">
        <f t="shared" si="155"/>
        <v/>
      </c>
    </row>
    <row r="2244" spans="18:20">
      <c r="R2244" s="24" t="str">
        <f t="shared" si="156"/>
        <v/>
      </c>
      <c r="S2244" s="24" t="str">
        <f t="shared" si="157"/>
        <v/>
      </c>
      <c r="T2244" t="str">
        <f t="shared" si="155"/>
        <v/>
      </c>
    </row>
    <row r="2245" spans="18:20">
      <c r="R2245" s="24" t="str">
        <f t="shared" si="156"/>
        <v/>
      </c>
      <c r="S2245" s="24" t="str">
        <f t="shared" si="157"/>
        <v/>
      </c>
      <c r="T2245" t="str">
        <f t="shared" si="155"/>
        <v/>
      </c>
    </row>
    <row r="2246" spans="18:20">
      <c r="R2246" s="24" t="str">
        <f t="shared" si="156"/>
        <v/>
      </c>
      <c r="S2246" s="24" t="str">
        <f t="shared" si="157"/>
        <v/>
      </c>
      <c r="T2246" t="str">
        <f t="shared" si="155"/>
        <v/>
      </c>
    </row>
    <row r="2247" spans="18:20">
      <c r="R2247" s="24" t="str">
        <f t="shared" si="156"/>
        <v/>
      </c>
      <c r="S2247" s="24" t="str">
        <f t="shared" si="157"/>
        <v/>
      </c>
      <c r="T2247" t="str">
        <f t="shared" si="155"/>
        <v/>
      </c>
    </row>
    <row r="2248" spans="18:20">
      <c r="R2248" s="24" t="str">
        <f t="shared" si="156"/>
        <v/>
      </c>
      <c r="S2248" s="24" t="str">
        <f t="shared" si="157"/>
        <v/>
      </c>
      <c r="T2248" t="str">
        <f t="shared" si="155"/>
        <v/>
      </c>
    </row>
    <row r="2249" spans="18:20">
      <c r="R2249" s="24" t="str">
        <f t="shared" si="156"/>
        <v/>
      </c>
      <c r="S2249" s="24" t="str">
        <f t="shared" si="157"/>
        <v/>
      </c>
      <c r="T2249" t="str">
        <f t="shared" si="155"/>
        <v/>
      </c>
    </row>
    <row r="2250" spans="18:20">
      <c r="R2250" s="24" t="str">
        <f t="shared" si="156"/>
        <v/>
      </c>
      <c r="S2250" s="24" t="str">
        <f t="shared" si="157"/>
        <v/>
      </c>
      <c r="T2250" t="str">
        <f t="shared" si="155"/>
        <v/>
      </c>
    </row>
    <row r="2251" spans="18:20">
      <c r="R2251" s="24" t="str">
        <f t="shared" si="156"/>
        <v/>
      </c>
      <c r="S2251" s="24" t="str">
        <f t="shared" si="157"/>
        <v/>
      </c>
      <c r="T2251" t="str">
        <f t="shared" si="155"/>
        <v/>
      </c>
    </row>
    <row r="2252" spans="18:20">
      <c r="R2252" s="24" t="str">
        <f t="shared" si="156"/>
        <v/>
      </c>
      <c r="S2252" s="24" t="str">
        <f t="shared" si="157"/>
        <v/>
      </c>
      <c r="T2252" t="str">
        <f t="shared" si="155"/>
        <v/>
      </c>
    </row>
    <row r="2253" spans="18:20">
      <c r="R2253" s="24" t="str">
        <f t="shared" si="156"/>
        <v/>
      </c>
      <c r="S2253" s="24" t="str">
        <f t="shared" si="157"/>
        <v/>
      </c>
      <c r="T2253" t="str">
        <f t="shared" si="155"/>
        <v/>
      </c>
    </row>
    <row r="2254" spans="18:20">
      <c r="R2254" s="24" t="str">
        <f t="shared" si="156"/>
        <v/>
      </c>
      <c r="S2254" s="24" t="str">
        <f t="shared" si="157"/>
        <v/>
      </c>
      <c r="T2254" t="str">
        <f t="shared" si="155"/>
        <v/>
      </c>
    </row>
    <row r="2255" spans="18:20">
      <c r="R2255" s="24" t="str">
        <f t="shared" si="156"/>
        <v/>
      </c>
      <c r="S2255" s="24" t="str">
        <f t="shared" si="157"/>
        <v/>
      </c>
      <c r="T2255" t="str">
        <f t="shared" ref="T2255:T2318" si="158">IF(OR(C2255="",I2255&lt;&gt;"ENTRADA"),"",TEXT(B2255,"AAMMDD")&amp;"-"&amp;TEXT(VALUE(SUBSTITUTE(A2255,"MOV-","")),"000"))</f>
        <v/>
      </c>
    </row>
    <row r="2256" spans="18:20">
      <c r="R2256" s="24" t="str">
        <f t="shared" ref="R2256:R2319" si="159">IF(H2256="","",H2256&amp;I2256)</f>
        <v/>
      </c>
      <c r="S2256" s="24" t="str">
        <f t="shared" ref="S2256:S2319" si="160">IF(C2256="","",C2256&amp;I2256)</f>
        <v/>
      </c>
      <c r="T2256" t="str">
        <f t="shared" si="158"/>
        <v/>
      </c>
    </row>
    <row r="2257" spans="18:20">
      <c r="R2257" s="24" t="str">
        <f t="shared" si="159"/>
        <v/>
      </c>
      <c r="S2257" s="24" t="str">
        <f t="shared" si="160"/>
        <v/>
      </c>
      <c r="T2257" t="str">
        <f t="shared" si="158"/>
        <v/>
      </c>
    </row>
    <row r="2258" spans="18:20">
      <c r="R2258" s="24" t="str">
        <f t="shared" si="159"/>
        <v/>
      </c>
      <c r="S2258" s="24" t="str">
        <f t="shared" si="160"/>
        <v/>
      </c>
      <c r="T2258" t="str">
        <f t="shared" si="158"/>
        <v/>
      </c>
    </row>
    <row r="2259" spans="18:20">
      <c r="R2259" s="24" t="str">
        <f t="shared" si="159"/>
        <v/>
      </c>
      <c r="S2259" s="24" t="str">
        <f t="shared" si="160"/>
        <v/>
      </c>
      <c r="T2259" t="str">
        <f t="shared" si="158"/>
        <v/>
      </c>
    </row>
    <row r="2260" spans="18:20">
      <c r="R2260" s="24" t="str">
        <f t="shared" si="159"/>
        <v/>
      </c>
      <c r="S2260" s="24" t="str">
        <f t="shared" si="160"/>
        <v/>
      </c>
      <c r="T2260" t="str">
        <f t="shared" si="158"/>
        <v/>
      </c>
    </row>
    <row r="2261" spans="18:20">
      <c r="R2261" s="24" t="str">
        <f t="shared" si="159"/>
        <v/>
      </c>
      <c r="S2261" s="24" t="str">
        <f t="shared" si="160"/>
        <v/>
      </c>
      <c r="T2261" t="str">
        <f t="shared" si="158"/>
        <v/>
      </c>
    </row>
    <row r="2262" spans="18:20">
      <c r="R2262" s="24" t="str">
        <f t="shared" si="159"/>
        <v/>
      </c>
      <c r="S2262" s="24" t="str">
        <f t="shared" si="160"/>
        <v/>
      </c>
      <c r="T2262" t="str">
        <f t="shared" si="158"/>
        <v/>
      </c>
    </row>
    <row r="2263" spans="18:20">
      <c r="R2263" s="24" t="str">
        <f t="shared" si="159"/>
        <v/>
      </c>
      <c r="S2263" s="24" t="str">
        <f t="shared" si="160"/>
        <v/>
      </c>
      <c r="T2263" t="str">
        <f t="shared" si="158"/>
        <v/>
      </c>
    </row>
    <row r="2264" spans="18:20">
      <c r="R2264" s="24" t="str">
        <f t="shared" si="159"/>
        <v/>
      </c>
      <c r="S2264" s="24" t="str">
        <f t="shared" si="160"/>
        <v/>
      </c>
      <c r="T2264" t="str">
        <f t="shared" si="158"/>
        <v/>
      </c>
    </row>
    <row r="2265" spans="18:20">
      <c r="R2265" s="24" t="str">
        <f t="shared" si="159"/>
        <v/>
      </c>
      <c r="S2265" s="24" t="str">
        <f t="shared" si="160"/>
        <v/>
      </c>
      <c r="T2265" t="str">
        <f t="shared" si="158"/>
        <v/>
      </c>
    </row>
    <row r="2266" spans="18:20">
      <c r="R2266" s="24" t="str">
        <f t="shared" si="159"/>
        <v/>
      </c>
      <c r="S2266" s="24" t="str">
        <f t="shared" si="160"/>
        <v/>
      </c>
      <c r="T2266" t="str">
        <f t="shared" si="158"/>
        <v/>
      </c>
    </row>
    <row r="2267" spans="18:20">
      <c r="R2267" s="24" t="str">
        <f t="shared" si="159"/>
        <v/>
      </c>
      <c r="S2267" s="24" t="str">
        <f t="shared" si="160"/>
        <v/>
      </c>
      <c r="T2267" t="str">
        <f t="shared" si="158"/>
        <v/>
      </c>
    </row>
    <row r="2268" spans="18:20">
      <c r="R2268" s="24" t="str">
        <f t="shared" si="159"/>
        <v/>
      </c>
      <c r="S2268" s="24" t="str">
        <f t="shared" si="160"/>
        <v/>
      </c>
      <c r="T2268" t="str">
        <f t="shared" si="158"/>
        <v/>
      </c>
    </row>
    <row r="2269" spans="18:20">
      <c r="R2269" s="24" t="str">
        <f t="shared" si="159"/>
        <v/>
      </c>
      <c r="S2269" s="24" t="str">
        <f t="shared" si="160"/>
        <v/>
      </c>
      <c r="T2269" t="str">
        <f t="shared" si="158"/>
        <v/>
      </c>
    </row>
    <row r="2270" spans="18:20">
      <c r="R2270" s="24" t="str">
        <f t="shared" si="159"/>
        <v/>
      </c>
      <c r="S2270" s="24" t="str">
        <f t="shared" si="160"/>
        <v/>
      </c>
      <c r="T2270" t="str">
        <f t="shared" si="158"/>
        <v/>
      </c>
    </row>
    <row r="2271" spans="18:20">
      <c r="R2271" s="24" t="str">
        <f t="shared" si="159"/>
        <v/>
      </c>
      <c r="S2271" s="24" t="str">
        <f t="shared" si="160"/>
        <v/>
      </c>
      <c r="T2271" t="str">
        <f t="shared" si="158"/>
        <v/>
      </c>
    </row>
    <row r="2272" spans="18:20">
      <c r="R2272" s="24" t="str">
        <f t="shared" si="159"/>
        <v/>
      </c>
      <c r="S2272" s="24" t="str">
        <f t="shared" si="160"/>
        <v/>
      </c>
      <c r="T2272" t="str">
        <f t="shared" si="158"/>
        <v/>
      </c>
    </row>
    <row r="2273" spans="18:20">
      <c r="R2273" s="24" t="str">
        <f t="shared" si="159"/>
        <v/>
      </c>
      <c r="S2273" s="24" t="str">
        <f t="shared" si="160"/>
        <v/>
      </c>
      <c r="T2273" t="str">
        <f t="shared" si="158"/>
        <v/>
      </c>
    </row>
    <row r="2274" spans="18:20">
      <c r="R2274" s="24" t="str">
        <f t="shared" si="159"/>
        <v/>
      </c>
      <c r="S2274" s="24" t="str">
        <f t="shared" si="160"/>
        <v/>
      </c>
      <c r="T2274" t="str">
        <f t="shared" si="158"/>
        <v/>
      </c>
    </row>
    <row r="2275" spans="18:20">
      <c r="R2275" s="24" t="str">
        <f t="shared" si="159"/>
        <v/>
      </c>
      <c r="S2275" s="24" t="str">
        <f t="shared" si="160"/>
        <v/>
      </c>
      <c r="T2275" t="str">
        <f t="shared" si="158"/>
        <v/>
      </c>
    </row>
    <row r="2276" spans="18:20">
      <c r="R2276" s="24" t="str">
        <f t="shared" si="159"/>
        <v/>
      </c>
      <c r="S2276" s="24" t="str">
        <f t="shared" si="160"/>
        <v/>
      </c>
      <c r="T2276" t="str">
        <f t="shared" si="158"/>
        <v/>
      </c>
    </row>
    <row r="2277" spans="18:20">
      <c r="R2277" s="24" t="str">
        <f t="shared" si="159"/>
        <v/>
      </c>
      <c r="S2277" s="24" t="str">
        <f t="shared" si="160"/>
        <v/>
      </c>
      <c r="T2277" t="str">
        <f t="shared" si="158"/>
        <v/>
      </c>
    </row>
    <row r="2278" spans="18:20">
      <c r="R2278" s="24" t="str">
        <f t="shared" si="159"/>
        <v/>
      </c>
      <c r="S2278" s="24" t="str">
        <f t="shared" si="160"/>
        <v/>
      </c>
      <c r="T2278" t="str">
        <f t="shared" si="158"/>
        <v/>
      </c>
    </row>
    <row r="2279" spans="18:20">
      <c r="R2279" s="24" t="str">
        <f t="shared" si="159"/>
        <v/>
      </c>
      <c r="S2279" s="24" t="str">
        <f t="shared" si="160"/>
        <v/>
      </c>
      <c r="T2279" t="str">
        <f t="shared" si="158"/>
        <v/>
      </c>
    </row>
    <row r="2280" spans="18:20">
      <c r="R2280" s="24" t="str">
        <f t="shared" si="159"/>
        <v/>
      </c>
      <c r="S2280" s="24" t="str">
        <f t="shared" si="160"/>
        <v/>
      </c>
      <c r="T2280" t="str">
        <f t="shared" si="158"/>
        <v/>
      </c>
    </row>
    <row r="2281" spans="18:20">
      <c r="R2281" s="24" t="str">
        <f t="shared" si="159"/>
        <v/>
      </c>
      <c r="S2281" s="24" t="str">
        <f t="shared" si="160"/>
        <v/>
      </c>
      <c r="T2281" t="str">
        <f t="shared" si="158"/>
        <v/>
      </c>
    </row>
    <row r="2282" spans="18:20">
      <c r="R2282" s="24" t="str">
        <f t="shared" si="159"/>
        <v/>
      </c>
      <c r="S2282" s="24" t="str">
        <f t="shared" si="160"/>
        <v/>
      </c>
      <c r="T2282" t="str">
        <f t="shared" si="158"/>
        <v/>
      </c>
    </row>
    <row r="2283" spans="18:20">
      <c r="R2283" s="24" t="str">
        <f t="shared" si="159"/>
        <v/>
      </c>
      <c r="S2283" s="24" t="str">
        <f t="shared" si="160"/>
        <v/>
      </c>
      <c r="T2283" t="str">
        <f t="shared" si="158"/>
        <v/>
      </c>
    </row>
    <row r="2284" spans="18:20">
      <c r="R2284" s="24" t="str">
        <f t="shared" si="159"/>
        <v/>
      </c>
      <c r="S2284" s="24" t="str">
        <f t="shared" si="160"/>
        <v/>
      </c>
      <c r="T2284" t="str">
        <f t="shared" si="158"/>
        <v/>
      </c>
    </row>
    <row r="2285" spans="18:20">
      <c r="R2285" s="24" t="str">
        <f t="shared" si="159"/>
        <v/>
      </c>
      <c r="S2285" s="24" t="str">
        <f t="shared" si="160"/>
        <v/>
      </c>
      <c r="T2285" t="str">
        <f t="shared" si="158"/>
        <v/>
      </c>
    </row>
    <row r="2286" spans="18:20">
      <c r="R2286" s="24" t="str">
        <f t="shared" si="159"/>
        <v/>
      </c>
      <c r="S2286" s="24" t="str">
        <f t="shared" si="160"/>
        <v/>
      </c>
      <c r="T2286" t="str">
        <f t="shared" si="158"/>
        <v/>
      </c>
    </row>
    <row r="2287" spans="18:20">
      <c r="R2287" s="24" t="str">
        <f t="shared" si="159"/>
        <v/>
      </c>
      <c r="S2287" s="24" t="str">
        <f t="shared" si="160"/>
        <v/>
      </c>
      <c r="T2287" t="str">
        <f t="shared" si="158"/>
        <v/>
      </c>
    </row>
    <row r="2288" spans="18:20">
      <c r="R2288" s="24" t="str">
        <f t="shared" si="159"/>
        <v/>
      </c>
      <c r="S2288" s="24" t="str">
        <f t="shared" si="160"/>
        <v/>
      </c>
      <c r="T2288" t="str">
        <f t="shared" si="158"/>
        <v/>
      </c>
    </row>
    <row r="2289" spans="18:20">
      <c r="R2289" s="24" t="str">
        <f t="shared" si="159"/>
        <v/>
      </c>
      <c r="S2289" s="24" t="str">
        <f t="shared" si="160"/>
        <v/>
      </c>
      <c r="T2289" t="str">
        <f t="shared" si="158"/>
        <v/>
      </c>
    </row>
    <row r="2290" spans="18:20">
      <c r="R2290" s="24" t="str">
        <f t="shared" si="159"/>
        <v/>
      </c>
      <c r="S2290" s="24" t="str">
        <f t="shared" si="160"/>
        <v/>
      </c>
      <c r="T2290" t="str">
        <f t="shared" si="158"/>
        <v/>
      </c>
    </row>
    <row r="2291" spans="18:20">
      <c r="R2291" s="24" t="str">
        <f t="shared" si="159"/>
        <v/>
      </c>
      <c r="S2291" s="24" t="str">
        <f t="shared" si="160"/>
        <v/>
      </c>
      <c r="T2291" t="str">
        <f t="shared" si="158"/>
        <v/>
      </c>
    </row>
    <row r="2292" spans="18:20">
      <c r="R2292" s="24" t="str">
        <f t="shared" si="159"/>
        <v/>
      </c>
      <c r="S2292" s="24" t="str">
        <f t="shared" si="160"/>
        <v/>
      </c>
      <c r="T2292" t="str">
        <f t="shared" si="158"/>
        <v/>
      </c>
    </row>
    <row r="2293" spans="18:20">
      <c r="R2293" s="24" t="str">
        <f t="shared" si="159"/>
        <v/>
      </c>
      <c r="S2293" s="24" t="str">
        <f t="shared" si="160"/>
        <v/>
      </c>
      <c r="T2293" t="str">
        <f t="shared" si="158"/>
        <v/>
      </c>
    </row>
    <row r="2294" spans="18:20">
      <c r="R2294" s="24" t="str">
        <f t="shared" si="159"/>
        <v/>
      </c>
      <c r="S2294" s="24" t="str">
        <f t="shared" si="160"/>
        <v/>
      </c>
      <c r="T2294" t="str">
        <f t="shared" si="158"/>
        <v/>
      </c>
    </row>
    <row r="2295" spans="18:20">
      <c r="R2295" s="24" t="str">
        <f t="shared" si="159"/>
        <v/>
      </c>
      <c r="S2295" s="24" t="str">
        <f t="shared" si="160"/>
        <v/>
      </c>
      <c r="T2295" t="str">
        <f t="shared" si="158"/>
        <v/>
      </c>
    </row>
    <row r="2296" spans="18:20">
      <c r="R2296" s="24" t="str">
        <f t="shared" si="159"/>
        <v/>
      </c>
      <c r="S2296" s="24" t="str">
        <f t="shared" si="160"/>
        <v/>
      </c>
      <c r="T2296" t="str">
        <f t="shared" si="158"/>
        <v/>
      </c>
    </row>
    <row r="2297" spans="18:20">
      <c r="R2297" s="24" t="str">
        <f t="shared" si="159"/>
        <v/>
      </c>
      <c r="S2297" s="24" t="str">
        <f t="shared" si="160"/>
        <v/>
      </c>
      <c r="T2297" t="str">
        <f t="shared" si="158"/>
        <v/>
      </c>
    </row>
    <row r="2298" spans="18:20">
      <c r="R2298" s="24" t="str">
        <f t="shared" si="159"/>
        <v/>
      </c>
      <c r="S2298" s="24" t="str">
        <f t="shared" si="160"/>
        <v/>
      </c>
      <c r="T2298" t="str">
        <f t="shared" si="158"/>
        <v/>
      </c>
    </row>
    <row r="2299" spans="18:20">
      <c r="R2299" s="24" t="str">
        <f t="shared" si="159"/>
        <v/>
      </c>
      <c r="S2299" s="24" t="str">
        <f t="shared" si="160"/>
        <v/>
      </c>
      <c r="T2299" t="str">
        <f t="shared" si="158"/>
        <v/>
      </c>
    </row>
    <row r="2300" spans="18:20">
      <c r="R2300" s="24" t="str">
        <f t="shared" si="159"/>
        <v/>
      </c>
      <c r="S2300" s="24" t="str">
        <f t="shared" si="160"/>
        <v/>
      </c>
      <c r="T2300" t="str">
        <f t="shared" si="158"/>
        <v/>
      </c>
    </row>
    <row r="2301" spans="18:20">
      <c r="R2301" s="24" t="str">
        <f t="shared" si="159"/>
        <v/>
      </c>
      <c r="S2301" s="24" t="str">
        <f t="shared" si="160"/>
        <v/>
      </c>
      <c r="T2301" t="str">
        <f t="shared" si="158"/>
        <v/>
      </c>
    </row>
    <row r="2302" spans="18:20">
      <c r="R2302" s="24" t="str">
        <f t="shared" si="159"/>
        <v/>
      </c>
      <c r="S2302" s="24" t="str">
        <f t="shared" si="160"/>
        <v/>
      </c>
      <c r="T2302" t="str">
        <f t="shared" si="158"/>
        <v/>
      </c>
    </row>
    <row r="2303" spans="18:20">
      <c r="R2303" s="24" t="str">
        <f t="shared" si="159"/>
        <v/>
      </c>
      <c r="S2303" s="24" t="str">
        <f t="shared" si="160"/>
        <v/>
      </c>
      <c r="T2303" t="str">
        <f t="shared" si="158"/>
        <v/>
      </c>
    </row>
    <row r="2304" spans="18:20">
      <c r="R2304" s="24" t="str">
        <f t="shared" si="159"/>
        <v/>
      </c>
      <c r="S2304" s="24" t="str">
        <f t="shared" si="160"/>
        <v/>
      </c>
      <c r="T2304" t="str">
        <f t="shared" si="158"/>
        <v/>
      </c>
    </row>
    <row r="2305" spans="18:20">
      <c r="R2305" s="24" t="str">
        <f t="shared" si="159"/>
        <v/>
      </c>
      <c r="S2305" s="24" t="str">
        <f t="shared" si="160"/>
        <v/>
      </c>
      <c r="T2305" t="str">
        <f t="shared" si="158"/>
        <v/>
      </c>
    </row>
    <row r="2306" spans="18:20">
      <c r="R2306" s="24" t="str">
        <f t="shared" si="159"/>
        <v/>
      </c>
      <c r="S2306" s="24" t="str">
        <f t="shared" si="160"/>
        <v/>
      </c>
      <c r="T2306" t="str">
        <f t="shared" si="158"/>
        <v/>
      </c>
    </row>
    <row r="2307" spans="18:20">
      <c r="R2307" s="24" t="str">
        <f t="shared" si="159"/>
        <v/>
      </c>
      <c r="S2307" s="24" t="str">
        <f t="shared" si="160"/>
        <v/>
      </c>
      <c r="T2307" t="str">
        <f t="shared" si="158"/>
        <v/>
      </c>
    </row>
    <row r="2308" spans="18:20">
      <c r="R2308" s="24" t="str">
        <f t="shared" si="159"/>
        <v/>
      </c>
      <c r="S2308" s="24" t="str">
        <f t="shared" si="160"/>
        <v/>
      </c>
      <c r="T2308" t="str">
        <f t="shared" si="158"/>
        <v/>
      </c>
    </row>
    <row r="2309" spans="18:20">
      <c r="R2309" s="24" t="str">
        <f t="shared" si="159"/>
        <v/>
      </c>
      <c r="S2309" s="24" t="str">
        <f t="shared" si="160"/>
        <v/>
      </c>
      <c r="T2309" t="str">
        <f t="shared" si="158"/>
        <v/>
      </c>
    </row>
    <row r="2310" spans="18:20">
      <c r="R2310" s="24" t="str">
        <f t="shared" si="159"/>
        <v/>
      </c>
      <c r="S2310" s="24" t="str">
        <f t="shared" si="160"/>
        <v/>
      </c>
      <c r="T2310" t="str">
        <f t="shared" si="158"/>
        <v/>
      </c>
    </row>
    <row r="2311" spans="18:20">
      <c r="R2311" s="24" t="str">
        <f t="shared" si="159"/>
        <v/>
      </c>
      <c r="S2311" s="24" t="str">
        <f t="shared" si="160"/>
        <v/>
      </c>
      <c r="T2311" t="str">
        <f t="shared" si="158"/>
        <v/>
      </c>
    </row>
    <row r="2312" spans="18:20">
      <c r="R2312" s="24" t="str">
        <f t="shared" si="159"/>
        <v/>
      </c>
      <c r="S2312" s="24" t="str">
        <f t="shared" si="160"/>
        <v/>
      </c>
      <c r="T2312" t="str">
        <f t="shared" si="158"/>
        <v/>
      </c>
    </row>
    <row r="2313" spans="18:20">
      <c r="R2313" s="24" t="str">
        <f t="shared" si="159"/>
        <v/>
      </c>
      <c r="S2313" s="24" t="str">
        <f t="shared" si="160"/>
        <v/>
      </c>
      <c r="T2313" t="str">
        <f t="shared" si="158"/>
        <v/>
      </c>
    </row>
    <row r="2314" spans="18:20">
      <c r="R2314" s="24" t="str">
        <f t="shared" si="159"/>
        <v/>
      </c>
      <c r="S2314" s="24" t="str">
        <f t="shared" si="160"/>
        <v/>
      </c>
      <c r="T2314" t="str">
        <f t="shared" si="158"/>
        <v/>
      </c>
    </row>
    <row r="2315" spans="18:20">
      <c r="R2315" s="24" t="str">
        <f t="shared" si="159"/>
        <v/>
      </c>
      <c r="S2315" s="24" t="str">
        <f t="shared" si="160"/>
        <v/>
      </c>
      <c r="T2315" t="str">
        <f t="shared" si="158"/>
        <v/>
      </c>
    </row>
    <row r="2316" spans="18:20">
      <c r="R2316" s="24" t="str">
        <f t="shared" si="159"/>
        <v/>
      </c>
      <c r="S2316" s="24" t="str">
        <f t="shared" si="160"/>
        <v/>
      </c>
      <c r="T2316" t="str">
        <f t="shared" si="158"/>
        <v/>
      </c>
    </row>
    <row r="2317" spans="18:20">
      <c r="R2317" s="24" t="str">
        <f t="shared" si="159"/>
        <v/>
      </c>
      <c r="S2317" s="24" t="str">
        <f t="shared" si="160"/>
        <v/>
      </c>
      <c r="T2317" t="str">
        <f t="shared" si="158"/>
        <v/>
      </c>
    </row>
    <row r="2318" spans="18:20">
      <c r="R2318" s="24" t="str">
        <f t="shared" si="159"/>
        <v/>
      </c>
      <c r="S2318" s="24" t="str">
        <f t="shared" si="160"/>
        <v/>
      </c>
      <c r="T2318" t="str">
        <f t="shared" si="158"/>
        <v/>
      </c>
    </row>
    <row r="2319" spans="18:20">
      <c r="R2319" s="24" t="str">
        <f t="shared" si="159"/>
        <v/>
      </c>
      <c r="S2319" s="24" t="str">
        <f t="shared" si="160"/>
        <v/>
      </c>
      <c r="T2319" t="str">
        <f t="shared" ref="T2319:T2382" si="161">IF(OR(C2319="",I2319&lt;&gt;"ENTRADA"),"",TEXT(B2319,"AAMMDD")&amp;"-"&amp;TEXT(VALUE(SUBSTITUTE(A2319,"MOV-","")),"000"))</f>
        <v/>
      </c>
    </row>
    <row r="2320" spans="18:20">
      <c r="R2320" s="24" t="str">
        <f t="shared" ref="R2320:R2383" si="162">IF(H2320="","",H2320&amp;I2320)</f>
        <v/>
      </c>
      <c r="S2320" s="24" t="str">
        <f t="shared" ref="S2320:S2383" si="163">IF(C2320="","",C2320&amp;I2320)</f>
        <v/>
      </c>
      <c r="T2320" t="str">
        <f t="shared" si="161"/>
        <v/>
      </c>
    </row>
    <row r="2321" spans="18:20">
      <c r="R2321" s="24" t="str">
        <f t="shared" si="162"/>
        <v/>
      </c>
      <c r="S2321" s="24" t="str">
        <f t="shared" si="163"/>
        <v/>
      </c>
      <c r="T2321" t="str">
        <f t="shared" si="161"/>
        <v/>
      </c>
    </row>
    <row r="2322" spans="18:20">
      <c r="R2322" s="24" t="str">
        <f t="shared" si="162"/>
        <v/>
      </c>
      <c r="S2322" s="24" t="str">
        <f t="shared" si="163"/>
        <v/>
      </c>
      <c r="T2322" t="str">
        <f t="shared" si="161"/>
        <v/>
      </c>
    </row>
    <row r="2323" spans="18:20">
      <c r="R2323" s="24" t="str">
        <f t="shared" si="162"/>
        <v/>
      </c>
      <c r="S2323" s="24" t="str">
        <f t="shared" si="163"/>
        <v/>
      </c>
      <c r="T2323" t="str">
        <f t="shared" si="161"/>
        <v/>
      </c>
    </row>
    <row r="2324" spans="18:20">
      <c r="R2324" s="24" t="str">
        <f t="shared" si="162"/>
        <v/>
      </c>
      <c r="S2324" s="24" t="str">
        <f t="shared" si="163"/>
        <v/>
      </c>
      <c r="T2324" t="str">
        <f t="shared" si="161"/>
        <v/>
      </c>
    </row>
    <row r="2325" spans="18:20">
      <c r="R2325" s="24" t="str">
        <f t="shared" si="162"/>
        <v/>
      </c>
      <c r="S2325" s="24" t="str">
        <f t="shared" si="163"/>
        <v/>
      </c>
      <c r="T2325" t="str">
        <f t="shared" si="161"/>
        <v/>
      </c>
    </row>
    <row r="2326" spans="18:20">
      <c r="R2326" s="24" t="str">
        <f t="shared" si="162"/>
        <v/>
      </c>
      <c r="S2326" s="24" t="str">
        <f t="shared" si="163"/>
        <v/>
      </c>
      <c r="T2326" t="str">
        <f t="shared" si="161"/>
        <v/>
      </c>
    </row>
    <row r="2327" spans="18:20">
      <c r="R2327" s="24" t="str">
        <f t="shared" si="162"/>
        <v/>
      </c>
      <c r="S2327" s="24" t="str">
        <f t="shared" si="163"/>
        <v/>
      </c>
      <c r="T2327" t="str">
        <f t="shared" si="161"/>
        <v/>
      </c>
    </row>
    <row r="2328" spans="18:20">
      <c r="R2328" s="24" t="str">
        <f t="shared" si="162"/>
        <v/>
      </c>
      <c r="S2328" s="24" t="str">
        <f t="shared" si="163"/>
        <v/>
      </c>
      <c r="T2328" t="str">
        <f t="shared" si="161"/>
        <v/>
      </c>
    </row>
    <row r="2329" spans="18:20">
      <c r="R2329" s="24" t="str">
        <f t="shared" si="162"/>
        <v/>
      </c>
      <c r="S2329" s="24" t="str">
        <f t="shared" si="163"/>
        <v/>
      </c>
      <c r="T2329" t="str">
        <f t="shared" si="161"/>
        <v/>
      </c>
    </row>
    <row r="2330" spans="18:20">
      <c r="R2330" s="24" t="str">
        <f t="shared" si="162"/>
        <v/>
      </c>
      <c r="S2330" s="24" t="str">
        <f t="shared" si="163"/>
        <v/>
      </c>
      <c r="T2330" t="str">
        <f t="shared" si="161"/>
        <v/>
      </c>
    </row>
    <row r="2331" spans="18:20">
      <c r="R2331" s="24" t="str">
        <f t="shared" si="162"/>
        <v/>
      </c>
      <c r="S2331" s="24" t="str">
        <f t="shared" si="163"/>
        <v/>
      </c>
      <c r="T2331" t="str">
        <f t="shared" si="161"/>
        <v/>
      </c>
    </row>
    <row r="2332" spans="18:20">
      <c r="R2332" s="24" t="str">
        <f t="shared" si="162"/>
        <v/>
      </c>
      <c r="S2332" s="24" t="str">
        <f t="shared" si="163"/>
        <v/>
      </c>
      <c r="T2332" t="str">
        <f t="shared" si="161"/>
        <v/>
      </c>
    </row>
    <row r="2333" spans="18:20">
      <c r="R2333" s="24" t="str">
        <f t="shared" si="162"/>
        <v/>
      </c>
      <c r="S2333" s="24" t="str">
        <f t="shared" si="163"/>
        <v/>
      </c>
      <c r="T2333" t="str">
        <f t="shared" si="161"/>
        <v/>
      </c>
    </row>
    <row r="2334" spans="18:20">
      <c r="R2334" s="24" t="str">
        <f t="shared" si="162"/>
        <v/>
      </c>
      <c r="S2334" s="24" t="str">
        <f t="shared" si="163"/>
        <v/>
      </c>
      <c r="T2334" t="str">
        <f t="shared" si="161"/>
        <v/>
      </c>
    </row>
    <row r="2335" spans="18:20">
      <c r="R2335" s="24" t="str">
        <f t="shared" si="162"/>
        <v/>
      </c>
      <c r="S2335" s="24" t="str">
        <f t="shared" si="163"/>
        <v/>
      </c>
      <c r="T2335" t="str">
        <f t="shared" si="161"/>
        <v/>
      </c>
    </row>
    <row r="2336" spans="18:20">
      <c r="R2336" s="24" t="str">
        <f t="shared" si="162"/>
        <v/>
      </c>
      <c r="S2336" s="24" t="str">
        <f t="shared" si="163"/>
        <v/>
      </c>
      <c r="T2336" t="str">
        <f t="shared" si="161"/>
        <v/>
      </c>
    </row>
    <row r="2337" spans="18:20">
      <c r="R2337" s="24" t="str">
        <f t="shared" si="162"/>
        <v/>
      </c>
      <c r="S2337" s="24" t="str">
        <f t="shared" si="163"/>
        <v/>
      </c>
      <c r="T2337" t="str">
        <f t="shared" si="161"/>
        <v/>
      </c>
    </row>
    <row r="2338" spans="18:20">
      <c r="R2338" s="24" t="str">
        <f t="shared" si="162"/>
        <v/>
      </c>
      <c r="S2338" s="24" t="str">
        <f t="shared" si="163"/>
        <v/>
      </c>
      <c r="T2338" t="str">
        <f t="shared" si="161"/>
        <v/>
      </c>
    </row>
    <row r="2339" spans="18:20">
      <c r="R2339" s="24" t="str">
        <f t="shared" si="162"/>
        <v/>
      </c>
      <c r="S2339" s="24" t="str">
        <f t="shared" si="163"/>
        <v/>
      </c>
      <c r="T2339" t="str">
        <f t="shared" si="161"/>
        <v/>
      </c>
    </row>
    <row r="2340" spans="18:20">
      <c r="R2340" s="24" t="str">
        <f t="shared" si="162"/>
        <v/>
      </c>
      <c r="S2340" s="24" t="str">
        <f t="shared" si="163"/>
        <v/>
      </c>
      <c r="T2340" t="str">
        <f t="shared" si="161"/>
        <v/>
      </c>
    </row>
    <row r="2341" spans="18:20">
      <c r="R2341" s="24" t="str">
        <f t="shared" si="162"/>
        <v/>
      </c>
      <c r="S2341" s="24" t="str">
        <f t="shared" si="163"/>
        <v/>
      </c>
      <c r="T2341" t="str">
        <f t="shared" si="161"/>
        <v/>
      </c>
    </row>
    <row r="2342" spans="18:20">
      <c r="R2342" s="24" t="str">
        <f t="shared" si="162"/>
        <v/>
      </c>
      <c r="S2342" s="24" t="str">
        <f t="shared" si="163"/>
        <v/>
      </c>
      <c r="T2342" t="str">
        <f t="shared" si="161"/>
        <v/>
      </c>
    </row>
    <row r="2343" spans="18:20">
      <c r="R2343" s="24" t="str">
        <f t="shared" si="162"/>
        <v/>
      </c>
      <c r="S2343" s="24" t="str">
        <f t="shared" si="163"/>
        <v/>
      </c>
      <c r="T2343" t="str">
        <f t="shared" si="161"/>
        <v/>
      </c>
    </row>
    <row r="2344" spans="18:20">
      <c r="R2344" s="24" t="str">
        <f t="shared" si="162"/>
        <v/>
      </c>
      <c r="S2344" s="24" t="str">
        <f t="shared" si="163"/>
        <v/>
      </c>
      <c r="T2344" t="str">
        <f t="shared" si="161"/>
        <v/>
      </c>
    </row>
    <row r="2345" spans="18:20">
      <c r="R2345" s="24" t="str">
        <f t="shared" si="162"/>
        <v/>
      </c>
      <c r="S2345" s="24" t="str">
        <f t="shared" si="163"/>
        <v/>
      </c>
      <c r="T2345" t="str">
        <f t="shared" si="161"/>
        <v/>
      </c>
    </row>
    <row r="2346" spans="18:20">
      <c r="R2346" s="24" t="str">
        <f t="shared" si="162"/>
        <v/>
      </c>
      <c r="S2346" s="24" t="str">
        <f t="shared" si="163"/>
        <v/>
      </c>
      <c r="T2346" t="str">
        <f t="shared" si="161"/>
        <v/>
      </c>
    </row>
    <row r="2347" spans="18:20">
      <c r="R2347" s="24" t="str">
        <f t="shared" si="162"/>
        <v/>
      </c>
      <c r="S2347" s="24" t="str">
        <f t="shared" si="163"/>
        <v/>
      </c>
      <c r="T2347" t="str">
        <f t="shared" si="161"/>
        <v/>
      </c>
    </row>
    <row r="2348" spans="18:20">
      <c r="R2348" s="24" t="str">
        <f t="shared" si="162"/>
        <v/>
      </c>
      <c r="S2348" s="24" t="str">
        <f t="shared" si="163"/>
        <v/>
      </c>
      <c r="T2348" t="str">
        <f t="shared" si="161"/>
        <v/>
      </c>
    </row>
    <row r="2349" spans="18:20">
      <c r="R2349" s="24" t="str">
        <f t="shared" si="162"/>
        <v/>
      </c>
      <c r="S2349" s="24" t="str">
        <f t="shared" si="163"/>
        <v/>
      </c>
      <c r="T2349" t="str">
        <f t="shared" si="161"/>
        <v/>
      </c>
    </row>
    <row r="2350" spans="18:20">
      <c r="R2350" s="24" t="str">
        <f t="shared" si="162"/>
        <v/>
      </c>
      <c r="S2350" s="24" t="str">
        <f t="shared" si="163"/>
        <v/>
      </c>
      <c r="T2350" t="str">
        <f t="shared" si="161"/>
        <v/>
      </c>
    </row>
    <row r="2351" spans="18:20">
      <c r="R2351" s="24" t="str">
        <f t="shared" si="162"/>
        <v/>
      </c>
      <c r="S2351" s="24" t="str">
        <f t="shared" si="163"/>
        <v/>
      </c>
      <c r="T2351" t="str">
        <f t="shared" si="161"/>
        <v/>
      </c>
    </row>
    <row r="2352" spans="18:20">
      <c r="R2352" s="24" t="str">
        <f t="shared" si="162"/>
        <v/>
      </c>
      <c r="S2352" s="24" t="str">
        <f t="shared" si="163"/>
        <v/>
      </c>
      <c r="T2352" t="str">
        <f t="shared" si="161"/>
        <v/>
      </c>
    </row>
    <row r="2353" spans="18:20">
      <c r="R2353" s="24" t="str">
        <f t="shared" si="162"/>
        <v/>
      </c>
      <c r="S2353" s="24" t="str">
        <f t="shared" si="163"/>
        <v/>
      </c>
      <c r="T2353" t="str">
        <f t="shared" si="161"/>
        <v/>
      </c>
    </row>
    <row r="2354" spans="18:20">
      <c r="R2354" s="24" t="str">
        <f t="shared" si="162"/>
        <v/>
      </c>
      <c r="S2354" s="24" t="str">
        <f t="shared" si="163"/>
        <v/>
      </c>
      <c r="T2354" t="str">
        <f t="shared" si="161"/>
        <v/>
      </c>
    </row>
    <row r="2355" spans="18:20">
      <c r="R2355" s="24" t="str">
        <f t="shared" si="162"/>
        <v/>
      </c>
      <c r="S2355" s="24" t="str">
        <f t="shared" si="163"/>
        <v/>
      </c>
      <c r="T2355" t="str">
        <f t="shared" si="161"/>
        <v/>
      </c>
    </row>
    <row r="2356" spans="18:20">
      <c r="R2356" s="24" t="str">
        <f t="shared" si="162"/>
        <v/>
      </c>
      <c r="S2356" s="24" t="str">
        <f t="shared" si="163"/>
        <v/>
      </c>
      <c r="T2356" t="str">
        <f t="shared" si="161"/>
        <v/>
      </c>
    </row>
    <row r="2357" spans="18:20">
      <c r="R2357" s="24" t="str">
        <f t="shared" si="162"/>
        <v/>
      </c>
      <c r="S2357" s="24" t="str">
        <f t="shared" si="163"/>
        <v/>
      </c>
      <c r="T2357" t="str">
        <f t="shared" si="161"/>
        <v/>
      </c>
    </row>
    <row r="2358" spans="18:20">
      <c r="R2358" s="24" t="str">
        <f t="shared" si="162"/>
        <v/>
      </c>
      <c r="S2358" s="24" t="str">
        <f t="shared" si="163"/>
        <v/>
      </c>
      <c r="T2358" t="str">
        <f t="shared" si="161"/>
        <v/>
      </c>
    </row>
    <row r="2359" spans="18:20">
      <c r="R2359" s="24" t="str">
        <f t="shared" si="162"/>
        <v/>
      </c>
      <c r="S2359" s="24" t="str">
        <f t="shared" si="163"/>
        <v/>
      </c>
      <c r="T2359" t="str">
        <f t="shared" si="161"/>
        <v/>
      </c>
    </row>
    <row r="2360" spans="18:20">
      <c r="R2360" s="24" t="str">
        <f t="shared" si="162"/>
        <v/>
      </c>
      <c r="S2360" s="24" t="str">
        <f t="shared" si="163"/>
        <v/>
      </c>
      <c r="T2360" t="str">
        <f t="shared" si="161"/>
        <v/>
      </c>
    </row>
    <row r="2361" spans="18:20">
      <c r="R2361" s="24" t="str">
        <f t="shared" si="162"/>
        <v/>
      </c>
      <c r="S2361" s="24" t="str">
        <f t="shared" si="163"/>
        <v/>
      </c>
      <c r="T2361" t="str">
        <f t="shared" si="161"/>
        <v/>
      </c>
    </row>
    <row r="2362" spans="18:20">
      <c r="R2362" s="24" t="str">
        <f t="shared" si="162"/>
        <v/>
      </c>
      <c r="S2362" s="24" t="str">
        <f t="shared" si="163"/>
        <v/>
      </c>
      <c r="T2362" t="str">
        <f t="shared" si="161"/>
        <v/>
      </c>
    </row>
    <row r="2363" spans="18:20">
      <c r="R2363" s="24" t="str">
        <f t="shared" si="162"/>
        <v/>
      </c>
      <c r="S2363" s="24" t="str">
        <f t="shared" si="163"/>
        <v/>
      </c>
      <c r="T2363" t="str">
        <f t="shared" si="161"/>
        <v/>
      </c>
    </row>
    <row r="2364" spans="18:20">
      <c r="R2364" s="24" t="str">
        <f t="shared" si="162"/>
        <v/>
      </c>
      <c r="S2364" s="24" t="str">
        <f t="shared" si="163"/>
        <v/>
      </c>
      <c r="T2364" t="str">
        <f t="shared" si="161"/>
        <v/>
      </c>
    </row>
    <row r="2365" spans="18:20">
      <c r="R2365" s="24" t="str">
        <f t="shared" si="162"/>
        <v/>
      </c>
      <c r="S2365" s="24" t="str">
        <f t="shared" si="163"/>
        <v/>
      </c>
      <c r="T2365" t="str">
        <f t="shared" si="161"/>
        <v/>
      </c>
    </row>
    <row r="2366" spans="18:20">
      <c r="R2366" s="24" t="str">
        <f t="shared" si="162"/>
        <v/>
      </c>
      <c r="S2366" s="24" t="str">
        <f t="shared" si="163"/>
        <v/>
      </c>
      <c r="T2366" t="str">
        <f t="shared" si="161"/>
        <v/>
      </c>
    </row>
    <row r="2367" spans="18:20">
      <c r="R2367" s="24" t="str">
        <f t="shared" si="162"/>
        <v/>
      </c>
      <c r="S2367" s="24" t="str">
        <f t="shared" si="163"/>
        <v/>
      </c>
      <c r="T2367" t="str">
        <f t="shared" si="161"/>
        <v/>
      </c>
    </row>
    <row r="2368" spans="18:20">
      <c r="R2368" s="24" t="str">
        <f t="shared" si="162"/>
        <v/>
      </c>
      <c r="S2368" s="24" t="str">
        <f t="shared" si="163"/>
        <v/>
      </c>
      <c r="T2368" t="str">
        <f t="shared" si="161"/>
        <v/>
      </c>
    </row>
    <row r="2369" spans="18:20">
      <c r="R2369" s="24" t="str">
        <f t="shared" si="162"/>
        <v/>
      </c>
      <c r="S2369" s="24" t="str">
        <f t="shared" si="163"/>
        <v/>
      </c>
      <c r="T2369" t="str">
        <f t="shared" si="161"/>
        <v/>
      </c>
    </row>
    <row r="2370" spans="18:20">
      <c r="R2370" s="24" t="str">
        <f t="shared" si="162"/>
        <v/>
      </c>
      <c r="S2370" s="24" t="str">
        <f t="shared" si="163"/>
        <v/>
      </c>
      <c r="T2370" t="str">
        <f t="shared" si="161"/>
        <v/>
      </c>
    </row>
    <row r="2371" spans="18:20">
      <c r="R2371" s="24" t="str">
        <f t="shared" si="162"/>
        <v/>
      </c>
      <c r="S2371" s="24" t="str">
        <f t="shared" si="163"/>
        <v/>
      </c>
      <c r="T2371" t="str">
        <f t="shared" si="161"/>
        <v/>
      </c>
    </row>
    <row r="2372" spans="18:20">
      <c r="R2372" s="24" t="str">
        <f t="shared" si="162"/>
        <v/>
      </c>
      <c r="S2372" s="24" t="str">
        <f t="shared" si="163"/>
        <v/>
      </c>
      <c r="T2372" t="str">
        <f t="shared" si="161"/>
        <v/>
      </c>
    </row>
    <row r="2373" spans="18:20">
      <c r="R2373" s="24" t="str">
        <f t="shared" si="162"/>
        <v/>
      </c>
      <c r="S2373" s="24" t="str">
        <f t="shared" si="163"/>
        <v/>
      </c>
      <c r="T2373" t="str">
        <f t="shared" si="161"/>
        <v/>
      </c>
    </row>
    <row r="2374" spans="18:20">
      <c r="R2374" s="24" t="str">
        <f t="shared" si="162"/>
        <v/>
      </c>
      <c r="S2374" s="24" t="str">
        <f t="shared" si="163"/>
        <v/>
      </c>
      <c r="T2374" t="str">
        <f t="shared" si="161"/>
        <v/>
      </c>
    </row>
    <row r="2375" spans="18:20">
      <c r="R2375" s="24" t="str">
        <f t="shared" si="162"/>
        <v/>
      </c>
      <c r="S2375" s="24" t="str">
        <f t="shared" si="163"/>
        <v/>
      </c>
      <c r="T2375" t="str">
        <f t="shared" si="161"/>
        <v/>
      </c>
    </row>
    <row r="2376" spans="18:20">
      <c r="R2376" s="24" t="str">
        <f t="shared" si="162"/>
        <v/>
      </c>
      <c r="S2376" s="24" t="str">
        <f t="shared" si="163"/>
        <v/>
      </c>
      <c r="T2376" t="str">
        <f t="shared" si="161"/>
        <v/>
      </c>
    </row>
    <row r="2377" spans="18:20">
      <c r="R2377" s="24" t="str">
        <f t="shared" si="162"/>
        <v/>
      </c>
      <c r="S2377" s="24" t="str">
        <f t="shared" si="163"/>
        <v/>
      </c>
      <c r="T2377" t="str">
        <f t="shared" si="161"/>
        <v/>
      </c>
    </row>
    <row r="2378" spans="18:20">
      <c r="R2378" s="24" t="str">
        <f t="shared" si="162"/>
        <v/>
      </c>
      <c r="S2378" s="24" t="str">
        <f t="shared" si="163"/>
        <v/>
      </c>
      <c r="T2378" t="str">
        <f t="shared" si="161"/>
        <v/>
      </c>
    </row>
    <row r="2379" spans="18:20">
      <c r="R2379" s="24" t="str">
        <f t="shared" si="162"/>
        <v/>
      </c>
      <c r="S2379" s="24" t="str">
        <f t="shared" si="163"/>
        <v/>
      </c>
      <c r="T2379" t="str">
        <f t="shared" si="161"/>
        <v/>
      </c>
    </row>
    <row r="2380" spans="18:20">
      <c r="R2380" s="24" t="str">
        <f t="shared" si="162"/>
        <v/>
      </c>
      <c r="S2380" s="24" t="str">
        <f t="shared" si="163"/>
        <v/>
      </c>
      <c r="T2380" t="str">
        <f t="shared" si="161"/>
        <v/>
      </c>
    </row>
    <row r="2381" spans="18:20">
      <c r="R2381" s="24" t="str">
        <f t="shared" si="162"/>
        <v/>
      </c>
      <c r="S2381" s="24" t="str">
        <f t="shared" si="163"/>
        <v/>
      </c>
      <c r="T2381" t="str">
        <f t="shared" si="161"/>
        <v/>
      </c>
    </row>
    <row r="2382" spans="18:20">
      <c r="R2382" s="24" t="str">
        <f t="shared" si="162"/>
        <v/>
      </c>
      <c r="S2382" s="24" t="str">
        <f t="shared" si="163"/>
        <v/>
      </c>
      <c r="T2382" t="str">
        <f t="shared" si="161"/>
        <v/>
      </c>
    </row>
    <row r="2383" spans="18:20">
      <c r="R2383" s="24" t="str">
        <f t="shared" si="162"/>
        <v/>
      </c>
      <c r="S2383" s="24" t="str">
        <f t="shared" si="163"/>
        <v/>
      </c>
      <c r="T2383" t="str">
        <f t="shared" ref="T2383:T2446" si="164">IF(OR(C2383="",I2383&lt;&gt;"ENTRADA"),"",TEXT(B2383,"AAMMDD")&amp;"-"&amp;TEXT(VALUE(SUBSTITUTE(A2383,"MOV-","")),"000"))</f>
        <v/>
      </c>
    </row>
    <row r="2384" spans="18:20">
      <c r="R2384" s="24" t="str">
        <f t="shared" ref="R2384:R2447" si="165">IF(H2384="","",H2384&amp;I2384)</f>
        <v/>
      </c>
      <c r="S2384" s="24" t="str">
        <f t="shared" ref="S2384:S2447" si="166">IF(C2384="","",C2384&amp;I2384)</f>
        <v/>
      </c>
      <c r="T2384" t="str">
        <f t="shared" si="164"/>
        <v/>
      </c>
    </row>
    <row r="2385" spans="18:20">
      <c r="R2385" s="24" t="str">
        <f t="shared" si="165"/>
        <v/>
      </c>
      <c r="S2385" s="24" t="str">
        <f t="shared" si="166"/>
        <v/>
      </c>
      <c r="T2385" t="str">
        <f t="shared" si="164"/>
        <v/>
      </c>
    </row>
    <row r="2386" spans="18:20">
      <c r="R2386" s="24" t="str">
        <f t="shared" si="165"/>
        <v/>
      </c>
      <c r="S2386" s="24" t="str">
        <f t="shared" si="166"/>
        <v/>
      </c>
      <c r="T2386" t="str">
        <f t="shared" si="164"/>
        <v/>
      </c>
    </row>
    <row r="2387" spans="18:20">
      <c r="R2387" s="24" t="str">
        <f t="shared" si="165"/>
        <v/>
      </c>
      <c r="S2387" s="24" t="str">
        <f t="shared" si="166"/>
        <v/>
      </c>
      <c r="T2387" t="str">
        <f t="shared" si="164"/>
        <v/>
      </c>
    </row>
    <row r="2388" spans="18:20">
      <c r="R2388" s="24" t="str">
        <f t="shared" si="165"/>
        <v/>
      </c>
      <c r="S2388" s="24" t="str">
        <f t="shared" si="166"/>
        <v/>
      </c>
      <c r="T2388" t="str">
        <f t="shared" si="164"/>
        <v/>
      </c>
    </row>
    <row r="2389" spans="18:20">
      <c r="R2389" s="24" t="str">
        <f t="shared" si="165"/>
        <v/>
      </c>
      <c r="S2389" s="24" t="str">
        <f t="shared" si="166"/>
        <v/>
      </c>
      <c r="T2389" t="str">
        <f t="shared" si="164"/>
        <v/>
      </c>
    </row>
    <row r="2390" spans="18:20">
      <c r="R2390" s="24" t="str">
        <f t="shared" si="165"/>
        <v/>
      </c>
      <c r="S2390" s="24" t="str">
        <f t="shared" si="166"/>
        <v/>
      </c>
      <c r="T2390" t="str">
        <f t="shared" si="164"/>
        <v/>
      </c>
    </row>
    <row r="2391" spans="18:20">
      <c r="R2391" s="24" t="str">
        <f t="shared" si="165"/>
        <v/>
      </c>
      <c r="S2391" s="24" t="str">
        <f t="shared" si="166"/>
        <v/>
      </c>
      <c r="T2391" t="str">
        <f t="shared" si="164"/>
        <v/>
      </c>
    </row>
    <row r="2392" spans="18:20">
      <c r="R2392" s="24" t="str">
        <f t="shared" si="165"/>
        <v/>
      </c>
      <c r="S2392" s="24" t="str">
        <f t="shared" si="166"/>
        <v/>
      </c>
      <c r="T2392" t="str">
        <f t="shared" si="164"/>
        <v/>
      </c>
    </row>
    <row r="2393" spans="18:20">
      <c r="R2393" s="24" t="str">
        <f t="shared" si="165"/>
        <v/>
      </c>
      <c r="S2393" s="24" t="str">
        <f t="shared" si="166"/>
        <v/>
      </c>
      <c r="T2393" t="str">
        <f t="shared" si="164"/>
        <v/>
      </c>
    </row>
    <row r="2394" spans="18:20">
      <c r="R2394" s="24" t="str">
        <f t="shared" si="165"/>
        <v/>
      </c>
      <c r="S2394" s="24" t="str">
        <f t="shared" si="166"/>
        <v/>
      </c>
      <c r="T2394" t="str">
        <f t="shared" si="164"/>
        <v/>
      </c>
    </row>
    <row r="2395" spans="18:20">
      <c r="R2395" s="24" t="str">
        <f t="shared" si="165"/>
        <v/>
      </c>
      <c r="S2395" s="24" t="str">
        <f t="shared" si="166"/>
        <v/>
      </c>
      <c r="T2395" t="str">
        <f t="shared" si="164"/>
        <v/>
      </c>
    </row>
    <row r="2396" spans="18:20">
      <c r="R2396" s="24" t="str">
        <f t="shared" si="165"/>
        <v/>
      </c>
      <c r="S2396" s="24" t="str">
        <f t="shared" si="166"/>
        <v/>
      </c>
      <c r="T2396" t="str">
        <f t="shared" si="164"/>
        <v/>
      </c>
    </row>
    <row r="2397" spans="18:20">
      <c r="R2397" s="24" t="str">
        <f t="shared" si="165"/>
        <v/>
      </c>
      <c r="S2397" s="24" t="str">
        <f t="shared" si="166"/>
        <v/>
      </c>
      <c r="T2397" t="str">
        <f t="shared" si="164"/>
        <v/>
      </c>
    </row>
    <row r="2398" spans="18:20">
      <c r="R2398" s="24" t="str">
        <f t="shared" si="165"/>
        <v/>
      </c>
      <c r="S2398" s="24" t="str">
        <f t="shared" si="166"/>
        <v/>
      </c>
      <c r="T2398" t="str">
        <f t="shared" si="164"/>
        <v/>
      </c>
    </row>
    <row r="2399" spans="18:20">
      <c r="R2399" s="24" t="str">
        <f t="shared" si="165"/>
        <v/>
      </c>
      <c r="S2399" s="24" t="str">
        <f t="shared" si="166"/>
        <v/>
      </c>
      <c r="T2399" t="str">
        <f t="shared" si="164"/>
        <v/>
      </c>
    </row>
    <row r="2400" spans="18:20">
      <c r="R2400" s="24" t="str">
        <f t="shared" si="165"/>
        <v/>
      </c>
      <c r="S2400" s="24" t="str">
        <f t="shared" si="166"/>
        <v/>
      </c>
      <c r="T2400" t="str">
        <f t="shared" si="164"/>
        <v/>
      </c>
    </row>
    <row r="2401" spans="18:20">
      <c r="R2401" s="24" t="str">
        <f t="shared" si="165"/>
        <v/>
      </c>
      <c r="S2401" s="24" t="str">
        <f t="shared" si="166"/>
        <v/>
      </c>
      <c r="T2401" t="str">
        <f t="shared" si="164"/>
        <v/>
      </c>
    </row>
    <row r="2402" spans="18:20">
      <c r="R2402" s="24" t="str">
        <f t="shared" si="165"/>
        <v/>
      </c>
      <c r="S2402" s="24" t="str">
        <f t="shared" si="166"/>
        <v/>
      </c>
      <c r="T2402" t="str">
        <f t="shared" si="164"/>
        <v/>
      </c>
    </row>
    <row r="2403" spans="18:20">
      <c r="R2403" s="24" t="str">
        <f t="shared" si="165"/>
        <v/>
      </c>
      <c r="S2403" s="24" t="str">
        <f t="shared" si="166"/>
        <v/>
      </c>
      <c r="T2403" t="str">
        <f t="shared" si="164"/>
        <v/>
      </c>
    </row>
    <row r="2404" spans="18:20">
      <c r="R2404" s="24" t="str">
        <f t="shared" si="165"/>
        <v/>
      </c>
      <c r="S2404" s="24" t="str">
        <f t="shared" si="166"/>
        <v/>
      </c>
      <c r="T2404" t="str">
        <f t="shared" si="164"/>
        <v/>
      </c>
    </row>
    <row r="2405" spans="18:20">
      <c r="R2405" s="24" t="str">
        <f t="shared" si="165"/>
        <v/>
      </c>
      <c r="S2405" s="24" t="str">
        <f t="shared" si="166"/>
        <v/>
      </c>
      <c r="T2405" t="str">
        <f t="shared" si="164"/>
        <v/>
      </c>
    </row>
    <row r="2406" spans="18:20">
      <c r="R2406" s="24" t="str">
        <f t="shared" si="165"/>
        <v/>
      </c>
      <c r="S2406" s="24" t="str">
        <f t="shared" si="166"/>
        <v/>
      </c>
      <c r="T2406" t="str">
        <f t="shared" si="164"/>
        <v/>
      </c>
    </row>
    <row r="2407" spans="18:20">
      <c r="R2407" s="24" t="str">
        <f t="shared" si="165"/>
        <v/>
      </c>
      <c r="S2407" s="24" t="str">
        <f t="shared" si="166"/>
        <v/>
      </c>
      <c r="T2407" t="str">
        <f t="shared" si="164"/>
        <v/>
      </c>
    </row>
    <row r="2408" spans="18:20">
      <c r="R2408" s="24" t="str">
        <f t="shared" si="165"/>
        <v/>
      </c>
      <c r="S2408" s="24" t="str">
        <f t="shared" si="166"/>
        <v/>
      </c>
      <c r="T2408" t="str">
        <f t="shared" si="164"/>
        <v/>
      </c>
    </row>
    <row r="2409" spans="18:20">
      <c r="R2409" s="24" t="str">
        <f t="shared" si="165"/>
        <v/>
      </c>
      <c r="S2409" s="24" t="str">
        <f t="shared" si="166"/>
        <v/>
      </c>
      <c r="T2409" t="str">
        <f t="shared" si="164"/>
        <v/>
      </c>
    </row>
    <row r="2410" spans="18:20">
      <c r="R2410" s="24" t="str">
        <f t="shared" si="165"/>
        <v/>
      </c>
      <c r="S2410" s="24" t="str">
        <f t="shared" si="166"/>
        <v/>
      </c>
      <c r="T2410" t="str">
        <f t="shared" si="164"/>
        <v/>
      </c>
    </row>
    <row r="2411" spans="18:20">
      <c r="R2411" s="24" t="str">
        <f t="shared" si="165"/>
        <v/>
      </c>
      <c r="S2411" s="24" t="str">
        <f t="shared" si="166"/>
        <v/>
      </c>
      <c r="T2411" t="str">
        <f t="shared" si="164"/>
        <v/>
      </c>
    </row>
    <row r="2412" spans="18:20">
      <c r="R2412" s="24" t="str">
        <f t="shared" si="165"/>
        <v/>
      </c>
      <c r="S2412" s="24" t="str">
        <f t="shared" si="166"/>
        <v/>
      </c>
      <c r="T2412" t="str">
        <f t="shared" si="164"/>
        <v/>
      </c>
    </row>
    <row r="2413" spans="18:20">
      <c r="R2413" s="24" t="str">
        <f t="shared" si="165"/>
        <v/>
      </c>
      <c r="S2413" s="24" t="str">
        <f t="shared" si="166"/>
        <v/>
      </c>
      <c r="T2413" t="str">
        <f t="shared" si="164"/>
        <v/>
      </c>
    </row>
    <row r="2414" spans="18:20">
      <c r="R2414" s="24" t="str">
        <f t="shared" si="165"/>
        <v/>
      </c>
      <c r="S2414" s="24" t="str">
        <f t="shared" si="166"/>
        <v/>
      </c>
      <c r="T2414" t="str">
        <f t="shared" si="164"/>
        <v/>
      </c>
    </row>
    <row r="2415" spans="18:20">
      <c r="R2415" s="24" t="str">
        <f t="shared" si="165"/>
        <v/>
      </c>
      <c r="S2415" s="24" t="str">
        <f t="shared" si="166"/>
        <v/>
      </c>
      <c r="T2415" t="str">
        <f t="shared" si="164"/>
        <v/>
      </c>
    </row>
    <row r="2416" spans="18:20">
      <c r="R2416" s="24" t="str">
        <f t="shared" si="165"/>
        <v/>
      </c>
      <c r="S2416" s="24" t="str">
        <f t="shared" si="166"/>
        <v/>
      </c>
      <c r="T2416" t="str">
        <f t="shared" si="164"/>
        <v/>
      </c>
    </row>
    <row r="2417" spans="18:20">
      <c r="R2417" s="24" t="str">
        <f t="shared" si="165"/>
        <v/>
      </c>
      <c r="S2417" s="24" t="str">
        <f t="shared" si="166"/>
        <v/>
      </c>
      <c r="T2417" t="str">
        <f t="shared" si="164"/>
        <v/>
      </c>
    </row>
    <row r="2418" spans="18:20">
      <c r="R2418" s="24" t="str">
        <f t="shared" si="165"/>
        <v/>
      </c>
      <c r="S2418" s="24" t="str">
        <f t="shared" si="166"/>
        <v/>
      </c>
      <c r="T2418" t="str">
        <f t="shared" si="164"/>
        <v/>
      </c>
    </row>
    <row r="2419" spans="18:20">
      <c r="R2419" s="24" t="str">
        <f t="shared" si="165"/>
        <v/>
      </c>
      <c r="S2419" s="24" t="str">
        <f t="shared" si="166"/>
        <v/>
      </c>
      <c r="T2419" t="str">
        <f t="shared" si="164"/>
        <v/>
      </c>
    </row>
    <row r="2420" spans="18:20">
      <c r="R2420" s="24" t="str">
        <f t="shared" si="165"/>
        <v/>
      </c>
      <c r="S2420" s="24" t="str">
        <f t="shared" si="166"/>
        <v/>
      </c>
      <c r="T2420" t="str">
        <f t="shared" si="164"/>
        <v/>
      </c>
    </row>
    <row r="2421" spans="18:20">
      <c r="R2421" s="24" t="str">
        <f t="shared" si="165"/>
        <v/>
      </c>
      <c r="S2421" s="24" t="str">
        <f t="shared" si="166"/>
        <v/>
      </c>
      <c r="T2421" t="str">
        <f t="shared" si="164"/>
        <v/>
      </c>
    </row>
    <row r="2422" spans="18:20">
      <c r="R2422" s="24" t="str">
        <f t="shared" si="165"/>
        <v/>
      </c>
      <c r="S2422" s="24" t="str">
        <f t="shared" si="166"/>
        <v/>
      </c>
      <c r="T2422" t="str">
        <f t="shared" si="164"/>
        <v/>
      </c>
    </row>
    <row r="2423" spans="18:20">
      <c r="R2423" s="24" t="str">
        <f t="shared" si="165"/>
        <v/>
      </c>
      <c r="S2423" s="24" t="str">
        <f t="shared" si="166"/>
        <v/>
      </c>
      <c r="T2423" t="str">
        <f t="shared" si="164"/>
        <v/>
      </c>
    </row>
    <row r="2424" spans="18:20">
      <c r="R2424" s="24" t="str">
        <f t="shared" si="165"/>
        <v/>
      </c>
      <c r="S2424" s="24" t="str">
        <f t="shared" si="166"/>
        <v/>
      </c>
      <c r="T2424" t="str">
        <f t="shared" si="164"/>
        <v/>
      </c>
    </row>
    <row r="2425" spans="18:20">
      <c r="R2425" s="24" t="str">
        <f t="shared" si="165"/>
        <v/>
      </c>
      <c r="S2425" s="24" t="str">
        <f t="shared" si="166"/>
        <v/>
      </c>
      <c r="T2425" t="str">
        <f t="shared" si="164"/>
        <v/>
      </c>
    </row>
    <row r="2426" spans="18:20">
      <c r="R2426" s="24" t="str">
        <f t="shared" si="165"/>
        <v/>
      </c>
      <c r="S2426" s="24" t="str">
        <f t="shared" si="166"/>
        <v/>
      </c>
      <c r="T2426" t="str">
        <f t="shared" si="164"/>
        <v/>
      </c>
    </row>
    <row r="2427" spans="18:20">
      <c r="R2427" s="24" t="str">
        <f t="shared" si="165"/>
        <v/>
      </c>
      <c r="S2427" s="24" t="str">
        <f t="shared" si="166"/>
        <v/>
      </c>
      <c r="T2427" t="str">
        <f t="shared" si="164"/>
        <v/>
      </c>
    </row>
    <row r="2428" spans="18:20">
      <c r="R2428" s="24" t="str">
        <f t="shared" si="165"/>
        <v/>
      </c>
      <c r="S2428" s="24" t="str">
        <f t="shared" si="166"/>
        <v/>
      </c>
      <c r="T2428" t="str">
        <f t="shared" si="164"/>
        <v/>
      </c>
    </row>
    <row r="2429" spans="18:20">
      <c r="R2429" s="24" t="str">
        <f t="shared" si="165"/>
        <v/>
      </c>
      <c r="S2429" s="24" t="str">
        <f t="shared" si="166"/>
        <v/>
      </c>
      <c r="T2429" t="str">
        <f t="shared" si="164"/>
        <v/>
      </c>
    </row>
    <row r="2430" spans="18:20">
      <c r="R2430" s="24" t="str">
        <f t="shared" si="165"/>
        <v/>
      </c>
      <c r="S2430" s="24" t="str">
        <f t="shared" si="166"/>
        <v/>
      </c>
      <c r="T2430" t="str">
        <f t="shared" si="164"/>
        <v/>
      </c>
    </row>
    <row r="2431" spans="18:20">
      <c r="R2431" s="24" t="str">
        <f t="shared" si="165"/>
        <v/>
      </c>
      <c r="S2431" s="24" t="str">
        <f t="shared" si="166"/>
        <v/>
      </c>
      <c r="T2431" t="str">
        <f t="shared" si="164"/>
        <v/>
      </c>
    </row>
    <row r="2432" spans="18:20">
      <c r="R2432" s="24" t="str">
        <f t="shared" si="165"/>
        <v/>
      </c>
      <c r="S2432" s="24" t="str">
        <f t="shared" si="166"/>
        <v/>
      </c>
      <c r="T2432" t="str">
        <f t="shared" si="164"/>
        <v/>
      </c>
    </row>
    <row r="2433" spans="18:20">
      <c r="R2433" s="24" t="str">
        <f t="shared" si="165"/>
        <v/>
      </c>
      <c r="S2433" s="24" t="str">
        <f t="shared" si="166"/>
        <v/>
      </c>
      <c r="T2433" t="str">
        <f t="shared" si="164"/>
        <v/>
      </c>
    </row>
    <row r="2434" spans="18:20">
      <c r="R2434" s="24" t="str">
        <f t="shared" si="165"/>
        <v/>
      </c>
      <c r="S2434" s="24" t="str">
        <f t="shared" si="166"/>
        <v/>
      </c>
      <c r="T2434" t="str">
        <f t="shared" si="164"/>
        <v/>
      </c>
    </row>
    <row r="2435" spans="18:20">
      <c r="R2435" s="24" t="str">
        <f t="shared" si="165"/>
        <v/>
      </c>
      <c r="S2435" s="24" t="str">
        <f t="shared" si="166"/>
        <v/>
      </c>
      <c r="T2435" t="str">
        <f t="shared" si="164"/>
        <v/>
      </c>
    </row>
    <row r="2436" spans="18:20">
      <c r="R2436" s="24" t="str">
        <f t="shared" si="165"/>
        <v/>
      </c>
      <c r="S2436" s="24" t="str">
        <f t="shared" si="166"/>
        <v/>
      </c>
      <c r="T2436" t="str">
        <f t="shared" si="164"/>
        <v/>
      </c>
    </row>
    <row r="2437" spans="18:20">
      <c r="R2437" s="24" t="str">
        <f t="shared" si="165"/>
        <v/>
      </c>
      <c r="S2437" s="24" t="str">
        <f t="shared" si="166"/>
        <v/>
      </c>
      <c r="T2437" t="str">
        <f t="shared" si="164"/>
        <v/>
      </c>
    </row>
    <row r="2438" spans="18:20">
      <c r="R2438" s="24" t="str">
        <f t="shared" si="165"/>
        <v/>
      </c>
      <c r="S2438" s="24" t="str">
        <f t="shared" si="166"/>
        <v/>
      </c>
      <c r="T2438" t="str">
        <f t="shared" si="164"/>
        <v/>
      </c>
    </row>
    <row r="2439" spans="18:20">
      <c r="R2439" s="24" t="str">
        <f t="shared" si="165"/>
        <v/>
      </c>
      <c r="S2439" s="24" t="str">
        <f t="shared" si="166"/>
        <v/>
      </c>
      <c r="T2439" t="str">
        <f t="shared" si="164"/>
        <v/>
      </c>
    </row>
    <row r="2440" spans="18:20">
      <c r="R2440" s="24" t="str">
        <f t="shared" si="165"/>
        <v/>
      </c>
      <c r="S2440" s="24" t="str">
        <f t="shared" si="166"/>
        <v/>
      </c>
      <c r="T2440" t="str">
        <f t="shared" si="164"/>
        <v/>
      </c>
    </row>
    <row r="2441" spans="18:20">
      <c r="R2441" s="24" t="str">
        <f t="shared" si="165"/>
        <v/>
      </c>
      <c r="S2441" s="24" t="str">
        <f t="shared" si="166"/>
        <v/>
      </c>
      <c r="T2441" t="str">
        <f t="shared" si="164"/>
        <v/>
      </c>
    </row>
    <row r="2442" spans="18:20">
      <c r="R2442" s="24" t="str">
        <f t="shared" si="165"/>
        <v/>
      </c>
      <c r="S2442" s="24" t="str">
        <f t="shared" si="166"/>
        <v/>
      </c>
      <c r="T2442" t="str">
        <f t="shared" si="164"/>
        <v/>
      </c>
    </row>
    <row r="2443" spans="18:20">
      <c r="R2443" s="24" t="str">
        <f t="shared" si="165"/>
        <v/>
      </c>
      <c r="S2443" s="24" t="str">
        <f t="shared" si="166"/>
        <v/>
      </c>
      <c r="T2443" t="str">
        <f t="shared" si="164"/>
        <v/>
      </c>
    </row>
    <row r="2444" spans="18:20">
      <c r="R2444" s="24" t="str">
        <f t="shared" si="165"/>
        <v/>
      </c>
      <c r="S2444" s="24" t="str">
        <f t="shared" si="166"/>
        <v/>
      </c>
      <c r="T2444" t="str">
        <f t="shared" si="164"/>
        <v/>
      </c>
    </row>
    <row r="2445" spans="18:20">
      <c r="R2445" s="24" t="str">
        <f t="shared" si="165"/>
        <v/>
      </c>
      <c r="S2445" s="24" t="str">
        <f t="shared" si="166"/>
        <v/>
      </c>
      <c r="T2445" t="str">
        <f t="shared" si="164"/>
        <v/>
      </c>
    </row>
    <row r="2446" spans="18:20">
      <c r="R2446" s="24" t="str">
        <f t="shared" si="165"/>
        <v/>
      </c>
      <c r="S2446" s="24" t="str">
        <f t="shared" si="166"/>
        <v/>
      </c>
      <c r="T2446" t="str">
        <f t="shared" si="164"/>
        <v/>
      </c>
    </row>
    <row r="2447" spans="18:20">
      <c r="R2447" s="24" t="str">
        <f t="shared" si="165"/>
        <v/>
      </c>
      <c r="S2447" s="24" t="str">
        <f t="shared" si="166"/>
        <v/>
      </c>
      <c r="T2447" t="str">
        <f t="shared" ref="T2447:T2510" si="167">IF(OR(C2447="",I2447&lt;&gt;"ENTRADA"),"",TEXT(B2447,"AAMMDD")&amp;"-"&amp;TEXT(VALUE(SUBSTITUTE(A2447,"MOV-","")),"000"))</f>
        <v/>
      </c>
    </row>
    <row r="2448" spans="18:20">
      <c r="R2448" s="24" t="str">
        <f t="shared" ref="R2448:R2511" si="168">IF(H2448="","",H2448&amp;I2448)</f>
        <v/>
      </c>
      <c r="S2448" s="24" t="str">
        <f t="shared" ref="S2448:S2511" si="169">IF(C2448="","",C2448&amp;I2448)</f>
        <v/>
      </c>
      <c r="T2448" t="str">
        <f t="shared" si="167"/>
        <v/>
      </c>
    </row>
    <row r="2449" spans="18:20">
      <c r="R2449" s="24" t="str">
        <f t="shared" si="168"/>
        <v/>
      </c>
      <c r="S2449" s="24" t="str">
        <f t="shared" si="169"/>
        <v/>
      </c>
      <c r="T2449" t="str">
        <f t="shared" si="167"/>
        <v/>
      </c>
    </row>
    <row r="2450" spans="18:20">
      <c r="R2450" s="24" t="str">
        <f t="shared" si="168"/>
        <v/>
      </c>
      <c r="S2450" s="24" t="str">
        <f t="shared" si="169"/>
        <v/>
      </c>
      <c r="T2450" t="str">
        <f t="shared" si="167"/>
        <v/>
      </c>
    </row>
    <row r="2451" spans="18:20">
      <c r="R2451" s="24" t="str">
        <f t="shared" si="168"/>
        <v/>
      </c>
      <c r="S2451" s="24" t="str">
        <f t="shared" si="169"/>
        <v/>
      </c>
      <c r="T2451" t="str">
        <f t="shared" si="167"/>
        <v/>
      </c>
    </row>
    <row r="2452" spans="18:20">
      <c r="R2452" s="24" t="str">
        <f t="shared" si="168"/>
        <v/>
      </c>
      <c r="S2452" s="24" t="str">
        <f t="shared" si="169"/>
        <v/>
      </c>
      <c r="T2452" t="str">
        <f t="shared" si="167"/>
        <v/>
      </c>
    </row>
    <row r="2453" spans="18:20">
      <c r="R2453" s="24" t="str">
        <f t="shared" si="168"/>
        <v/>
      </c>
      <c r="S2453" s="24" t="str">
        <f t="shared" si="169"/>
        <v/>
      </c>
      <c r="T2453" t="str">
        <f t="shared" si="167"/>
        <v/>
      </c>
    </row>
    <row r="2454" spans="18:20">
      <c r="R2454" s="24" t="str">
        <f t="shared" si="168"/>
        <v/>
      </c>
      <c r="S2454" s="24" t="str">
        <f t="shared" si="169"/>
        <v/>
      </c>
      <c r="T2454" t="str">
        <f t="shared" si="167"/>
        <v/>
      </c>
    </row>
    <row r="2455" spans="18:20">
      <c r="R2455" s="24" t="str">
        <f t="shared" si="168"/>
        <v/>
      </c>
      <c r="S2455" s="24" t="str">
        <f t="shared" si="169"/>
        <v/>
      </c>
      <c r="T2455" t="str">
        <f t="shared" si="167"/>
        <v/>
      </c>
    </row>
    <row r="2456" spans="18:20">
      <c r="R2456" s="24" t="str">
        <f t="shared" si="168"/>
        <v/>
      </c>
      <c r="S2456" s="24" t="str">
        <f t="shared" si="169"/>
        <v/>
      </c>
      <c r="T2456" t="str">
        <f t="shared" si="167"/>
        <v/>
      </c>
    </row>
    <row r="2457" spans="18:20">
      <c r="R2457" s="24" t="str">
        <f t="shared" si="168"/>
        <v/>
      </c>
      <c r="S2457" s="24" t="str">
        <f t="shared" si="169"/>
        <v/>
      </c>
      <c r="T2457" t="str">
        <f t="shared" si="167"/>
        <v/>
      </c>
    </row>
    <row r="2458" spans="18:20">
      <c r="R2458" s="24" t="str">
        <f t="shared" si="168"/>
        <v/>
      </c>
      <c r="S2458" s="24" t="str">
        <f t="shared" si="169"/>
        <v/>
      </c>
      <c r="T2458" t="str">
        <f t="shared" si="167"/>
        <v/>
      </c>
    </row>
    <row r="2459" spans="18:20">
      <c r="R2459" s="24" t="str">
        <f t="shared" si="168"/>
        <v/>
      </c>
      <c r="S2459" s="24" t="str">
        <f t="shared" si="169"/>
        <v/>
      </c>
      <c r="T2459" t="str">
        <f t="shared" si="167"/>
        <v/>
      </c>
    </row>
    <row r="2460" spans="18:20">
      <c r="R2460" s="24" t="str">
        <f t="shared" si="168"/>
        <v/>
      </c>
      <c r="S2460" s="24" t="str">
        <f t="shared" si="169"/>
        <v/>
      </c>
      <c r="T2460" t="str">
        <f t="shared" si="167"/>
        <v/>
      </c>
    </row>
    <row r="2461" spans="18:20">
      <c r="R2461" s="24" t="str">
        <f t="shared" si="168"/>
        <v/>
      </c>
      <c r="S2461" s="24" t="str">
        <f t="shared" si="169"/>
        <v/>
      </c>
      <c r="T2461" t="str">
        <f t="shared" si="167"/>
        <v/>
      </c>
    </row>
    <row r="2462" spans="18:20">
      <c r="R2462" s="24" t="str">
        <f t="shared" si="168"/>
        <v/>
      </c>
      <c r="S2462" s="24" t="str">
        <f t="shared" si="169"/>
        <v/>
      </c>
      <c r="T2462" t="str">
        <f t="shared" si="167"/>
        <v/>
      </c>
    </row>
    <row r="2463" spans="18:20">
      <c r="R2463" s="24" t="str">
        <f t="shared" si="168"/>
        <v/>
      </c>
      <c r="S2463" s="24" t="str">
        <f t="shared" si="169"/>
        <v/>
      </c>
      <c r="T2463" t="str">
        <f t="shared" si="167"/>
        <v/>
      </c>
    </row>
    <row r="2464" spans="18:20">
      <c r="R2464" s="24" t="str">
        <f t="shared" si="168"/>
        <v/>
      </c>
      <c r="S2464" s="24" t="str">
        <f t="shared" si="169"/>
        <v/>
      </c>
      <c r="T2464" t="str">
        <f t="shared" si="167"/>
        <v/>
      </c>
    </row>
    <row r="2465" spans="18:20">
      <c r="R2465" s="24" t="str">
        <f t="shared" si="168"/>
        <v/>
      </c>
      <c r="S2465" s="24" t="str">
        <f t="shared" si="169"/>
        <v/>
      </c>
      <c r="T2465" t="str">
        <f t="shared" si="167"/>
        <v/>
      </c>
    </row>
    <row r="2466" spans="18:20">
      <c r="R2466" s="24" t="str">
        <f t="shared" si="168"/>
        <v/>
      </c>
      <c r="S2466" s="24" t="str">
        <f t="shared" si="169"/>
        <v/>
      </c>
      <c r="T2466" t="str">
        <f t="shared" si="167"/>
        <v/>
      </c>
    </row>
    <row r="2467" spans="18:20">
      <c r="R2467" s="24" t="str">
        <f t="shared" si="168"/>
        <v/>
      </c>
      <c r="S2467" s="24" t="str">
        <f t="shared" si="169"/>
        <v/>
      </c>
      <c r="T2467" t="str">
        <f t="shared" si="167"/>
        <v/>
      </c>
    </row>
    <row r="2468" spans="18:20">
      <c r="R2468" s="24" t="str">
        <f t="shared" si="168"/>
        <v/>
      </c>
      <c r="S2468" s="24" t="str">
        <f t="shared" si="169"/>
        <v/>
      </c>
      <c r="T2468" t="str">
        <f t="shared" si="167"/>
        <v/>
      </c>
    </row>
    <row r="2469" spans="18:20">
      <c r="R2469" s="24" t="str">
        <f t="shared" si="168"/>
        <v/>
      </c>
      <c r="S2469" s="24" t="str">
        <f t="shared" si="169"/>
        <v/>
      </c>
      <c r="T2469" t="str">
        <f t="shared" si="167"/>
        <v/>
      </c>
    </row>
    <row r="2470" spans="18:20">
      <c r="R2470" s="24" t="str">
        <f t="shared" si="168"/>
        <v/>
      </c>
      <c r="S2470" s="24" t="str">
        <f t="shared" si="169"/>
        <v/>
      </c>
      <c r="T2470" t="str">
        <f t="shared" si="167"/>
        <v/>
      </c>
    </row>
    <row r="2471" spans="18:20">
      <c r="R2471" s="24" t="str">
        <f t="shared" si="168"/>
        <v/>
      </c>
      <c r="S2471" s="24" t="str">
        <f t="shared" si="169"/>
        <v/>
      </c>
      <c r="T2471" t="str">
        <f t="shared" si="167"/>
        <v/>
      </c>
    </row>
    <row r="2472" spans="18:20">
      <c r="R2472" s="24" t="str">
        <f t="shared" si="168"/>
        <v/>
      </c>
      <c r="S2472" s="24" t="str">
        <f t="shared" si="169"/>
        <v/>
      </c>
      <c r="T2472" t="str">
        <f t="shared" si="167"/>
        <v/>
      </c>
    </row>
    <row r="2473" spans="18:20">
      <c r="R2473" s="24" t="str">
        <f t="shared" si="168"/>
        <v/>
      </c>
      <c r="S2473" s="24" t="str">
        <f t="shared" si="169"/>
        <v/>
      </c>
      <c r="T2473" t="str">
        <f t="shared" si="167"/>
        <v/>
      </c>
    </row>
    <row r="2474" spans="18:20">
      <c r="R2474" s="24" t="str">
        <f t="shared" si="168"/>
        <v/>
      </c>
      <c r="S2474" s="24" t="str">
        <f t="shared" si="169"/>
        <v/>
      </c>
      <c r="T2474" t="str">
        <f t="shared" si="167"/>
        <v/>
      </c>
    </row>
    <row r="2475" spans="18:20">
      <c r="R2475" s="24" t="str">
        <f t="shared" si="168"/>
        <v/>
      </c>
      <c r="S2475" s="24" t="str">
        <f t="shared" si="169"/>
        <v/>
      </c>
      <c r="T2475" t="str">
        <f t="shared" si="167"/>
        <v/>
      </c>
    </row>
    <row r="2476" spans="18:20">
      <c r="R2476" s="24" t="str">
        <f t="shared" si="168"/>
        <v/>
      </c>
      <c r="S2476" s="24" t="str">
        <f t="shared" si="169"/>
        <v/>
      </c>
      <c r="T2476" t="str">
        <f t="shared" si="167"/>
        <v/>
      </c>
    </row>
    <row r="2477" spans="18:20">
      <c r="R2477" s="24" t="str">
        <f t="shared" si="168"/>
        <v/>
      </c>
      <c r="S2477" s="24" t="str">
        <f t="shared" si="169"/>
        <v/>
      </c>
      <c r="T2477" t="str">
        <f t="shared" si="167"/>
        <v/>
      </c>
    </row>
    <row r="2478" spans="18:20">
      <c r="R2478" s="24" t="str">
        <f t="shared" si="168"/>
        <v/>
      </c>
      <c r="S2478" s="24" t="str">
        <f t="shared" si="169"/>
        <v/>
      </c>
      <c r="T2478" t="str">
        <f t="shared" si="167"/>
        <v/>
      </c>
    </row>
    <row r="2479" spans="18:20">
      <c r="R2479" s="24" t="str">
        <f t="shared" si="168"/>
        <v/>
      </c>
      <c r="S2479" s="24" t="str">
        <f t="shared" si="169"/>
        <v/>
      </c>
      <c r="T2479" t="str">
        <f t="shared" si="167"/>
        <v/>
      </c>
    </row>
    <row r="2480" spans="18:20">
      <c r="R2480" s="24" t="str">
        <f t="shared" si="168"/>
        <v/>
      </c>
      <c r="S2480" s="24" t="str">
        <f t="shared" si="169"/>
        <v/>
      </c>
      <c r="T2480" t="str">
        <f t="shared" si="167"/>
        <v/>
      </c>
    </row>
    <row r="2481" spans="18:20">
      <c r="R2481" s="24" t="str">
        <f t="shared" si="168"/>
        <v/>
      </c>
      <c r="S2481" s="24" t="str">
        <f t="shared" si="169"/>
        <v/>
      </c>
      <c r="T2481" t="str">
        <f t="shared" si="167"/>
        <v/>
      </c>
    </row>
    <row r="2482" spans="18:20">
      <c r="R2482" s="24" t="str">
        <f t="shared" si="168"/>
        <v/>
      </c>
      <c r="S2482" s="24" t="str">
        <f t="shared" si="169"/>
        <v/>
      </c>
      <c r="T2482" t="str">
        <f t="shared" si="167"/>
        <v/>
      </c>
    </row>
    <row r="2483" spans="18:20">
      <c r="R2483" s="24" t="str">
        <f t="shared" si="168"/>
        <v/>
      </c>
      <c r="S2483" s="24" t="str">
        <f t="shared" si="169"/>
        <v/>
      </c>
      <c r="T2483" t="str">
        <f t="shared" si="167"/>
        <v/>
      </c>
    </row>
    <row r="2484" spans="18:20">
      <c r="R2484" s="24" t="str">
        <f t="shared" si="168"/>
        <v/>
      </c>
      <c r="S2484" s="24" t="str">
        <f t="shared" si="169"/>
        <v/>
      </c>
      <c r="T2484" t="str">
        <f t="shared" si="167"/>
        <v/>
      </c>
    </row>
    <row r="2485" spans="18:20">
      <c r="R2485" s="24" t="str">
        <f t="shared" si="168"/>
        <v/>
      </c>
      <c r="S2485" s="24" t="str">
        <f t="shared" si="169"/>
        <v/>
      </c>
      <c r="T2485" t="str">
        <f t="shared" si="167"/>
        <v/>
      </c>
    </row>
    <row r="2486" spans="18:20">
      <c r="R2486" s="24" t="str">
        <f t="shared" si="168"/>
        <v/>
      </c>
      <c r="S2486" s="24" t="str">
        <f t="shared" si="169"/>
        <v/>
      </c>
      <c r="T2486" t="str">
        <f t="shared" si="167"/>
        <v/>
      </c>
    </row>
    <row r="2487" spans="18:20">
      <c r="R2487" s="24" t="str">
        <f t="shared" si="168"/>
        <v/>
      </c>
      <c r="S2487" s="24" t="str">
        <f t="shared" si="169"/>
        <v/>
      </c>
      <c r="T2487" t="str">
        <f t="shared" si="167"/>
        <v/>
      </c>
    </row>
    <row r="2488" spans="18:20">
      <c r="R2488" s="24" t="str">
        <f t="shared" si="168"/>
        <v/>
      </c>
      <c r="S2488" s="24" t="str">
        <f t="shared" si="169"/>
        <v/>
      </c>
      <c r="T2488" t="str">
        <f t="shared" si="167"/>
        <v/>
      </c>
    </row>
    <row r="2489" spans="18:20">
      <c r="R2489" s="24" t="str">
        <f t="shared" si="168"/>
        <v/>
      </c>
      <c r="S2489" s="24" t="str">
        <f t="shared" si="169"/>
        <v/>
      </c>
      <c r="T2489" t="str">
        <f t="shared" si="167"/>
        <v/>
      </c>
    </row>
    <row r="2490" spans="18:20">
      <c r="R2490" s="24" t="str">
        <f t="shared" si="168"/>
        <v/>
      </c>
      <c r="S2490" s="24" t="str">
        <f t="shared" si="169"/>
        <v/>
      </c>
      <c r="T2490" t="str">
        <f t="shared" si="167"/>
        <v/>
      </c>
    </row>
    <row r="2491" spans="18:20">
      <c r="R2491" s="24" t="str">
        <f t="shared" si="168"/>
        <v/>
      </c>
      <c r="S2491" s="24" t="str">
        <f t="shared" si="169"/>
        <v/>
      </c>
      <c r="T2491" t="str">
        <f t="shared" si="167"/>
        <v/>
      </c>
    </row>
    <row r="2492" spans="18:20">
      <c r="R2492" s="24" t="str">
        <f t="shared" si="168"/>
        <v/>
      </c>
      <c r="S2492" s="24" t="str">
        <f t="shared" si="169"/>
        <v/>
      </c>
      <c r="T2492" t="str">
        <f t="shared" si="167"/>
        <v/>
      </c>
    </row>
    <row r="2493" spans="18:20">
      <c r="R2493" s="24" t="str">
        <f t="shared" si="168"/>
        <v/>
      </c>
      <c r="S2493" s="24" t="str">
        <f t="shared" si="169"/>
        <v/>
      </c>
      <c r="T2493" t="str">
        <f t="shared" si="167"/>
        <v/>
      </c>
    </row>
    <row r="2494" spans="18:20">
      <c r="R2494" s="24" t="str">
        <f t="shared" si="168"/>
        <v/>
      </c>
      <c r="S2494" s="24" t="str">
        <f t="shared" si="169"/>
        <v/>
      </c>
      <c r="T2494" t="str">
        <f t="shared" si="167"/>
        <v/>
      </c>
    </row>
    <row r="2495" spans="18:20">
      <c r="R2495" s="24" t="str">
        <f t="shared" si="168"/>
        <v/>
      </c>
      <c r="S2495" s="24" t="str">
        <f t="shared" si="169"/>
        <v/>
      </c>
      <c r="T2495" t="str">
        <f t="shared" si="167"/>
        <v/>
      </c>
    </row>
    <row r="2496" spans="18:20">
      <c r="R2496" s="24" t="str">
        <f t="shared" si="168"/>
        <v/>
      </c>
      <c r="S2496" s="24" t="str">
        <f t="shared" si="169"/>
        <v/>
      </c>
      <c r="T2496" t="str">
        <f t="shared" si="167"/>
        <v/>
      </c>
    </row>
    <row r="2497" spans="18:20">
      <c r="R2497" s="24" t="str">
        <f t="shared" si="168"/>
        <v/>
      </c>
      <c r="S2497" s="24" t="str">
        <f t="shared" si="169"/>
        <v/>
      </c>
      <c r="T2497" t="str">
        <f t="shared" si="167"/>
        <v/>
      </c>
    </row>
    <row r="2498" spans="18:20">
      <c r="R2498" s="24" t="str">
        <f t="shared" si="168"/>
        <v/>
      </c>
      <c r="S2498" s="24" t="str">
        <f t="shared" si="169"/>
        <v/>
      </c>
      <c r="T2498" t="str">
        <f t="shared" si="167"/>
        <v/>
      </c>
    </row>
    <row r="2499" spans="18:20">
      <c r="R2499" s="24" t="str">
        <f t="shared" si="168"/>
        <v/>
      </c>
      <c r="S2499" s="24" t="str">
        <f t="shared" si="169"/>
        <v/>
      </c>
      <c r="T2499" t="str">
        <f t="shared" si="167"/>
        <v/>
      </c>
    </row>
    <row r="2500" spans="18:20">
      <c r="R2500" s="24" t="str">
        <f t="shared" si="168"/>
        <v/>
      </c>
      <c r="S2500" s="24" t="str">
        <f t="shared" si="169"/>
        <v/>
      </c>
      <c r="T2500" t="str">
        <f t="shared" si="167"/>
        <v/>
      </c>
    </row>
    <row r="2501" spans="18:20">
      <c r="R2501" s="24" t="str">
        <f t="shared" si="168"/>
        <v/>
      </c>
      <c r="S2501" s="24" t="str">
        <f t="shared" si="169"/>
        <v/>
      </c>
      <c r="T2501" t="str">
        <f t="shared" si="167"/>
        <v/>
      </c>
    </row>
    <row r="2502" spans="18:20">
      <c r="R2502" s="24" t="str">
        <f t="shared" si="168"/>
        <v/>
      </c>
      <c r="S2502" s="24" t="str">
        <f t="shared" si="169"/>
        <v/>
      </c>
      <c r="T2502" t="str">
        <f t="shared" si="167"/>
        <v/>
      </c>
    </row>
    <row r="2503" spans="18:20">
      <c r="R2503" s="24" t="str">
        <f t="shared" si="168"/>
        <v/>
      </c>
      <c r="S2503" s="24" t="str">
        <f t="shared" si="169"/>
        <v/>
      </c>
      <c r="T2503" t="str">
        <f t="shared" si="167"/>
        <v/>
      </c>
    </row>
    <row r="2504" spans="18:20">
      <c r="R2504" s="24" t="str">
        <f t="shared" si="168"/>
        <v/>
      </c>
      <c r="S2504" s="24" t="str">
        <f t="shared" si="169"/>
        <v/>
      </c>
      <c r="T2504" t="str">
        <f t="shared" si="167"/>
        <v/>
      </c>
    </row>
    <row r="2505" spans="18:20">
      <c r="R2505" s="24" t="str">
        <f t="shared" si="168"/>
        <v/>
      </c>
      <c r="S2505" s="24" t="str">
        <f t="shared" si="169"/>
        <v/>
      </c>
      <c r="T2505" t="str">
        <f t="shared" si="167"/>
        <v/>
      </c>
    </row>
    <row r="2506" spans="18:20">
      <c r="R2506" s="24" t="str">
        <f t="shared" si="168"/>
        <v/>
      </c>
      <c r="S2506" s="24" t="str">
        <f t="shared" si="169"/>
        <v/>
      </c>
      <c r="T2506" t="str">
        <f t="shared" si="167"/>
        <v/>
      </c>
    </row>
    <row r="2507" spans="18:20">
      <c r="R2507" s="24" t="str">
        <f t="shared" si="168"/>
        <v/>
      </c>
      <c r="S2507" s="24" t="str">
        <f t="shared" si="169"/>
        <v/>
      </c>
      <c r="T2507" t="str">
        <f t="shared" si="167"/>
        <v/>
      </c>
    </row>
    <row r="2508" spans="18:20">
      <c r="R2508" s="24" t="str">
        <f t="shared" si="168"/>
        <v/>
      </c>
      <c r="S2508" s="24" t="str">
        <f t="shared" si="169"/>
        <v/>
      </c>
      <c r="T2508" t="str">
        <f t="shared" si="167"/>
        <v/>
      </c>
    </row>
    <row r="2509" spans="18:20">
      <c r="R2509" s="24" t="str">
        <f t="shared" si="168"/>
        <v/>
      </c>
      <c r="S2509" s="24" t="str">
        <f t="shared" si="169"/>
        <v/>
      </c>
      <c r="T2509" t="str">
        <f t="shared" si="167"/>
        <v/>
      </c>
    </row>
    <row r="2510" spans="18:20">
      <c r="R2510" s="24" t="str">
        <f t="shared" si="168"/>
        <v/>
      </c>
      <c r="S2510" s="24" t="str">
        <f t="shared" si="169"/>
        <v/>
      </c>
      <c r="T2510" t="str">
        <f t="shared" si="167"/>
        <v/>
      </c>
    </row>
    <row r="2511" spans="18:20">
      <c r="R2511" s="24" t="str">
        <f t="shared" si="168"/>
        <v/>
      </c>
      <c r="S2511" s="24" t="str">
        <f t="shared" si="169"/>
        <v/>
      </c>
      <c r="T2511" t="str">
        <f t="shared" ref="T2511:T2574" si="170">IF(OR(C2511="",I2511&lt;&gt;"ENTRADA"),"",TEXT(B2511,"AAMMDD")&amp;"-"&amp;TEXT(VALUE(SUBSTITUTE(A2511,"MOV-","")),"000"))</f>
        <v/>
      </c>
    </row>
    <row r="2512" spans="18:20">
      <c r="R2512" s="24" t="str">
        <f t="shared" ref="R2512:R2575" si="171">IF(H2512="","",H2512&amp;I2512)</f>
        <v/>
      </c>
      <c r="S2512" s="24" t="str">
        <f t="shared" ref="S2512:S2575" si="172">IF(C2512="","",C2512&amp;I2512)</f>
        <v/>
      </c>
      <c r="T2512" t="str">
        <f t="shared" si="170"/>
        <v/>
      </c>
    </row>
    <row r="2513" spans="18:20">
      <c r="R2513" s="24" t="str">
        <f t="shared" si="171"/>
        <v/>
      </c>
      <c r="S2513" s="24" t="str">
        <f t="shared" si="172"/>
        <v/>
      </c>
      <c r="T2513" t="str">
        <f t="shared" si="170"/>
        <v/>
      </c>
    </row>
    <row r="2514" spans="18:20">
      <c r="R2514" s="24" t="str">
        <f t="shared" si="171"/>
        <v/>
      </c>
      <c r="S2514" s="24" t="str">
        <f t="shared" si="172"/>
        <v/>
      </c>
      <c r="T2514" t="str">
        <f t="shared" si="170"/>
        <v/>
      </c>
    </row>
    <row r="2515" spans="18:20">
      <c r="R2515" s="24" t="str">
        <f t="shared" si="171"/>
        <v/>
      </c>
      <c r="S2515" s="24" t="str">
        <f t="shared" si="172"/>
        <v/>
      </c>
      <c r="T2515" t="str">
        <f t="shared" si="170"/>
        <v/>
      </c>
    </row>
    <row r="2516" spans="18:20">
      <c r="R2516" s="24" t="str">
        <f t="shared" si="171"/>
        <v/>
      </c>
      <c r="S2516" s="24" t="str">
        <f t="shared" si="172"/>
        <v/>
      </c>
      <c r="T2516" t="str">
        <f t="shared" si="170"/>
        <v/>
      </c>
    </row>
    <row r="2517" spans="18:20">
      <c r="R2517" s="24" t="str">
        <f t="shared" si="171"/>
        <v/>
      </c>
      <c r="S2517" s="24" t="str">
        <f t="shared" si="172"/>
        <v/>
      </c>
      <c r="T2517" t="str">
        <f t="shared" si="170"/>
        <v/>
      </c>
    </row>
    <row r="2518" spans="18:20">
      <c r="R2518" s="24" t="str">
        <f t="shared" si="171"/>
        <v/>
      </c>
      <c r="S2518" s="24" t="str">
        <f t="shared" si="172"/>
        <v/>
      </c>
      <c r="T2518" t="str">
        <f t="shared" si="170"/>
        <v/>
      </c>
    </row>
    <row r="2519" spans="18:20">
      <c r="R2519" s="24" t="str">
        <f t="shared" si="171"/>
        <v/>
      </c>
      <c r="S2519" s="24" t="str">
        <f t="shared" si="172"/>
        <v/>
      </c>
      <c r="T2519" t="str">
        <f t="shared" si="170"/>
        <v/>
      </c>
    </row>
    <row r="2520" spans="18:20">
      <c r="R2520" s="24" t="str">
        <f t="shared" si="171"/>
        <v/>
      </c>
      <c r="S2520" s="24" t="str">
        <f t="shared" si="172"/>
        <v/>
      </c>
      <c r="T2520" t="str">
        <f t="shared" si="170"/>
        <v/>
      </c>
    </row>
    <row r="2521" spans="18:20">
      <c r="R2521" s="24" t="str">
        <f t="shared" si="171"/>
        <v/>
      </c>
      <c r="S2521" s="24" t="str">
        <f t="shared" si="172"/>
        <v/>
      </c>
      <c r="T2521" t="str">
        <f t="shared" si="170"/>
        <v/>
      </c>
    </row>
    <row r="2522" spans="18:20">
      <c r="R2522" s="24" t="str">
        <f t="shared" si="171"/>
        <v/>
      </c>
      <c r="S2522" s="24" t="str">
        <f t="shared" si="172"/>
        <v/>
      </c>
      <c r="T2522" t="str">
        <f t="shared" si="170"/>
        <v/>
      </c>
    </row>
    <row r="2523" spans="18:20">
      <c r="R2523" s="24" t="str">
        <f t="shared" si="171"/>
        <v/>
      </c>
      <c r="S2523" s="24" t="str">
        <f t="shared" si="172"/>
        <v/>
      </c>
      <c r="T2523" t="str">
        <f t="shared" si="170"/>
        <v/>
      </c>
    </row>
    <row r="2524" spans="18:20">
      <c r="R2524" s="24" t="str">
        <f t="shared" si="171"/>
        <v/>
      </c>
      <c r="S2524" s="24" t="str">
        <f t="shared" si="172"/>
        <v/>
      </c>
      <c r="T2524" t="str">
        <f t="shared" si="170"/>
        <v/>
      </c>
    </row>
    <row r="2525" spans="18:20">
      <c r="R2525" s="24" t="str">
        <f t="shared" si="171"/>
        <v/>
      </c>
      <c r="S2525" s="24" t="str">
        <f t="shared" si="172"/>
        <v/>
      </c>
      <c r="T2525" t="str">
        <f t="shared" si="170"/>
        <v/>
      </c>
    </row>
    <row r="2526" spans="18:20">
      <c r="R2526" s="24" t="str">
        <f t="shared" si="171"/>
        <v/>
      </c>
      <c r="S2526" s="24" t="str">
        <f t="shared" si="172"/>
        <v/>
      </c>
      <c r="T2526" t="str">
        <f t="shared" si="170"/>
        <v/>
      </c>
    </row>
    <row r="2527" spans="18:20">
      <c r="R2527" s="24" t="str">
        <f t="shared" si="171"/>
        <v/>
      </c>
      <c r="S2527" s="24" t="str">
        <f t="shared" si="172"/>
        <v/>
      </c>
      <c r="T2527" t="str">
        <f t="shared" si="170"/>
        <v/>
      </c>
    </row>
    <row r="2528" spans="18:20">
      <c r="R2528" s="24" t="str">
        <f t="shared" si="171"/>
        <v/>
      </c>
      <c r="S2528" s="24" t="str">
        <f t="shared" si="172"/>
        <v/>
      </c>
      <c r="T2528" t="str">
        <f t="shared" si="170"/>
        <v/>
      </c>
    </row>
    <row r="2529" spans="18:20">
      <c r="R2529" s="24" t="str">
        <f t="shared" si="171"/>
        <v/>
      </c>
      <c r="S2529" s="24" t="str">
        <f t="shared" si="172"/>
        <v/>
      </c>
      <c r="T2529" t="str">
        <f t="shared" si="170"/>
        <v/>
      </c>
    </row>
    <row r="2530" spans="18:20">
      <c r="R2530" s="24" t="str">
        <f t="shared" si="171"/>
        <v/>
      </c>
      <c r="S2530" s="24" t="str">
        <f t="shared" si="172"/>
        <v/>
      </c>
      <c r="T2530" t="str">
        <f t="shared" si="170"/>
        <v/>
      </c>
    </row>
    <row r="2531" spans="18:20">
      <c r="R2531" s="24" t="str">
        <f t="shared" si="171"/>
        <v/>
      </c>
      <c r="S2531" s="24" t="str">
        <f t="shared" si="172"/>
        <v/>
      </c>
      <c r="T2531" t="str">
        <f t="shared" si="170"/>
        <v/>
      </c>
    </row>
    <row r="2532" spans="18:20">
      <c r="R2532" s="24" t="str">
        <f t="shared" si="171"/>
        <v/>
      </c>
      <c r="S2532" s="24" t="str">
        <f t="shared" si="172"/>
        <v/>
      </c>
      <c r="T2532" t="str">
        <f t="shared" si="170"/>
        <v/>
      </c>
    </row>
    <row r="2533" spans="18:20">
      <c r="R2533" s="24" t="str">
        <f t="shared" si="171"/>
        <v/>
      </c>
      <c r="S2533" s="24" t="str">
        <f t="shared" si="172"/>
        <v/>
      </c>
      <c r="T2533" t="str">
        <f t="shared" si="170"/>
        <v/>
      </c>
    </row>
    <row r="2534" spans="18:20">
      <c r="R2534" s="24" t="str">
        <f t="shared" si="171"/>
        <v/>
      </c>
      <c r="S2534" s="24" t="str">
        <f t="shared" si="172"/>
        <v/>
      </c>
      <c r="T2534" t="str">
        <f t="shared" si="170"/>
        <v/>
      </c>
    </row>
    <row r="2535" spans="18:20">
      <c r="R2535" s="24" t="str">
        <f t="shared" si="171"/>
        <v/>
      </c>
      <c r="S2535" s="24" t="str">
        <f t="shared" si="172"/>
        <v/>
      </c>
      <c r="T2535" t="str">
        <f t="shared" si="170"/>
        <v/>
      </c>
    </row>
    <row r="2536" spans="18:20">
      <c r="R2536" s="24" t="str">
        <f t="shared" si="171"/>
        <v/>
      </c>
      <c r="S2536" s="24" t="str">
        <f t="shared" si="172"/>
        <v/>
      </c>
      <c r="T2536" t="str">
        <f t="shared" si="170"/>
        <v/>
      </c>
    </row>
    <row r="2537" spans="18:20">
      <c r="R2537" s="24" t="str">
        <f t="shared" si="171"/>
        <v/>
      </c>
      <c r="S2537" s="24" t="str">
        <f t="shared" si="172"/>
        <v/>
      </c>
      <c r="T2537" t="str">
        <f t="shared" si="170"/>
        <v/>
      </c>
    </row>
    <row r="2538" spans="18:20">
      <c r="R2538" s="24" t="str">
        <f t="shared" si="171"/>
        <v/>
      </c>
      <c r="S2538" s="24" t="str">
        <f t="shared" si="172"/>
        <v/>
      </c>
      <c r="T2538" t="str">
        <f t="shared" si="170"/>
        <v/>
      </c>
    </row>
    <row r="2539" spans="18:20">
      <c r="R2539" s="24" t="str">
        <f t="shared" si="171"/>
        <v/>
      </c>
      <c r="S2539" s="24" t="str">
        <f t="shared" si="172"/>
        <v/>
      </c>
      <c r="T2539" t="str">
        <f t="shared" si="170"/>
        <v/>
      </c>
    </row>
    <row r="2540" spans="18:20">
      <c r="R2540" s="24" t="str">
        <f t="shared" si="171"/>
        <v/>
      </c>
      <c r="S2540" s="24" t="str">
        <f t="shared" si="172"/>
        <v/>
      </c>
      <c r="T2540" t="str">
        <f t="shared" si="170"/>
        <v/>
      </c>
    </row>
    <row r="2541" spans="18:20">
      <c r="R2541" s="24" t="str">
        <f t="shared" si="171"/>
        <v/>
      </c>
      <c r="S2541" s="24" t="str">
        <f t="shared" si="172"/>
        <v/>
      </c>
      <c r="T2541" t="str">
        <f t="shared" si="170"/>
        <v/>
      </c>
    </row>
    <row r="2542" spans="18:20">
      <c r="R2542" s="24" t="str">
        <f t="shared" si="171"/>
        <v/>
      </c>
      <c r="S2542" s="24" t="str">
        <f t="shared" si="172"/>
        <v/>
      </c>
      <c r="T2542" t="str">
        <f t="shared" si="170"/>
        <v/>
      </c>
    </row>
    <row r="2543" spans="18:20">
      <c r="R2543" s="24" t="str">
        <f t="shared" si="171"/>
        <v/>
      </c>
      <c r="S2543" s="24" t="str">
        <f t="shared" si="172"/>
        <v/>
      </c>
      <c r="T2543" t="str">
        <f t="shared" si="170"/>
        <v/>
      </c>
    </row>
    <row r="2544" spans="18:20">
      <c r="R2544" s="24" t="str">
        <f t="shared" si="171"/>
        <v/>
      </c>
      <c r="S2544" s="24" t="str">
        <f t="shared" si="172"/>
        <v/>
      </c>
      <c r="T2544" t="str">
        <f t="shared" si="170"/>
        <v/>
      </c>
    </row>
    <row r="2545" spans="18:20">
      <c r="R2545" s="24" t="str">
        <f t="shared" si="171"/>
        <v/>
      </c>
      <c r="S2545" s="24" t="str">
        <f t="shared" si="172"/>
        <v/>
      </c>
      <c r="T2545" t="str">
        <f t="shared" si="170"/>
        <v/>
      </c>
    </row>
    <row r="2546" spans="18:20">
      <c r="R2546" s="24" t="str">
        <f t="shared" si="171"/>
        <v/>
      </c>
      <c r="S2546" s="24" t="str">
        <f t="shared" si="172"/>
        <v/>
      </c>
      <c r="T2546" t="str">
        <f t="shared" si="170"/>
        <v/>
      </c>
    </row>
    <row r="2547" spans="18:20">
      <c r="R2547" s="24" t="str">
        <f t="shared" si="171"/>
        <v/>
      </c>
      <c r="S2547" s="24" t="str">
        <f t="shared" si="172"/>
        <v/>
      </c>
      <c r="T2547" t="str">
        <f t="shared" si="170"/>
        <v/>
      </c>
    </row>
    <row r="2548" spans="18:20">
      <c r="R2548" s="24" t="str">
        <f t="shared" si="171"/>
        <v/>
      </c>
      <c r="S2548" s="24" t="str">
        <f t="shared" si="172"/>
        <v/>
      </c>
      <c r="T2548" t="str">
        <f t="shared" si="170"/>
        <v/>
      </c>
    </row>
    <row r="2549" spans="18:20">
      <c r="R2549" s="24" t="str">
        <f t="shared" si="171"/>
        <v/>
      </c>
      <c r="S2549" s="24" t="str">
        <f t="shared" si="172"/>
        <v/>
      </c>
      <c r="T2549" t="str">
        <f t="shared" si="170"/>
        <v/>
      </c>
    </row>
    <row r="2550" spans="18:20">
      <c r="R2550" s="24" t="str">
        <f t="shared" si="171"/>
        <v/>
      </c>
      <c r="S2550" s="24" t="str">
        <f t="shared" si="172"/>
        <v/>
      </c>
      <c r="T2550" t="str">
        <f t="shared" si="170"/>
        <v/>
      </c>
    </row>
    <row r="2551" spans="18:20">
      <c r="R2551" s="24" t="str">
        <f t="shared" si="171"/>
        <v/>
      </c>
      <c r="S2551" s="24" t="str">
        <f t="shared" si="172"/>
        <v/>
      </c>
      <c r="T2551" t="str">
        <f t="shared" si="170"/>
        <v/>
      </c>
    </row>
    <row r="2552" spans="18:20">
      <c r="R2552" s="24" t="str">
        <f t="shared" si="171"/>
        <v/>
      </c>
      <c r="S2552" s="24" t="str">
        <f t="shared" si="172"/>
        <v/>
      </c>
      <c r="T2552" t="str">
        <f t="shared" si="170"/>
        <v/>
      </c>
    </row>
    <row r="2553" spans="18:20">
      <c r="R2553" s="24" t="str">
        <f t="shared" si="171"/>
        <v/>
      </c>
      <c r="S2553" s="24" t="str">
        <f t="shared" si="172"/>
        <v/>
      </c>
      <c r="T2553" t="str">
        <f t="shared" si="170"/>
        <v/>
      </c>
    </row>
    <row r="2554" spans="18:20">
      <c r="R2554" s="24" t="str">
        <f t="shared" si="171"/>
        <v/>
      </c>
      <c r="S2554" s="24" t="str">
        <f t="shared" si="172"/>
        <v/>
      </c>
      <c r="T2554" t="str">
        <f t="shared" si="170"/>
        <v/>
      </c>
    </row>
    <row r="2555" spans="18:20">
      <c r="R2555" s="24" t="str">
        <f t="shared" si="171"/>
        <v/>
      </c>
      <c r="S2555" s="24" t="str">
        <f t="shared" si="172"/>
        <v/>
      </c>
      <c r="T2555" t="str">
        <f t="shared" si="170"/>
        <v/>
      </c>
    </row>
    <row r="2556" spans="18:20">
      <c r="R2556" s="24" t="str">
        <f t="shared" si="171"/>
        <v/>
      </c>
      <c r="S2556" s="24" t="str">
        <f t="shared" si="172"/>
        <v/>
      </c>
      <c r="T2556" t="str">
        <f t="shared" si="170"/>
        <v/>
      </c>
    </row>
    <row r="2557" spans="18:20">
      <c r="R2557" s="24" t="str">
        <f t="shared" si="171"/>
        <v/>
      </c>
      <c r="S2557" s="24" t="str">
        <f t="shared" si="172"/>
        <v/>
      </c>
      <c r="T2557" t="str">
        <f t="shared" si="170"/>
        <v/>
      </c>
    </row>
    <row r="2558" spans="18:20">
      <c r="R2558" s="24" t="str">
        <f t="shared" si="171"/>
        <v/>
      </c>
      <c r="S2558" s="24" t="str">
        <f t="shared" si="172"/>
        <v/>
      </c>
      <c r="T2558" t="str">
        <f t="shared" si="170"/>
        <v/>
      </c>
    </row>
    <row r="2559" spans="18:20">
      <c r="R2559" s="24" t="str">
        <f t="shared" si="171"/>
        <v/>
      </c>
      <c r="S2559" s="24" t="str">
        <f t="shared" si="172"/>
        <v/>
      </c>
      <c r="T2559" t="str">
        <f t="shared" si="170"/>
        <v/>
      </c>
    </row>
    <row r="2560" spans="18:20">
      <c r="R2560" s="24" t="str">
        <f t="shared" si="171"/>
        <v/>
      </c>
      <c r="S2560" s="24" t="str">
        <f t="shared" si="172"/>
        <v/>
      </c>
      <c r="T2560" t="str">
        <f t="shared" si="170"/>
        <v/>
      </c>
    </row>
    <row r="2561" spans="18:20">
      <c r="R2561" s="24" t="str">
        <f t="shared" si="171"/>
        <v/>
      </c>
      <c r="S2561" s="24" t="str">
        <f t="shared" si="172"/>
        <v/>
      </c>
      <c r="T2561" t="str">
        <f t="shared" si="170"/>
        <v/>
      </c>
    </row>
    <row r="2562" spans="18:20">
      <c r="R2562" s="24" t="str">
        <f t="shared" si="171"/>
        <v/>
      </c>
      <c r="S2562" s="24" t="str">
        <f t="shared" si="172"/>
        <v/>
      </c>
      <c r="T2562" t="str">
        <f t="shared" si="170"/>
        <v/>
      </c>
    </row>
    <row r="2563" spans="18:20">
      <c r="R2563" s="24" t="str">
        <f t="shared" si="171"/>
        <v/>
      </c>
      <c r="S2563" s="24" t="str">
        <f t="shared" si="172"/>
        <v/>
      </c>
      <c r="T2563" t="str">
        <f t="shared" si="170"/>
        <v/>
      </c>
    </row>
    <row r="2564" spans="18:20">
      <c r="R2564" s="24" t="str">
        <f t="shared" si="171"/>
        <v/>
      </c>
      <c r="S2564" s="24" t="str">
        <f t="shared" si="172"/>
        <v/>
      </c>
      <c r="T2564" t="str">
        <f t="shared" si="170"/>
        <v/>
      </c>
    </row>
    <row r="2565" spans="18:20">
      <c r="R2565" s="24" t="str">
        <f t="shared" si="171"/>
        <v/>
      </c>
      <c r="S2565" s="24" t="str">
        <f t="shared" si="172"/>
        <v/>
      </c>
      <c r="T2565" t="str">
        <f t="shared" si="170"/>
        <v/>
      </c>
    </row>
    <row r="2566" spans="18:20">
      <c r="R2566" s="24" t="str">
        <f t="shared" si="171"/>
        <v/>
      </c>
      <c r="S2566" s="24" t="str">
        <f t="shared" si="172"/>
        <v/>
      </c>
      <c r="T2566" t="str">
        <f t="shared" si="170"/>
        <v/>
      </c>
    </row>
    <row r="2567" spans="18:20">
      <c r="R2567" s="24" t="str">
        <f t="shared" si="171"/>
        <v/>
      </c>
      <c r="S2567" s="24" t="str">
        <f t="shared" si="172"/>
        <v/>
      </c>
      <c r="T2567" t="str">
        <f t="shared" si="170"/>
        <v/>
      </c>
    </row>
    <row r="2568" spans="18:20">
      <c r="R2568" s="24" t="str">
        <f t="shared" si="171"/>
        <v/>
      </c>
      <c r="S2568" s="24" t="str">
        <f t="shared" si="172"/>
        <v/>
      </c>
      <c r="T2568" t="str">
        <f t="shared" si="170"/>
        <v/>
      </c>
    </row>
    <row r="2569" spans="18:20">
      <c r="R2569" s="24" t="str">
        <f t="shared" si="171"/>
        <v/>
      </c>
      <c r="S2569" s="24" t="str">
        <f t="shared" si="172"/>
        <v/>
      </c>
      <c r="T2569" t="str">
        <f t="shared" si="170"/>
        <v/>
      </c>
    </row>
    <row r="2570" spans="18:20">
      <c r="R2570" s="24" t="str">
        <f t="shared" si="171"/>
        <v/>
      </c>
      <c r="S2570" s="24" t="str">
        <f t="shared" si="172"/>
        <v/>
      </c>
      <c r="T2570" t="str">
        <f t="shared" si="170"/>
        <v/>
      </c>
    </row>
    <row r="2571" spans="18:20">
      <c r="R2571" s="24" t="str">
        <f t="shared" si="171"/>
        <v/>
      </c>
      <c r="S2571" s="24" t="str">
        <f t="shared" si="172"/>
        <v/>
      </c>
      <c r="T2571" t="str">
        <f t="shared" si="170"/>
        <v/>
      </c>
    </row>
    <row r="2572" spans="18:20">
      <c r="R2572" s="24" t="str">
        <f t="shared" si="171"/>
        <v/>
      </c>
      <c r="S2572" s="24" t="str">
        <f t="shared" si="172"/>
        <v/>
      </c>
      <c r="T2572" t="str">
        <f t="shared" si="170"/>
        <v/>
      </c>
    </row>
    <row r="2573" spans="18:20">
      <c r="R2573" s="24" t="str">
        <f t="shared" si="171"/>
        <v/>
      </c>
      <c r="S2573" s="24" t="str">
        <f t="shared" si="172"/>
        <v/>
      </c>
      <c r="T2573" t="str">
        <f t="shared" si="170"/>
        <v/>
      </c>
    </row>
    <row r="2574" spans="18:20">
      <c r="R2574" s="24" t="str">
        <f t="shared" si="171"/>
        <v/>
      </c>
      <c r="S2574" s="24" t="str">
        <f t="shared" si="172"/>
        <v/>
      </c>
      <c r="T2574" t="str">
        <f t="shared" si="170"/>
        <v/>
      </c>
    </row>
    <row r="2575" spans="18:20">
      <c r="R2575" s="24" t="str">
        <f t="shared" si="171"/>
        <v/>
      </c>
      <c r="S2575" s="24" t="str">
        <f t="shared" si="172"/>
        <v/>
      </c>
      <c r="T2575" t="str">
        <f t="shared" ref="T2575:T2638" si="173">IF(OR(C2575="",I2575&lt;&gt;"ENTRADA"),"",TEXT(B2575,"AAMMDD")&amp;"-"&amp;TEXT(VALUE(SUBSTITUTE(A2575,"MOV-","")),"000"))</f>
        <v/>
      </c>
    </row>
    <row r="2576" spans="18:20">
      <c r="R2576" s="24" t="str">
        <f t="shared" ref="R2576:R2639" si="174">IF(H2576="","",H2576&amp;I2576)</f>
        <v/>
      </c>
      <c r="S2576" s="24" t="str">
        <f t="shared" ref="S2576:S2639" si="175">IF(C2576="","",C2576&amp;I2576)</f>
        <v/>
      </c>
      <c r="T2576" t="str">
        <f t="shared" si="173"/>
        <v/>
      </c>
    </row>
    <row r="2577" spans="18:20">
      <c r="R2577" s="24" t="str">
        <f t="shared" si="174"/>
        <v/>
      </c>
      <c r="S2577" s="24" t="str">
        <f t="shared" si="175"/>
        <v/>
      </c>
      <c r="T2577" t="str">
        <f t="shared" si="173"/>
        <v/>
      </c>
    </row>
    <row r="2578" spans="18:20">
      <c r="R2578" s="24" t="str">
        <f t="shared" si="174"/>
        <v/>
      </c>
      <c r="S2578" s="24" t="str">
        <f t="shared" si="175"/>
        <v/>
      </c>
      <c r="T2578" t="str">
        <f t="shared" si="173"/>
        <v/>
      </c>
    </row>
    <row r="2579" spans="18:20">
      <c r="R2579" s="24" t="str">
        <f t="shared" si="174"/>
        <v/>
      </c>
      <c r="S2579" s="24" t="str">
        <f t="shared" si="175"/>
        <v/>
      </c>
      <c r="T2579" t="str">
        <f t="shared" si="173"/>
        <v/>
      </c>
    </row>
    <row r="2580" spans="18:20">
      <c r="R2580" s="24" t="str">
        <f t="shared" si="174"/>
        <v/>
      </c>
      <c r="S2580" s="24" t="str">
        <f t="shared" si="175"/>
        <v/>
      </c>
      <c r="T2580" t="str">
        <f t="shared" si="173"/>
        <v/>
      </c>
    </row>
    <row r="2581" spans="18:20">
      <c r="R2581" s="24" t="str">
        <f t="shared" si="174"/>
        <v/>
      </c>
      <c r="S2581" s="24" t="str">
        <f t="shared" si="175"/>
        <v/>
      </c>
      <c r="T2581" t="str">
        <f t="shared" si="173"/>
        <v/>
      </c>
    </row>
    <row r="2582" spans="18:20">
      <c r="R2582" s="24" t="str">
        <f t="shared" si="174"/>
        <v/>
      </c>
      <c r="S2582" s="24" t="str">
        <f t="shared" si="175"/>
        <v/>
      </c>
      <c r="T2582" t="str">
        <f t="shared" si="173"/>
        <v/>
      </c>
    </row>
    <row r="2583" spans="18:20">
      <c r="R2583" s="24" t="str">
        <f t="shared" si="174"/>
        <v/>
      </c>
      <c r="S2583" s="24" t="str">
        <f t="shared" si="175"/>
        <v/>
      </c>
      <c r="T2583" t="str">
        <f t="shared" si="173"/>
        <v/>
      </c>
    </row>
    <row r="2584" spans="18:20">
      <c r="R2584" s="24" t="str">
        <f t="shared" si="174"/>
        <v/>
      </c>
      <c r="S2584" s="24" t="str">
        <f t="shared" si="175"/>
        <v/>
      </c>
      <c r="T2584" t="str">
        <f t="shared" si="173"/>
        <v/>
      </c>
    </row>
    <row r="2585" spans="18:20">
      <c r="R2585" s="24" t="str">
        <f t="shared" si="174"/>
        <v/>
      </c>
      <c r="S2585" s="24" t="str">
        <f t="shared" si="175"/>
        <v/>
      </c>
      <c r="T2585" t="str">
        <f t="shared" si="173"/>
        <v/>
      </c>
    </row>
    <row r="2586" spans="18:20">
      <c r="R2586" s="24" t="str">
        <f t="shared" si="174"/>
        <v/>
      </c>
      <c r="S2586" s="24" t="str">
        <f t="shared" si="175"/>
        <v/>
      </c>
      <c r="T2586" t="str">
        <f t="shared" si="173"/>
        <v/>
      </c>
    </row>
    <row r="2587" spans="18:20">
      <c r="R2587" s="24" t="str">
        <f t="shared" si="174"/>
        <v/>
      </c>
      <c r="S2587" s="24" t="str">
        <f t="shared" si="175"/>
        <v/>
      </c>
      <c r="T2587" t="str">
        <f t="shared" si="173"/>
        <v/>
      </c>
    </row>
    <row r="2588" spans="18:20">
      <c r="R2588" s="24" t="str">
        <f t="shared" si="174"/>
        <v/>
      </c>
      <c r="S2588" s="24" t="str">
        <f t="shared" si="175"/>
        <v/>
      </c>
      <c r="T2588" t="str">
        <f t="shared" si="173"/>
        <v/>
      </c>
    </row>
    <row r="2589" spans="18:20">
      <c r="R2589" s="24" t="str">
        <f t="shared" si="174"/>
        <v/>
      </c>
      <c r="S2589" s="24" t="str">
        <f t="shared" si="175"/>
        <v/>
      </c>
      <c r="T2589" t="str">
        <f t="shared" si="173"/>
        <v/>
      </c>
    </row>
    <row r="2590" spans="18:20">
      <c r="R2590" s="24" t="str">
        <f t="shared" si="174"/>
        <v/>
      </c>
      <c r="S2590" s="24" t="str">
        <f t="shared" si="175"/>
        <v/>
      </c>
      <c r="T2590" t="str">
        <f t="shared" si="173"/>
        <v/>
      </c>
    </row>
    <row r="2591" spans="18:20">
      <c r="R2591" s="24" t="str">
        <f t="shared" si="174"/>
        <v/>
      </c>
      <c r="S2591" s="24" t="str">
        <f t="shared" si="175"/>
        <v/>
      </c>
      <c r="T2591" t="str">
        <f t="shared" si="173"/>
        <v/>
      </c>
    </row>
    <row r="2592" spans="18:20">
      <c r="R2592" s="24" t="str">
        <f t="shared" si="174"/>
        <v/>
      </c>
      <c r="S2592" s="24" t="str">
        <f t="shared" si="175"/>
        <v/>
      </c>
      <c r="T2592" t="str">
        <f t="shared" si="173"/>
        <v/>
      </c>
    </row>
    <row r="2593" spans="18:20">
      <c r="R2593" s="24" t="str">
        <f t="shared" si="174"/>
        <v/>
      </c>
      <c r="S2593" s="24" t="str">
        <f t="shared" si="175"/>
        <v/>
      </c>
      <c r="T2593" t="str">
        <f t="shared" si="173"/>
        <v/>
      </c>
    </row>
    <row r="2594" spans="18:20">
      <c r="R2594" s="24" t="str">
        <f t="shared" si="174"/>
        <v/>
      </c>
      <c r="S2594" s="24" t="str">
        <f t="shared" si="175"/>
        <v/>
      </c>
      <c r="T2594" t="str">
        <f t="shared" si="173"/>
        <v/>
      </c>
    </row>
    <row r="2595" spans="18:20">
      <c r="R2595" s="24" t="str">
        <f t="shared" si="174"/>
        <v/>
      </c>
      <c r="S2595" s="24" t="str">
        <f t="shared" si="175"/>
        <v/>
      </c>
      <c r="T2595" t="str">
        <f t="shared" si="173"/>
        <v/>
      </c>
    </row>
    <row r="2596" spans="18:20">
      <c r="R2596" s="24" t="str">
        <f t="shared" si="174"/>
        <v/>
      </c>
      <c r="S2596" s="24" t="str">
        <f t="shared" si="175"/>
        <v/>
      </c>
      <c r="T2596" t="str">
        <f t="shared" si="173"/>
        <v/>
      </c>
    </row>
    <row r="2597" spans="18:20">
      <c r="R2597" s="24" t="str">
        <f t="shared" si="174"/>
        <v/>
      </c>
      <c r="S2597" s="24" t="str">
        <f t="shared" si="175"/>
        <v/>
      </c>
      <c r="T2597" t="str">
        <f t="shared" si="173"/>
        <v/>
      </c>
    </row>
    <row r="2598" spans="18:20">
      <c r="R2598" s="24" t="str">
        <f t="shared" si="174"/>
        <v/>
      </c>
      <c r="S2598" s="24" t="str">
        <f t="shared" si="175"/>
        <v/>
      </c>
      <c r="T2598" t="str">
        <f t="shared" si="173"/>
        <v/>
      </c>
    </row>
    <row r="2599" spans="18:20">
      <c r="R2599" s="24" t="str">
        <f t="shared" si="174"/>
        <v/>
      </c>
      <c r="S2599" s="24" t="str">
        <f t="shared" si="175"/>
        <v/>
      </c>
      <c r="T2599" t="str">
        <f t="shared" si="173"/>
        <v/>
      </c>
    </row>
    <row r="2600" spans="18:20">
      <c r="R2600" s="24" t="str">
        <f t="shared" si="174"/>
        <v/>
      </c>
      <c r="S2600" s="24" t="str">
        <f t="shared" si="175"/>
        <v/>
      </c>
      <c r="T2600" t="str">
        <f t="shared" si="173"/>
        <v/>
      </c>
    </row>
    <row r="2601" spans="18:20">
      <c r="R2601" s="24" t="str">
        <f t="shared" si="174"/>
        <v/>
      </c>
      <c r="S2601" s="24" t="str">
        <f t="shared" si="175"/>
        <v/>
      </c>
      <c r="T2601" t="str">
        <f t="shared" si="173"/>
        <v/>
      </c>
    </row>
    <row r="2602" spans="18:20">
      <c r="R2602" s="24" t="str">
        <f t="shared" si="174"/>
        <v/>
      </c>
      <c r="S2602" s="24" t="str">
        <f t="shared" si="175"/>
        <v/>
      </c>
      <c r="T2602" t="str">
        <f t="shared" si="173"/>
        <v/>
      </c>
    </row>
    <row r="2603" spans="18:20">
      <c r="R2603" s="24" t="str">
        <f t="shared" si="174"/>
        <v/>
      </c>
      <c r="S2603" s="24" t="str">
        <f t="shared" si="175"/>
        <v/>
      </c>
      <c r="T2603" t="str">
        <f t="shared" si="173"/>
        <v/>
      </c>
    </row>
    <row r="2604" spans="18:20">
      <c r="R2604" s="24" t="str">
        <f t="shared" si="174"/>
        <v/>
      </c>
      <c r="S2604" s="24" t="str">
        <f t="shared" si="175"/>
        <v/>
      </c>
      <c r="T2604" t="str">
        <f t="shared" si="173"/>
        <v/>
      </c>
    </row>
    <row r="2605" spans="18:20">
      <c r="R2605" s="24" t="str">
        <f t="shared" si="174"/>
        <v/>
      </c>
      <c r="S2605" s="24" t="str">
        <f t="shared" si="175"/>
        <v/>
      </c>
      <c r="T2605" t="str">
        <f t="shared" si="173"/>
        <v/>
      </c>
    </row>
    <row r="2606" spans="18:20">
      <c r="R2606" s="24" t="str">
        <f t="shared" si="174"/>
        <v/>
      </c>
      <c r="S2606" s="24" t="str">
        <f t="shared" si="175"/>
        <v/>
      </c>
      <c r="T2606" t="str">
        <f t="shared" si="173"/>
        <v/>
      </c>
    </row>
    <row r="2607" spans="18:20">
      <c r="R2607" s="24" t="str">
        <f t="shared" si="174"/>
        <v/>
      </c>
      <c r="S2607" s="24" t="str">
        <f t="shared" si="175"/>
        <v/>
      </c>
      <c r="T2607" t="str">
        <f t="shared" si="173"/>
        <v/>
      </c>
    </row>
    <row r="2608" spans="18:20">
      <c r="R2608" s="24" t="str">
        <f t="shared" si="174"/>
        <v/>
      </c>
      <c r="S2608" s="24" t="str">
        <f t="shared" si="175"/>
        <v/>
      </c>
      <c r="T2608" t="str">
        <f t="shared" si="173"/>
        <v/>
      </c>
    </row>
    <row r="2609" spans="18:20">
      <c r="R2609" s="24" t="str">
        <f t="shared" si="174"/>
        <v/>
      </c>
      <c r="S2609" s="24" t="str">
        <f t="shared" si="175"/>
        <v/>
      </c>
      <c r="T2609" t="str">
        <f t="shared" si="173"/>
        <v/>
      </c>
    </row>
    <row r="2610" spans="18:20">
      <c r="R2610" s="24" t="str">
        <f t="shared" si="174"/>
        <v/>
      </c>
      <c r="S2610" s="24" t="str">
        <f t="shared" si="175"/>
        <v/>
      </c>
      <c r="T2610" t="str">
        <f t="shared" si="173"/>
        <v/>
      </c>
    </row>
    <row r="2611" spans="18:20">
      <c r="R2611" s="24" t="str">
        <f t="shared" si="174"/>
        <v/>
      </c>
      <c r="S2611" s="24" t="str">
        <f t="shared" si="175"/>
        <v/>
      </c>
      <c r="T2611" t="str">
        <f t="shared" si="173"/>
        <v/>
      </c>
    </row>
    <row r="2612" spans="18:20">
      <c r="R2612" s="24" t="str">
        <f t="shared" si="174"/>
        <v/>
      </c>
      <c r="S2612" s="24" t="str">
        <f t="shared" si="175"/>
        <v/>
      </c>
      <c r="T2612" t="str">
        <f t="shared" si="173"/>
        <v/>
      </c>
    </row>
    <row r="2613" spans="18:20">
      <c r="R2613" s="24" t="str">
        <f t="shared" si="174"/>
        <v/>
      </c>
      <c r="S2613" s="24" t="str">
        <f t="shared" si="175"/>
        <v/>
      </c>
      <c r="T2613" t="str">
        <f t="shared" si="173"/>
        <v/>
      </c>
    </row>
    <row r="2614" spans="18:20">
      <c r="R2614" s="24" t="str">
        <f t="shared" si="174"/>
        <v/>
      </c>
      <c r="S2614" s="24" t="str">
        <f t="shared" si="175"/>
        <v/>
      </c>
      <c r="T2614" t="str">
        <f t="shared" si="173"/>
        <v/>
      </c>
    </row>
    <row r="2615" spans="18:20">
      <c r="R2615" s="24" t="str">
        <f t="shared" si="174"/>
        <v/>
      </c>
      <c r="S2615" s="24" t="str">
        <f t="shared" si="175"/>
        <v/>
      </c>
      <c r="T2615" t="str">
        <f t="shared" si="173"/>
        <v/>
      </c>
    </row>
    <row r="2616" spans="18:20">
      <c r="R2616" s="24" t="str">
        <f t="shared" si="174"/>
        <v/>
      </c>
      <c r="S2616" s="24" t="str">
        <f t="shared" si="175"/>
        <v/>
      </c>
      <c r="T2616" t="str">
        <f t="shared" si="173"/>
        <v/>
      </c>
    </row>
    <row r="2617" spans="18:20">
      <c r="R2617" s="24" t="str">
        <f t="shared" si="174"/>
        <v/>
      </c>
      <c r="S2617" s="24" t="str">
        <f t="shared" si="175"/>
        <v/>
      </c>
      <c r="T2617" t="str">
        <f t="shared" si="173"/>
        <v/>
      </c>
    </row>
    <row r="2618" spans="18:20">
      <c r="R2618" s="24" t="str">
        <f t="shared" si="174"/>
        <v/>
      </c>
      <c r="S2618" s="24" t="str">
        <f t="shared" si="175"/>
        <v/>
      </c>
      <c r="T2618" t="str">
        <f t="shared" si="173"/>
        <v/>
      </c>
    </row>
    <row r="2619" spans="18:20">
      <c r="R2619" s="24" t="str">
        <f t="shared" si="174"/>
        <v/>
      </c>
      <c r="S2619" s="24" t="str">
        <f t="shared" si="175"/>
        <v/>
      </c>
      <c r="T2619" t="str">
        <f t="shared" si="173"/>
        <v/>
      </c>
    </row>
    <row r="2620" spans="18:20">
      <c r="R2620" s="24" t="str">
        <f t="shared" si="174"/>
        <v/>
      </c>
      <c r="S2620" s="24" t="str">
        <f t="shared" si="175"/>
        <v/>
      </c>
      <c r="T2620" t="str">
        <f t="shared" si="173"/>
        <v/>
      </c>
    </row>
    <row r="2621" spans="18:20">
      <c r="R2621" s="24" t="str">
        <f t="shared" si="174"/>
        <v/>
      </c>
      <c r="S2621" s="24" t="str">
        <f t="shared" si="175"/>
        <v/>
      </c>
      <c r="T2621" t="str">
        <f t="shared" si="173"/>
        <v/>
      </c>
    </row>
    <row r="2622" spans="18:20">
      <c r="R2622" s="24" t="str">
        <f t="shared" si="174"/>
        <v/>
      </c>
      <c r="S2622" s="24" t="str">
        <f t="shared" si="175"/>
        <v/>
      </c>
      <c r="T2622" t="str">
        <f t="shared" si="173"/>
        <v/>
      </c>
    </row>
    <row r="2623" spans="18:20">
      <c r="R2623" s="24" t="str">
        <f t="shared" si="174"/>
        <v/>
      </c>
      <c r="S2623" s="24" t="str">
        <f t="shared" si="175"/>
        <v/>
      </c>
      <c r="T2623" t="str">
        <f t="shared" si="173"/>
        <v/>
      </c>
    </row>
    <row r="2624" spans="18:20">
      <c r="R2624" s="24" t="str">
        <f t="shared" si="174"/>
        <v/>
      </c>
      <c r="S2624" s="24" t="str">
        <f t="shared" si="175"/>
        <v/>
      </c>
      <c r="T2624" t="str">
        <f t="shared" si="173"/>
        <v/>
      </c>
    </row>
    <row r="2625" spans="18:20">
      <c r="R2625" s="24" t="str">
        <f t="shared" si="174"/>
        <v/>
      </c>
      <c r="S2625" s="24" t="str">
        <f t="shared" si="175"/>
        <v/>
      </c>
      <c r="T2625" t="str">
        <f t="shared" si="173"/>
        <v/>
      </c>
    </row>
    <row r="2626" spans="18:20">
      <c r="R2626" s="24" t="str">
        <f t="shared" si="174"/>
        <v/>
      </c>
      <c r="S2626" s="24" t="str">
        <f t="shared" si="175"/>
        <v/>
      </c>
      <c r="T2626" t="str">
        <f t="shared" si="173"/>
        <v/>
      </c>
    </row>
    <row r="2627" spans="18:20">
      <c r="R2627" s="24" t="str">
        <f t="shared" si="174"/>
        <v/>
      </c>
      <c r="S2627" s="24" t="str">
        <f t="shared" si="175"/>
        <v/>
      </c>
      <c r="T2627" t="str">
        <f t="shared" si="173"/>
        <v/>
      </c>
    </row>
    <row r="2628" spans="18:20">
      <c r="R2628" s="24" t="str">
        <f t="shared" si="174"/>
        <v/>
      </c>
      <c r="S2628" s="24" t="str">
        <f t="shared" si="175"/>
        <v/>
      </c>
      <c r="T2628" t="str">
        <f t="shared" si="173"/>
        <v/>
      </c>
    </row>
    <row r="2629" spans="18:20">
      <c r="R2629" s="24" t="str">
        <f t="shared" si="174"/>
        <v/>
      </c>
      <c r="S2629" s="24" t="str">
        <f t="shared" si="175"/>
        <v/>
      </c>
      <c r="T2629" t="str">
        <f t="shared" si="173"/>
        <v/>
      </c>
    </row>
    <row r="2630" spans="18:20">
      <c r="R2630" s="24" t="str">
        <f t="shared" si="174"/>
        <v/>
      </c>
      <c r="S2630" s="24" t="str">
        <f t="shared" si="175"/>
        <v/>
      </c>
      <c r="T2630" t="str">
        <f t="shared" si="173"/>
        <v/>
      </c>
    </row>
    <row r="2631" spans="18:20">
      <c r="R2631" s="24" t="str">
        <f t="shared" si="174"/>
        <v/>
      </c>
      <c r="S2631" s="24" t="str">
        <f t="shared" si="175"/>
        <v/>
      </c>
      <c r="T2631" t="str">
        <f t="shared" si="173"/>
        <v/>
      </c>
    </row>
    <row r="2632" spans="18:20">
      <c r="R2632" s="24" t="str">
        <f t="shared" si="174"/>
        <v/>
      </c>
      <c r="S2632" s="24" t="str">
        <f t="shared" si="175"/>
        <v/>
      </c>
      <c r="T2632" t="str">
        <f t="shared" si="173"/>
        <v/>
      </c>
    </row>
    <row r="2633" spans="18:20">
      <c r="R2633" s="24" t="str">
        <f t="shared" si="174"/>
        <v/>
      </c>
      <c r="S2633" s="24" t="str">
        <f t="shared" si="175"/>
        <v/>
      </c>
      <c r="T2633" t="str">
        <f t="shared" si="173"/>
        <v/>
      </c>
    </row>
    <row r="2634" spans="18:20">
      <c r="R2634" s="24" t="str">
        <f t="shared" si="174"/>
        <v/>
      </c>
      <c r="S2634" s="24" t="str">
        <f t="shared" si="175"/>
        <v/>
      </c>
      <c r="T2634" t="str">
        <f t="shared" si="173"/>
        <v/>
      </c>
    </row>
    <row r="2635" spans="18:20">
      <c r="R2635" s="24" t="str">
        <f t="shared" si="174"/>
        <v/>
      </c>
      <c r="S2635" s="24" t="str">
        <f t="shared" si="175"/>
        <v/>
      </c>
      <c r="T2635" t="str">
        <f t="shared" si="173"/>
        <v/>
      </c>
    </row>
    <row r="2636" spans="18:20">
      <c r="R2636" s="24" t="str">
        <f t="shared" si="174"/>
        <v/>
      </c>
      <c r="S2636" s="24" t="str">
        <f t="shared" si="175"/>
        <v/>
      </c>
      <c r="T2636" t="str">
        <f t="shared" si="173"/>
        <v/>
      </c>
    </row>
    <row r="2637" spans="18:20">
      <c r="R2637" s="24" t="str">
        <f t="shared" si="174"/>
        <v/>
      </c>
      <c r="S2637" s="24" t="str">
        <f t="shared" si="175"/>
        <v/>
      </c>
      <c r="T2637" t="str">
        <f t="shared" si="173"/>
        <v/>
      </c>
    </row>
    <row r="2638" spans="18:20">
      <c r="R2638" s="24" t="str">
        <f t="shared" si="174"/>
        <v/>
      </c>
      <c r="S2638" s="24" t="str">
        <f t="shared" si="175"/>
        <v/>
      </c>
      <c r="T2638" t="str">
        <f t="shared" si="173"/>
        <v/>
      </c>
    </row>
    <row r="2639" spans="18:20">
      <c r="R2639" s="24" t="str">
        <f t="shared" si="174"/>
        <v/>
      </c>
      <c r="S2639" s="24" t="str">
        <f t="shared" si="175"/>
        <v/>
      </c>
      <c r="T2639" t="str">
        <f t="shared" ref="T2639:T2702" si="176">IF(OR(C2639="",I2639&lt;&gt;"ENTRADA"),"",TEXT(B2639,"AAMMDD")&amp;"-"&amp;TEXT(VALUE(SUBSTITUTE(A2639,"MOV-","")),"000"))</f>
        <v/>
      </c>
    </row>
    <row r="2640" spans="18:20">
      <c r="R2640" s="24" t="str">
        <f t="shared" ref="R2640:R2703" si="177">IF(H2640="","",H2640&amp;I2640)</f>
        <v/>
      </c>
      <c r="S2640" s="24" t="str">
        <f t="shared" ref="S2640:S2703" si="178">IF(C2640="","",C2640&amp;I2640)</f>
        <v/>
      </c>
      <c r="T2640" t="str">
        <f t="shared" si="176"/>
        <v/>
      </c>
    </row>
    <row r="2641" spans="18:20">
      <c r="R2641" s="24" t="str">
        <f t="shared" si="177"/>
        <v/>
      </c>
      <c r="S2641" s="24" t="str">
        <f t="shared" si="178"/>
        <v/>
      </c>
      <c r="T2641" t="str">
        <f t="shared" si="176"/>
        <v/>
      </c>
    </row>
    <row r="2642" spans="18:20">
      <c r="R2642" s="24" t="str">
        <f t="shared" si="177"/>
        <v/>
      </c>
      <c r="S2642" s="24" t="str">
        <f t="shared" si="178"/>
        <v/>
      </c>
      <c r="T2642" t="str">
        <f t="shared" si="176"/>
        <v/>
      </c>
    </row>
    <row r="2643" spans="18:20">
      <c r="R2643" s="24" t="str">
        <f t="shared" si="177"/>
        <v/>
      </c>
      <c r="S2643" s="24" t="str">
        <f t="shared" si="178"/>
        <v/>
      </c>
      <c r="T2643" t="str">
        <f t="shared" si="176"/>
        <v/>
      </c>
    </row>
    <row r="2644" spans="18:20">
      <c r="R2644" s="24" t="str">
        <f t="shared" si="177"/>
        <v/>
      </c>
      <c r="S2644" s="24" t="str">
        <f t="shared" si="178"/>
        <v/>
      </c>
      <c r="T2644" t="str">
        <f t="shared" si="176"/>
        <v/>
      </c>
    </row>
    <row r="2645" spans="18:20">
      <c r="R2645" s="24" t="str">
        <f t="shared" si="177"/>
        <v/>
      </c>
      <c r="S2645" s="24" t="str">
        <f t="shared" si="178"/>
        <v/>
      </c>
      <c r="T2645" t="str">
        <f t="shared" si="176"/>
        <v/>
      </c>
    </row>
    <row r="2646" spans="18:20">
      <c r="R2646" s="24" t="str">
        <f t="shared" si="177"/>
        <v/>
      </c>
      <c r="S2646" s="24" t="str">
        <f t="shared" si="178"/>
        <v/>
      </c>
      <c r="T2646" t="str">
        <f t="shared" si="176"/>
        <v/>
      </c>
    </row>
    <row r="2647" spans="18:20">
      <c r="R2647" s="24" t="str">
        <f t="shared" si="177"/>
        <v/>
      </c>
      <c r="S2647" s="24" t="str">
        <f t="shared" si="178"/>
        <v/>
      </c>
      <c r="T2647" t="str">
        <f t="shared" si="176"/>
        <v/>
      </c>
    </row>
    <row r="2648" spans="18:20">
      <c r="R2648" s="24" t="str">
        <f t="shared" si="177"/>
        <v/>
      </c>
      <c r="S2648" s="24" t="str">
        <f t="shared" si="178"/>
        <v/>
      </c>
      <c r="T2648" t="str">
        <f t="shared" si="176"/>
        <v/>
      </c>
    </row>
    <row r="2649" spans="18:20">
      <c r="R2649" s="24" t="str">
        <f t="shared" si="177"/>
        <v/>
      </c>
      <c r="S2649" s="24" t="str">
        <f t="shared" si="178"/>
        <v/>
      </c>
      <c r="T2649" t="str">
        <f t="shared" si="176"/>
        <v/>
      </c>
    </row>
    <row r="2650" spans="18:20">
      <c r="R2650" s="24" t="str">
        <f t="shared" si="177"/>
        <v/>
      </c>
      <c r="S2650" s="24" t="str">
        <f t="shared" si="178"/>
        <v/>
      </c>
      <c r="T2650" t="str">
        <f t="shared" si="176"/>
        <v/>
      </c>
    </row>
    <row r="2651" spans="18:20">
      <c r="R2651" s="24" t="str">
        <f t="shared" si="177"/>
        <v/>
      </c>
      <c r="S2651" s="24" t="str">
        <f t="shared" si="178"/>
        <v/>
      </c>
      <c r="T2651" t="str">
        <f t="shared" si="176"/>
        <v/>
      </c>
    </row>
    <row r="2652" spans="18:20">
      <c r="R2652" s="24" t="str">
        <f t="shared" si="177"/>
        <v/>
      </c>
      <c r="S2652" s="24" t="str">
        <f t="shared" si="178"/>
        <v/>
      </c>
      <c r="T2652" t="str">
        <f t="shared" si="176"/>
        <v/>
      </c>
    </row>
    <row r="2653" spans="18:20">
      <c r="R2653" s="24" t="str">
        <f t="shared" si="177"/>
        <v/>
      </c>
      <c r="S2653" s="24" t="str">
        <f t="shared" si="178"/>
        <v/>
      </c>
      <c r="T2653" t="str">
        <f t="shared" si="176"/>
        <v/>
      </c>
    </row>
    <row r="2654" spans="18:20">
      <c r="R2654" s="24" t="str">
        <f t="shared" si="177"/>
        <v/>
      </c>
      <c r="S2654" s="24" t="str">
        <f t="shared" si="178"/>
        <v/>
      </c>
      <c r="T2654" t="str">
        <f t="shared" si="176"/>
        <v/>
      </c>
    </row>
    <row r="2655" spans="18:20">
      <c r="R2655" s="24" t="str">
        <f t="shared" si="177"/>
        <v/>
      </c>
      <c r="S2655" s="24" t="str">
        <f t="shared" si="178"/>
        <v/>
      </c>
      <c r="T2655" t="str">
        <f t="shared" si="176"/>
        <v/>
      </c>
    </row>
    <row r="2656" spans="18:20">
      <c r="R2656" s="24" t="str">
        <f t="shared" si="177"/>
        <v/>
      </c>
      <c r="S2656" s="24" t="str">
        <f t="shared" si="178"/>
        <v/>
      </c>
      <c r="T2656" t="str">
        <f t="shared" si="176"/>
        <v/>
      </c>
    </row>
    <row r="2657" spans="18:20">
      <c r="R2657" s="24" t="str">
        <f t="shared" si="177"/>
        <v/>
      </c>
      <c r="S2657" s="24" t="str">
        <f t="shared" si="178"/>
        <v/>
      </c>
      <c r="T2657" t="str">
        <f t="shared" si="176"/>
        <v/>
      </c>
    </row>
    <row r="2658" spans="18:20">
      <c r="R2658" s="24" t="str">
        <f t="shared" si="177"/>
        <v/>
      </c>
      <c r="S2658" s="24" t="str">
        <f t="shared" si="178"/>
        <v/>
      </c>
      <c r="T2658" t="str">
        <f t="shared" si="176"/>
        <v/>
      </c>
    </row>
    <row r="2659" spans="18:20">
      <c r="R2659" s="24" t="str">
        <f t="shared" si="177"/>
        <v/>
      </c>
      <c r="S2659" s="24" t="str">
        <f t="shared" si="178"/>
        <v/>
      </c>
      <c r="T2659" t="str">
        <f t="shared" si="176"/>
        <v/>
      </c>
    </row>
    <row r="2660" spans="18:20">
      <c r="R2660" s="24" t="str">
        <f t="shared" si="177"/>
        <v/>
      </c>
      <c r="S2660" s="24" t="str">
        <f t="shared" si="178"/>
        <v/>
      </c>
      <c r="T2660" t="str">
        <f t="shared" si="176"/>
        <v/>
      </c>
    </row>
    <row r="2661" spans="18:20">
      <c r="R2661" s="24" t="str">
        <f t="shared" si="177"/>
        <v/>
      </c>
      <c r="S2661" s="24" t="str">
        <f t="shared" si="178"/>
        <v/>
      </c>
      <c r="T2661" t="str">
        <f t="shared" si="176"/>
        <v/>
      </c>
    </row>
    <row r="2662" spans="18:20">
      <c r="R2662" s="24" t="str">
        <f t="shared" si="177"/>
        <v/>
      </c>
      <c r="S2662" s="24" t="str">
        <f t="shared" si="178"/>
        <v/>
      </c>
      <c r="T2662" t="str">
        <f t="shared" si="176"/>
        <v/>
      </c>
    </row>
    <row r="2663" spans="18:20">
      <c r="R2663" s="24" t="str">
        <f t="shared" si="177"/>
        <v/>
      </c>
      <c r="S2663" s="24" t="str">
        <f t="shared" si="178"/>
        <v/>
      </c>
      <c r="T2663" t="str">
        <f t="shared" si="176"/>
        <v/>
      </c>
    </row>
    <row r="2664" spans="18:20">
      <c r="R2664" s="24" t="str">
        <f t="shared" si="177"/>
        <v/>
      </c>
      <c r="S2664" s="24" t="str">
        <f t="shared" si="178"/>
        <v/>
      </c>
      <c r="T2664" t="str">
        <f t="shared" si="176"/>
        <v/>
      </c>
    </row>
    <row r="2665" spans="18:20">
      <c r="R2665" s="24" t="str">
        <f t="shared" si="177"/>
        <v/>
      </c>
      <c r="S2665" s="24" t="str">
        <f t="shared" si="178"/>
        <v/>
      </c>
      <c r="T2665" t="str">
        <f t="shared" si="176"/>
        <v/>
      </c>
    </row>
    <row r="2666" spans="18:20">
      <c r="R2666" s="24" t="str">
        <f t="shared" si="177"/>
        <v/>
      </c>
      <c r="S2666" s="24" t="str">
        <f t="shared" si="178"/>
        <v/>
      </c>
      <c r="T2666" t="str">
        <f t="shared" si="176"/>
        <v/>
      </c>
    </row>
    <row r="2667" spans="18:20">
      <c r="R2667" s="24" t="str">
        <f t="shared" si="177"/>
        <v/>
      </c>
      <c r="S2667" s="24" t="str">
        <f t="shared" si="178"/>
        <v/>
      </c>
      <c r="T2667" t="str">
        <f t="shared" si="176"/>
        <v/>
      </c>
    </row>
    <row r="2668" spans="18:20">
      <c r="R2668" s="24" t="str">
        <f t="shared" si="177"/>
        <v/>
      </c>
      <c r="S2668" s="24" t="str">
        <f t="shared" si="178"/>
        <v/>
      </c>
      <c r="T2668" t="str">
        <f t="shared" si="176"/>
        <v/>
      </c>
    </row>
    <row r="2669" spans="18:20">
      <c r="R2669" s="24" t="str">
        <f t="shared" si="177"/>
        <v/>
      </c>
      <c r="S2669" s="24" t="str">
        <f t="shared" si="178"/>
        <v/>
      </c>
      <c r="T2669" t="str">
        <f t="shared" si="176"/>
        <v/>
      </c>
    </row>
    <row r="2670" spans="18:20">
      <c r="R2670" s="24" t="str">
        <f t="shared" si="177"/>
        <v/>
      </c>
      <c r="S2670" s="24" t="str">
        <f t="shared" si="178"/>
        <v/>
      </c>
      <c r="T2670" t="str">
        <f t="shared" si="176"/>
        <v/>
      </c>
    </row>
    <row r="2671" spans="18:20">
      <c r="R2671" s="24" t="str">
        <f t="shared" si="177"/>
        <v/>
      </c>
      <c r="S2671" s="24" t="str">
        <f t="shared" si="178"/>
        <v/>
      </c>
      <c r="T2671" t="str">
        <f t="shared" si="176"/>
        <v/>
      </c>
    </row>
    <row r="2672" spans="18:20">
      <c r="R2672" s="24" t="str">
        <f t="shared" si="177"/>
        <v/>
      </c>
      <c r="S2672" s="24" t="str">
        <f t="shared" si="178"/>
        <v/>
      </c>
      <c r="T2672" t="str">
        <f t="shared" si="176"/>
        <v/>
      </c>
    </row>
    <row r="2673" spans="18:20">
      <c r="R2673" s="24" t="str">
        <f t="shared" si="177"/>
        <v/>
      </c>
      <c r="S2673" s="24" t="str">
        <f t="shared" si="178"/>
        <v/>
      </c>
      <c r="T2673" t="str">
        <f t="shared" si="176"/>
        <v/>
      </c>
    </row>
    <row r="2674" spans="18:20">
      <c r="R2674" s="24" t="str">
        <f t="shared" si="177"/>
        <v/>
      </c>
      <c r="S2674" s="24" t="str">
        <f t="shared" si="178"/>
        <v/>
      </c>
      <c r="T2674" t="str">
        <f t="shared" si="176"/>
        <v/>
      </c>
    </row>
    <row r="2675" spans="18:20">
      <c r="R2675" s="24" t="str">
        <f t="shared" si="177"/>
        <v/>
      </c>
      <c r="S2675" s="24" t="str">
        <f t="shared" si="178"/>
        <v/>
      </c>
      <c r="T2675" t="str">
        <f t="shared" si="176"/>
        <v/>
      </c>
    </row>
    <row r="2676" spans="18:20">
      <c r="R2676" s="24" t="str">
        <f t="shared" si="177"/>
        <v/>
      </c>
      <c r="S2676" s="24" t="str">
        <f t="shared" si="178"/>
        <v/>
      </c>
      <c r="T2676" t="str">
        <f t="shared" si="176"/>
        <v/>
      </c>
    </row>
    <row r="2677" spans="18:20">
      <c r="R2677" s="24" t="str">
        <f t="shared" si="177"/>
        <v/>
      </c>
      <c r="S2677" s="24" t="str">
        <f t="shared" si="178"/>
        <v/>
      </c>
      <c r="T2677" t="str">
        <f t="shared" si="176"/>
        <v/>
      </c>
    </row>
    <row r="2678" spans="18:20">
      <c r="R2678" s="24" t="str">
        <f t="shared" si="177"/>
        <v/>
      </c>
      <c r="S2678" s="24" t="str">
        <f t="shared" si="178"/>
        <v/>
      </c>
      <c r="T2678" t="str">
        <f t="shared" si="176"/>
        <v/>
      </c>
    </row>
    <row r="2679" spans="18:20">
      <c r="R2679" s="24" t="str">
        <f t="shared" si="177"/>
        <v/>
      </c>
      <c r="S2679" s="24" t="str">
        <f t="shared" si="178"/>
        <v/>
      </c>
      <c r="T2679" t="str">
        <f t="shared" si="176"/>
        <v/>
      </c>
    </row>
    <row r="2680" spans="18:20">
      <c r="R2680" s="24" t="str">
        <f t="shared" si="177"/>
        <v/>
      </c>
      <c r="S2680" s="24" t="str">
        <f t="shared" si="178"/>
        <v/>
      </c>
      <c r="T2680" t="str">
        <f t="shared" si="176"/>
        <v/>
      </c>
    </row>
    <row r="2681" spans="18:20">
      <c r="R2681" s="24" t="str">
        <f t="shared" si="177"/>
        <v/>
      </c>
      <c r="S2681" s="24" t="str">
        <f t="shared" si="178"/>
        <v/>
      </c>
      <c r="T2681" t="str">
        <f t="shared" si="176"/>
        <v/>
      </c>
    </row>
    <row r="2682" spans="18:20">
      <c r="R2682" s="24" t="str">
        <f t="shared" si="177"/>
        <v/>
      </c>
      <c r="S2682" s="24" t="str">
        <f t="shared" si="178"/>
        <v/>
      </c>
      <c r="T2682" t="str">
        <f t="shared" si="176"/>
        <v/>
      </c>
    </row>
    <row r="2683" spans="18:20">
      <c r="R2683" s="24" t="str">
        <f t="shared" si="177"/>
        <v/>
      </c>
      <c r="S2683" s="24" t="str">
        <f t="shared" si="178"/>
        <v/>
      </c>
      <c r="T2683" t="str">
        <f t="shared" si="176"/>
        <v/>
      </c>
    </row>
    <row r="2684" spans="18:20">
      <c r="R2684" s="24" t="str">
        <f t="shared" si="177"/>
        <v/>
      </c>
      <c r="S2684" s="24" t="str">
        <f t="shared" si="178"/>
        <v/>
      </c>
      <c r="T2684" t="str">
        <f t="shared" si="176"/>
        <v/>
      </c>
    </row>
    <row r="2685" spans="18:20">
      <c r="R2685" s="24" t="str">
        <f t="shared" si="177"/>
        <v/>
      </c>
      <c r="S2685" s="24" t="str">
        <f t="shared" si="178"/>
        <v/>
      </c>
      <c r="T2685" t="str">
        <f t="shared" si="176"/>
        <v/>
      </c>
    </row>
    <row r="2686" spans="18:20">
      <c r="R2686" s="24" t="str">
        <f t="shared" si="177"/>
        <v/>
      </c>
      <c r="S2686" s="24" t="str">
        <f t="shared" si="178"/>
        <v/>
      </c>
      <c r="T2686" t="str">
        <f t="shared" si="176"/>
        <v/>
      </c>
    </row>
    <row r="2687" spans="18:20">
      <c r="R2687" s="24" t="str">
        <f t="shared" si="177"/>
        <v/>
      </c>
      <c r="S2687" s="24" t="str">
        <f t="shared" si="178"/>
        <v/>
      </c>
      <c r="T2687" t="str">
        <f t="shared" si="176"/>
        <v/>
      </c>
    </row>
    <row r="2688" spans="18:20">
      <c r="R2688" s="24" t="str">
        <f t="shared" si="177"/>
        <v/>
      </c>
      <c r="S2688" s="24" t="str">
        <f t="shared" si="178"/>
        <v/>
      </c>
      <c r="T2688" t="str">
        <f t="shared" si="176"/>
        <v/>
      </c>
    </row>
    <row r="2689" spans="18:20">
      <c r="R2689" s="24" t="str">
        <f t="shared" si="177"/>
        <v/>
      </c>
      <c r="S2689" s="24" t="str">
        <f t="shared" si="178"/>
        <v/>
      </c>
      <c r="T2689" t="str">
        <f t="shared" si="176"/>
        <v/>
      </c>
    </row>
    <row r="2690" spans="18:20">
      <c r="R2690" s="24" t="str">
        <f t="shared" si="177"/>
        <v/>
      </c>
      <c r="S2690" s="24" t="str">
        <f t="shared" si="178"/>
        <v/>
      </c>
      <c r="T2690" t="str">
        <f t="shared" si="176"/>
        <v/>
      </c>
    </row>
    <row r="2691" spans="18:20">
      <c r="R2691" s="24" t="str">
        <f t="shared" si="177"/>
        <v/>
      </c>
      <c r="S2691" s="24" t="str">
        <f t="shared" si="178"/>
        <v/>
      </c>
      <c r="T2691" t="str">
        <f t="shared" si="176"/>
        <v/>
      </c>
    </row>
    <row r="2692" spans="18:20">
      <c r="R2692" s="24" t="str">
        <f t="shared" si="177"/>
        <v/>
      </c>
      <c r="S2692" s="24" t="str">
        <f t="shared" si="178"/>
        <v/>
      </c>
      <c r="T2692" t="str">
        <f t="shared" si="176"/>
        <v/>
      </c>
    </row>
    <row r="2693" spans="18:20">
      <c r="R2693" s="24" t="str">
        <f t="shared" si="177"/>
        <v/>
      </c>
      <c r="S2693" s="24" t="str">
        <f t="shared" si="178"/>
        <v/>
      </c>
      <c r="T2693" t="str">
        <f t="shared" si="176"/>
        <v/>
      </c>
    </row>
    <row r="2694" spans="18:20">
      <c r="R2694" s="24" t="str">
        <f t="shared" si="177"/>
        <v/>
      </c>
      <c r="S2694" s="24" t="str">
        <f t="shared" si="178"/>
        <v/>
      </c>
      <c r="T2694" t="str">
        <f t="shared" si="176"/>
        <v/>
      </c>
    </row>
    <row r="2695" spans="18:20">
      <c r="R2695" s="24" t="str">
        <f t="shared" si="177"/>
        <v/>
      </c>
      <c r="S2695" s="24" t="str">
        <f t="shared" si="178"/>
        <v/>
      </c>
      <c r="T2695" t="str">
        <f t="shared" si="176"/>
        <v/>
      </c>
    </row>
    <row r="2696" spans="18:20">
      <c r="R2696" s="24" t="str">
        <f t="shared" si="177"/>
        <v/>
      </c>
      <c r="S2696" s="24" t="str">
        <f t="shared" si="178"/>
        <v/>
      </c>
      <c r="T2696" t="str">
        <f t="shared" si="176"/>
        <v/>
      </c>
    </row>
    <row r="2697" spans="18:20">
      <c r="R2697" s="24" t="str">
        <f t="shared" si="177"/>
        <v/>
      </c>
      <c r="S2697" s="24" t="str">
        <f t="shared" si="178"/>
        <v/>
      </c>
      <c r="T2697" t="str">
        <f t="shared" si="176"/>
        <v/>
      </c>
    </row>
    <row r="2698" spans="18:20">
      <c r="R2698" s="24" t="str">
        <f t="shared" si="177"/>
        <v/>
      </c>
      <c r="S2698" s="24" t="str">
        <f t="shared" si="178"/>
        <v/>
      </c>
      <c r="T2698" t="str">
        <f t="shared" si="176"/>
        <v/>
      </c>
    </row>
    <row r="2699" spans="18:20">
      <c r="R2699" s="24" t="str">
        <f t="shared" si="177"/>
        <v/>
      </c>
      <c r="S2699" s="24" t="str">
        <f t="shared" si="178"/>
        <v/>
      </c>
      <c r="T2699" t="str">
        <f t="shared" si="176"/>
        <v/>
      </c>
    </row>
    <row r="2700" spans="18:20">
      <c r="R2700" s="24" t="str">
        <f t="shared" si="177"/>
        <v/>
      </c>
      <c r="S2700" s="24" t="str">
        <f t="shared" si="178"/>
        <v/>
      </c>
      <c r="T2700" t="str">
        <f t="shared" si="176"/>
        <v/>
      </c>
    </row>
    <row r="2701" spans="18:20">
      <c r="R2701" s="24" t="str">
        <f t="shared" si="177"/>
        <v/>
      </c>
      <c r="S2701" s="24" t="str">
        <f t="shared" si="178"/>
        <v/>
      </c>
      <c r="T2701" t="str">
        <f t="shared" si="176"/>
        <v/>
      </c>
    </row>
    <row r="2702" spans="18:20">
      <c r="R2702" s="24" t="str">
        <f t="shared" si="177"/>
        <v/>
      </c>
      <c r="S2702" s="24" t="str">
        <f t="shared" si="178"/>
        <v/>
      </c>
      <c r="T2702" t="str">
        <f t="shared" si="176"/>
        <v/>
      </c>
    </row>
    <row r="2703" spans="18:20">
      <c r="R2703" s="24" t="str">
        <f t="shared" si="177"/>
        <v/>
      </c>
      <c r="S2703" s="24" t="str">
        <f t="shared" si="178"/>
        <v/>
      </c>
      <c r="T2703" t="str">
        <f t="shared" ref="T2703:T2766" si="179">IF(OR(C2703="",I2703&lt;&gt;"ENTRADA"),"",TEXT(B2703,"AAMMDD")&amp;"-"&amp;TEXT(VALUE(SUBSTITUTE(A2703,"MOV-","")),"000"))</f>
        <v/>
      </c>
    </row>
    <row r="2704" spans="18:20">
      <c r="R2704" s="24" t="str">
        <f t="shared" ref="R2704:R2767" si="180">IF(H2704="","",H2704&amp;I2704)</f>
        <v/>
      </c>
      <c r="S2704" s="24" t="str">
        <f t="shared" ref="S2704:S2767" si="181">IF(C2704="","",C2704&amp;I2704)</f>
        <v/>
      </c>
      <c r="T2704" t="str">
        <f t="shared" si="179"/>
        <v/>
      </c>
    </row>
    <row r="2705" spans="18:20">
      <c r="R2705" s="24" t="str">
        <f t="shared" si="180"/>
        <v/>
      </c>
      <c r="S2705" s="24" t="str">
        <f t="shared" si="181"/>
        <v/>
      </c>
      <c r="T2705" t="str">
        <f t="shared" si="179"/>
        <v/>
      </c>
    </row>
    <row r="2706" spans="18:20">
      <c r="R2706" s="24" t="str">
        <f t="shared" si="180"/>
        <v/>
      </c>
      <c r="S2706" s="24" t="str">
        <f t="shared" si="181"/>
        <v/>
      </c>
      <c r="T2706" t="str">
        <f t="shared" si="179"/>
        <v/>
      </c>
    </row>
    <row r="2707" spans="18:20">
      <c r="R2707" s="24" t="str">
        <f t="shared" si="180"/>
        <v/>
      </c>
      <c r="S2707" s="24" t="str">
        <f t="shared" si="181"/>
        <v/>
      </c>
      <c r="T2707" t="str">
        <f t="shared" si="179"/>
        <v/>
      </c>
    </row>
    <row r="2708" spans="18:20">
      <c r="R2708" s="24" t="str">
        <f t="shared" si="180"/>
        <v/>
      </c>
      <c r="S2708" s="24" t="str">
        <f t="shared" si="181"/>
        <v/>
      </c>
      <c r="T2708" t="str">
        <f t="shared" si="179"/>
        <v/>
      </c>
    </row>
    <row r="2709" spans="18:20">
      <c r="R2709" s="24" t="str">
        <f t="shared" si="180"/>
        <v/>
      </c>
      <c r="S2709" s="24" t="str">
        <f t="shared" si="181"/>
        <v/>
      </c>
      <c r="T2709" t="str">
        <f t="shared" si="179"/>
        <v/>
      </c>
    </row>
    <row r="2710" spans="18:20">
      <c r="R2710" s="24" t="str">
        <f t="shared" si="180"/>
        <v/>
      </c>
      <c r="S2710" s="24" t="str">
        <f t="shared" si="181"/>
        <v/>
      </c>
      <c r="T2710" t="str">
        <f t="shared" si="179"/>
        <v/>
      </c>
    </row>
    <row r="2711" spans="18:20">
      <c r="R2711" s="24" t="str">
        <f t="shared" si="180"/>
        <v/>
      </c>
      <c r="S2711" s="24" t="str">
        <f t="shared" si="181"/>
        <v/>
      </c>
      <c r="T2711" t="str">
        <f t="shared" si="179"/>
        <v/>
      </c>
    </row>
    <row r="2712" spans="18:20">
      <c r="R2712" s="24" t="str">
        <f t="shared" si="180"/>
        <v/>
      </c>
      <c r="S2712" s="24" t="str">
        <f t="shared" si="181"/>
        <v/>
      </c>
      <c r="T2712" t="str">
        <f t="shared" si="179"/>
        <v/>
      </c>
    </row>
    <row r="2713" spans="18:20">
      <c r="R2713" s="24" t="str">
        <f t="shared" si="180"/>
        <v/>
      </c>
      <c r="S2713" s="24" t="str">
        <f t="shared" si="181"/>
        <v/>
      </c>
      <c r="T2713" t="str">
        <f t="shared" si="179"/>
        <v/>
      </c>
    </row>
    <row r="2714" spans="18:20">
      <c r="R2714" s="24" t="str">
        <f t="shared" si="180"/>
        <v/>
      </c>
      <c r="S2714" s="24" t="str">
        <f t="shared" si="181"/>
        <v/>
      </c>
      <c r="T2714" t="str">
        <f t="shared" si="179"/>
        <v/>
      </c>
    </row>
    <row r="2715" spans="18:20">
      <c r="R2715" s="24" t="str">
        <f t="shared" si="180"/>
        <v/>
      </c>
      <c r="S2715" s="24" t="str">
        <f t="shared" si="181"/>
        <v/>
      </c>
      <c r="T2715" t="str">
        <f t="shared" si="179"/>
        <v/>
      </c>
    </row>
    <row r="2716" spans="18:20">
      <c r="R2716" s="24" t="str">
        <f t="shared" si="180"/>
        <v/>
      </c>
      <c r="S2716" s="24" t="str">
        <f t="shared" si="181"/>
        <v/>
      </c>
      <c r="T2716" t="str">
        <f t="shared" si="179"/>
        <v/>
      </c>
    </row>
    <row r="2717" spans="18:20">
      <c r="R2717" s="24" t="str">
        <f t="shared" si="180"/>
        <v/>
      </c>
      <c r="S2717" s="24" t="str">
        <f t="shared" si="181"/>
        <v/>
      </c>
      <c r="T2717" t="str">
        <f t="shared" si="179"/>
        <v/>
      </c>
    </row>
    <row r="2718" spans="18:20">
      <c r="R2718" s="24" t="str">
        <f t="shared" si="180"/>
        <v/>
      </c>
      <c r="S2718" s="24" t="str">
        <f t="shared" si="181"/>
        <v/>
      </c>
      <c r="T2718" t="str">
        <f t="shared" si="179"/>
        <v/>
      </c>
    </row>
    <row r="2719" spans="18:20">
      <c r="R2719" s="24" t="str">
        <f t="shared" si="180"/>
        <v/>
      </c>
      <c r="S2719" s="24" t="str">
        <f t="shared" si="181"/>
        <v/>
      </c>
      <c r="T2719" t="str">
        <f t="shared" si="179"/>
        <v/>
      </c>
    </row>
    <row r="2720" spans="18:20">
      <c r="R2720" s="24" t="str">
        <f t="shared" si="180"/>
        <v/>
      </c>
      <c r="S2720" s="24" t="str">
        <f t="shared" si="181"/>
        <v/>
      </c>
      <c r="T2720" t="str">
        <f t="shared" si="179"/>
        <v/>
      </c>
    </row>
    <row r="2721" spans="18:20">
      <c r="R2721" s="24" t="str">
        <f t="shared" si="180"/>
        <v/>
      </c>
      <c r="S2721" s="24" t="str">
        <f t="shared" si="181"/>
        <v/>
      </c>
      <c r="T2721" t="str">
        <f t="shared" si="179"/>
        <v/>
      </c>
    </row>
    <row r="2722" spans="18:20">
      <c r="R2722" s="24" t="str">
        <f t="shared" si="180"/>
        <v/>
      </c>
      <c r="S2722" s="24" t="str">
        <f t="shared" si="181"/>
        <v/>
      </c>
      <c r="T2722" t="str">
        <f t="shared" si="179"/>
        <v/>
      </c>
    </row>
    <row r="2723" spans="18:20">
      <c r="R2723" s="24" t="str">
        <f t="shared" si="180"/>
        <v/>
      </c>
      <c r="S2723" s="24" t="str">
        <f t="shared" si="181"/>
        <v/>
      </c>
      <c r="T2723" t="str">
        <f t="shared" si="179"/>
        <v/>
      </c>
    </row>
    <row r="2724" spans="18:20">
      <c r="R2724" s="24" t="str">
        <f t="shared" si="180"/>
        <v/>
      </c>
      <c r="S2724" s="24" t="str">
        <f t="shared" si="181"/>
        <v/>
      </c>
      <c r="T2724" t="str">
        <f t="shared" si="179"/>
        <v/>
      </c>
    </row>
    <row r="2725" spans="18:20">
      <c r="R2725" s="24" t="str">
        <f t="shared" si="180"/>
        <v/>
      </c>
      <c r="S2725" s="24" t="str">
        <f t="shared" si="181"/>
        <v/>
      </c>
      <c r="T2725" t="str">
        <f t="shared" si="179"/>
        <v/>
      </c>
    </row>
    <row r="2726" spans="18:20">
      <c r="R2726" s="24" t="str">
        <f t="shared" si="180"/>
        <v/>
      </c>
      <c r="S2726" s="24" t="str">
        <f t="shared" si="181"/>
        <v/>
      </c>
      <c r="T2726" t="str">
        <f t="shared" si="179"/>
        <v/>
      </c>
    </row>
    <row r="2727" spans="18:20">
      <c r="R2727" s="24" t="str">
        <f t="shared" si="180"/>
        <v/>
      </c>
      <c r="S2727" s="24" t="str">
        <f t="shared" si="181"/>
        <v/>
      </c>
      <c r="T2727" t="str">
        <f t="shared" si="179"/>
        <v/>
      </c>
    </row>
    <row r="2728" spans="18:20">
      <c r="R2728" s="24" t="str">
        <f t="shared" si="180"/>
        <v/>
      </c>
      <c r="S2728" s="24" t="str">
        <f t="shared" si="181"/>
        <v/>
      </c>
      <c r="T2728" t="str">
        <f t="shared" si="179"/>
        <v/>
      </c>
    </row>
    <row r="2729" spans="18:20">
      <c r="R2729" s="24" t="str">
        <f t="shared" si="180"/>
        <v/>
      </c>
      <c r="S2729" s="24" t="str">
        <f t="shared" si="181"/>
        <v/>
      </c>
      <c r="T2729" t="str">
        <f t="shared" si="179"/>
        <v/>
      </c>
    </row>
    <row r="2730" spans="18:20">
      <c r="R2730" s="24" t="str">
        <f t="shared" si="180"/>
        <v/>
      </c>
      <c r="S2730" s="24" t="str">
        <f t="shared" si="181"/>
        <v/>
      </c>
      <c r="T2730" t="str">
        <f t="shared" si="179"/>
        <v/>
      </c>
    </row>
    <row r="2731" spans="18:20">
      <c r="R2731" s="24" t="str">
        <f t="shared" si="180"/>
        <v/>
      </c>
      <c r="S2731" s="24" t="str">
        <f t="shared" si="181"/>
        <v/>
      </c>
      <c r="T2731" t="str">
        <f t="shared" si="179"/>
        <v/>
      </c>
    </row>
    <row r="2732" spans="18:20">
      <c r="R2732" s="24" t="str">
        <f t="shared" si="180"/>
        <v/>
      </c>
      <c r="S2732" s="24" t="str">
        <f t="shared" si="181"/>
        <v/>
      </c>
      <c r="T2732" t="str">
        <f t="shared" si="179"/>
        <v/>
      </c>
    </row>
    <row r="2733" spans="18:20">
      <c r="R2733" s="24" t="str">
        <f t="shared" si="180"/>
        <v/>
      </c>
      <c r="S2733" s="24" t="str">
        <f t="shared" si="181"/>
        <v/>
      </c>
      <c r="T2733" t="str">
        <f t="shared" si="179"/>
        <v/>
      </c>
    </row>
    <row r="2734" spans="18:20">
      <c r="R2734" s="24" t="str">
        <f t="shared" si="180"/>
        <v/>
      </c>
      <c r="S2734" s="24" t="str">
        <f t="shared" si="181"/>
        <v/>
      </c>
      <c r="T2734" t="str">
        <f t="shared" si="179"/>
        <v/>
      </c>
    </row>
    <row r="2735" spans="18:20">
      <c r="R2735" s="24" t="str">
        <f t="shared" si="180"/>
        <v/>
      </c>
      <c r="S2735" s="24" t="str">
        <f t="shared" si="181"/>
        <v/>
      </c>
      <c r="T2735" t="str">
        <f t="shared" si="179"/>
        <v/>
      </c>
    </row>
    <row r="2736" spans="18:20">
      <c r="R2736" s="24" t="str">
        <f t="shared" si="180"/>
        <v/>
      </c>
      <c r="S2736" s="24" t="str">
        <f t="shared" si="181"/>
        <v/>
      </c>
      <c r="T2736" t="str">
        <f t="shared" si="179"/>
        <v/>
      </c>
    </row>
    <row r="2737" spans="18:20">
      <c r="R2737" s="24" t="str">
        <f t="shared" si="180"/>
        <v/>
      </c>
      <c r="S2737" s="24" t="str">
        <f t="shared" si="181"/>
        <v/>
      </c>
      <c r="T2737" t="str">
        <f t="shared" si="179"/>
        <v/>
      </c>
    </row>
    <row r="2738" spans="18:20">
      <c r="R2738" s="24" t="str">
        <f t="shared" si="180"/>
        <v/>
      </c>
      <c r="S2738" s="24" t="str">
        <f t="shared" si="181"/>
        <v/>
      </c>
      <c r="T2738" t="str">
        <f t="shared" si="179"/>
        <v/>
      </c>
    </row>
    <row r="2739" spans="18:20">
      <c r="R2739" s="24" t="str">
        <f t="shared" si="180"/>
        <v/>
      </c>
      <c r="S2739" s="24" t="str">
        <f t="shared" si="181"/>
        <v/>
      </c>
      <c r="T2739" t="str">
        <f t="shared" si="179"/>
        <v/>
      </c>
    </row>
    <row r="2740" spans="18:20">
      <c r="R2740" s="24" t="str">
        <f t="shared" si="180"/>
        <v/>
      </c>
      <c r="S2740" s="24" t="str">
        <f t="shared" si="181"/>
        <v/>
      </c>
      <c r="T2740" t="str">
        <f t="shared" si="179"/>
        <v/>
      </c>
    </row>
    <row r="2741" spans="18:20">
      <c r="R2741" s="24" t="str">
        <f t="shared" si="180"/>
        <v/>
      </c>
      <c r="S2741" s="24" t="str">
        <f t="shared" si="181"/>
        <v/>
      </c>
      <c r="T2741" t="str">
        <f t="shared" si="179"/>
        <v/>
      </c>
    </row>
    <row r="2742" spans="18:20">
      <c r="R2742" s="24" t="str">
        <f t="shared" si="180"/>
        <v/>
      </c>
      <c r="S2742" s="24" t="str">
        <f t="shared" si="181"/>
        <v/>
      </c>
      <c r="T2742" t="str">
        <f t="shared" si="179"/>
        <v/>
      </c>
    </row>
    <row r="2743" spans="18:20">
      <c r="R2743" s="24" t="str">
        <f t="shared" si="180"/>
        <v/>
      </c>
      <c r="S2743" s="24" t="str">
        <f t="shared" si="181"/>
        <v/>
      </c>
      <c r="T2743" t="str">
        <f t="shared" si="179"/>
        <v/>
      </c>
    </row>
    <row r="2744" spans="18:20">
      <c r="R2744" s="24" t="str">
        <f t="shared" si="180"/>
        <v/>
      </c>
      <c r="S2744" s="24" t="str">
        <f t="shared" si="181"/>
        <v/>
      </c>
      <c r="T2744" t="str">
        <f t="shared" si="179"/>
        <v/>
      </c>
    </row>
    <row r="2745" spans="18:20">
      <c r="R2745" s="24" t="str">
        <f t="shared" si="180"/>
        <v/>
      </c>
      <c r="S2745" s="24" t="str">
        <f t="shared" si="181"/>
        <v/>
      </c>
      <c r="T2745" t="str">
        <f t="shared" si="179"/>
        <v/>
      </c>
    </row>
    <row r="2746" spans="18:20">
      <c r="R2746" s="24" t="str">
        <f t="shared" si="180"/>
        <v/>
      </c>
      <c r="S2746" s="24" t="str">
        <f t="shared" si="181"/>
        <v/>
      </c>
      <c r="T2746" t="str">
        <f t="shared" si="179"/>
        <v/>
      </c>
    </row>
    <row r="2747" spans="18:20">
      <c r="R2747" s="24" t="str">
        <f t="shared" si="180"/>
        <v/>
      </c>
      <c r="S2747" s="24" t="str">
        <f t="shared" si="181"/>
        <v/>
      </c>
      <c r="T2747" t="str">
        <f t="shared" si="179"/>
        <v/>
      </c>
    </row>
    <row r="2748" spans="18:20">
      <c r="R2748" s="24" t="str">
        <f t="shared" si="180"/>
        <v/>
      </c>
      <c r="S2748" s="24" t="str">
        <f t="shared" si="181"/>
        <v/>
      </c>
      <c r="T2748" t="str">
        <f t="shared" si="179"/>
        <v/>
      </c>
    </row>
    <row r="2749" spans="18:20">
      <c r="R2749" s="24" t="str">
        <f t="shared" si="180"/>
        <v/>
      </c>
      <c r="S2749" s="24" t="str">
        <f t="shared" si="181"/>
        <v/>
      </c>
      <c r="T2749" t="str">
        <f t="shared" si="179"/>
        <v/>
      </c>
    </row>
    <row r="2750" spans="18:20">
      <c r="R2750" s="24" t="str">
        <f t="shared" si="180"/>
        <v/>
      </c>
      <c r="S2750" s="24" t="str">
        <f t="shared" si="181"/>
        <v/>
      </c>
      <c r="T2750" t="str">
        <f t="shared" si="179"/>
        <v/>
      </c>
    </row>
    <row r="2751" spans="18:20">
      <c r="R2751" s="24" t="str">
        <f t="shared" si="180"/>
        <v/>
      </c>
      <c r="S2751" s="24" t="str">
        <f t="shared" si="181"/>
        <v/>
      </c>
      <c r="T2751" t="str">
        <f t="shared" si="179"/>
        <v/>
      </c>
    </row>
    <row r="2752" spans="18:20">
      <c r="R2752" s="24" t="str">
        <f t="shared" si="180"/>
        <v/>
      </c>
      <c r="S2752" s="24" t="str">
        <f t="shared" si="181"/>
        <v/>
      </c>
      <c r="T2752" t="str">
        <f t="shared" si="179"/>
        <v/>
      </c>
    </row>
    <row r="2753" spans="18:20">
      <c r="R2753" s="24" t="str">
        <f t="shared" si="180"/>
        <v/>
      </c>
      <c r="S2753" s="24" t="str">
        <f t="shared" si="181"/>
        <v/>
      </c>
      <c r="T2753" t="str">
        <f t="shared" si="179"/>
        <v/>
      </c>
    </row>
    <row r="2754" spans="18:20">
      <c r="R2754" s="24" t="str">
        <f t="shared" si="180"/>
        <v/>
      </c>
      <c r="S2754" s="24" t="str">
        <f t="shared" si="181"/>
        <v/>
      </c>
      <c r="T2754" t="str">
        <f t="shared" si="179"/>
        <v/>
      </c>
    </row>
    <row r="2755" spans="18:20">
      <c r="R2755" s="24" t="str">
        <f t="shared" si="180"/>
        <v/>
      </c>
      <c r="S2755" s="24" t="str">
        <f t="shared" si="181"/>
        <v/>
      </c>
      <c r="T2755" t="str">
        <f t="shared" si="179"/>
        <v/>
      </c>
    </row>
    <row r="2756" spans="18:20">
      <c r="R2756" s="24" t="str">
        <f t="shared" si="180"/>
        <v/>
      </c>
      <c r="S2756" s="24" t="str">
        <f t="shared" si="181"/>
        <v/>
      </c>
      <c r="T2756" t="str">
        <f t="shared" si="179"/>
        <v/>
      </c>
    </row>
    <row r="2757" spans="18:20">
      <c r="R2757" s="24" t="str">
        <f t="shared" si="180"/>
        <v/>
      </c>
      <c r="S2757" s="24" t="str">
        <f t="shared" si="181"/>
        <v/>
      </c>
      <c r="T2757" t="str">
        <f t="shared" si="179"/>
        <v/>
      </c>
    </row>
    <row r="2758" spans="18:20">
      <c r="R2758" s="24" t="str">
        <f t="shared" si="180"/>
        <v/>
      </c>
      <c r="S2758" s="24" t="str">
        <f t="shared" si="181"/>
        <v/>
      </c>
      <c r="T2758" t="str">
        <f t="shared" si="179"/>
        <v/>
      </c>
    </row>
    <row r="2759" spans="18:20">
      <c r="R2759" s="24" t="str">
        <f t="shared" si="180"/>
        <v/>
      </c>
      <c r="S2759" s="24" t="str">
        <f t="shared" si="181"/>
        <v/>
      </c>
      <c r="T2759" t="str">
        <f t="shared" si="179"/>
        <v/>
      </c>
    </row>
    <row r="2760" spans="18:20">
      <c r="R2760" s="24" t="str">
        <f t="shared" si="180"/>
        <v/>
      </c>
      <c r="S2760" s="24" t="str">
        <f t="shared" si="181"/>
        <v/>
      </c>
      <c r="T2760" t="str">
        <f t="shared" si="179"/>
        <v/>
      </c>
    </row>
    <row r="2761" spans="18:20">
      <c r="R2761" s="24" t="str">
        <f t="shared" si="180"/>
        <v/>
      </c>
      <c r="S2761" s="24" t="str">
        <f t="shared" si="181"/>
        <v/>
      </c>
      <c r="T2761" t="str">
        <f t="shared" si="179"/>
        <v/>
      </c>
    </row>
    <row r="2762" spans="18:20">
      <c r="R2762" s="24" t="str">
        <f t="shared" si="180"/>
        <v/>
      </c>
      <c r="S2762" s="24" t="str">
        <f t="shared" si="181"/>
        <v/>
      </c>
      <c r="T2762" t="str">
        <f t="shared" si="179"/>
        <v/>
      </c>
    </row>
    <row r="2763" spans="18:20">
      <c r="R2763" s="24" t="str">
        <f t="shared" si="180"/>
        <v/>
      </c>
      <c r="S2763" s="24" t="str">
        <f t="shared" si="181"/>
        <v/>
      </c>
      <c r="T2763" t="str">
        <f t="shared" si="179"/>
        <v/>
      </c>
    </row>
    <row r="2764" spans="18:20">
      <c r="R2764" s="24" t="str">
        <f t="shared" si="180"/>
        <v/>
      </c>
      <c r="S2764" s="24" t="str">
        <f t="shared" si="181"/>
        <v/>
      </c>
      <c r="T2764" t="str">
        <f t="shared" si="179"/>
        <v/>
      </c>
    </row>
    <row r="2765" spans="18:20">
      <c r="R2765" s="24" t="str">
        <f t="shared" si="180"/>
        <v/>
      </c>
      <c r="S2765" s="24" t="str">
        <f t="shared" si="181"/>
        <v/>
      </c>
      <c r="T2765" t="str">
        <f t="shared" si="179"/>
        <v/>
      </c>
    </row>
    <row r="2766" spans="18:20">
      <c r="R2766" s="24" t="str">
        <f t="shared" si="180"/>
        <v/>
      </c>
      <c r="S2766" s="24" t="str">
        <f t="shared" si="181"/>
        <v/>
      </c>
      <c r="T2766" t="str">
        <f t="shared" si="179"/>
        <v/>
      </c>
    </row>
    <row r="2767" spans="18:20">
      <c r="R2767" s="24" t="str">
        <f t="shared" si="180"/>
        <v/>
      </c>
      <c r="S2767" s="24" t="str">
        <f t="shared" si="181"/>
        <v/>
      </c>
      <c r="T2767" t="str">
        <f t="shared" ref="T2767:T2830" si="182">IF(OR(C2767="",I2767&lt;&gt;"ENTRADA"),"",TEXT(B2767,"AAMMDD")&amp;"-"&amp;TEXT(VALUE(SUBSTITUTE(A2767,"MOV-","")),"000"))</f>
        <v/>
      </c>
    </row>
    <row r="2768" spans="18:20">
      <c r="R2768" s="24" t="str">
        <f t="shared" ref="R2768:R2831" si="183">IF(H2768="","",H2768&amp;I2768)</f>
        <v/>
      </c>
      <c r="S2768" s="24" t="str">
        <f t="shared" ref="S2768:S2831" si="184">IF(C2768="","",C2768&amp;I2768)</f>
        <v/>
      </c>
      <c r="T2768" t="str">
        <f t="shared" si="182"/>
        <v/>
      </c>
    </row>
    <row r="2769" spans="18:20">
      <c r="R2769" s="24" t="str">
        <f t="shared" si="183"/>
        <v/>
      </c>
      <c r="S2769" s="24" t="str">
        <f t="shared" si="184"/>
        <v/>
      </c>
      <c r="T2769" t="str">
        <f t="shared" si="182"/>
        <v/>
      </c>
    </row>
    <row r="2770" spans="18:20">
      <c r="R2770" s="24" t="str">
        <f t="shared" si="183"/>
        <v/>
      </c>
      <c r="S2770" s="24" t="str">
        <f t="shared" si="184"/>
        <v/>
      </c>
      <c r="T2770" t="str">
        <f t="shared" si="182"/>
        <v/>
      </c>
    </row>
    <row r="2771" spans="18:20">
      <c r="R2771" s="24" t="str">
        <f t="shared" si="183"/>
        <v/>
      </c>
      <c r="S2771" s="24" t="str">
        <f t="shared" si="184"/>
        <v/>
      </c>
      <c r="T2771" t="str">
        <f t="shared" si="182"/>
        <v/>
      </c>
    </row>
    <row r="2772" spans="18:20">
      <c r="R2772" s="24" t="str">
        <f t="shared" si="183"/>
        <v/>
      </c>
      <c r="S2772" s="24" t="str">
        <f t="shared" si="184"/>
        <v/>
      </c>
      <c r="T2772" t="str">
        <f t="shared" si="182"/>
        <v/>
      </c>
    </row>
    <row r="2773" spans="18:20">
      <c r="R2773" s="24" t="str">
        <f t="shared" si="183"/>
        <v/>
      </c>
      <c r="S2773" s="24" t="str">
        <f t="shared" si="184"/>
        <v/>
      </c>
      <c r="T2773" t="str">
        <f t="shared" si="182"/>
        <v/>
      </c>
    </row>
    <row r="2774" spans="18:20">
      <c r="R2774" s="24" t="str">
        <f t="shared" si="183"/>
        <v/>
      </c>
      <c r="S2774" s="24" t="str">
        <f t="shared" si="184"/>
        <v/>
      </c>
      <c r="T2774" t="str">
        <f t="shared" si="182"/>
        <v/>
      </c>
    </row>
    <row r="2775" spans="18:20">
      <c r="R2775" s="24" t="str">
        <f t="shared" si="183"/>
        <v/>
      </c>
      <c r="S2775" s="24" t="str">
        <f t="shared" si="184"/>
        <v/>
      </c>
      <c r="T2775" t="str">
        <f t="shared" si="182"/>
        <v/>
      </c>
    </row>
    <row r="2776" spans="18:20">
      <c r="R2776" s="24" t="str">
        <f t="shared" si="183"/>
        <v/>
      </c>
      <c r="S2776" s="24" t="str">
        <f t="shared" si="184"/>
        <v/>
      </c>
      <c r="T2776" t="str">
        <f t="shared" si="182"/>
        <v/>
      </c>
    </row>
    <row r="2777" spans="18:20">
      <c r="R2777" s="24" t="str">
        <f t="shared" si="183"/>
        <v/>
      </c>
      <c r="S2777" s="24" t="str">
        <f t="shared" si="184"/>
        <v/>
      </c>
      <c r="T2777" t="str">
        <f t="shared" si="182"/>
        <v/>
      </c>
    </row>
    <row r="2778" spans="18:20">
      <c r="R2778" s="24" t="str">
        <f t="shared" si="183"/>
        <v/>
      </c>
      <c r="S2778" s="24" t="str">
        <f t="shared" si="184"/>
        <v/>
      </c>
      <c r="T2778" t="str">
        <f t="shared" si="182"/>
        <v/>
      </c>
    </row>
    <row r="2779" spans="18:20">
      <c r="R2779" s="24" t="str">
        <f t="shared" si="183"/>
        <v/>
      </c>
      <c r="S2779" s="24" t="str">
        <f t="shared" si="184"/>
        <v/>
      </c>
      <c r="T2779" t="str">
        <f t="shared" si="182"/>
        <v/>
      </c>
    </row>
    <row r="2780" spans="18:20">
      <c r="R2780" s="24" t="str">
        <f t="shared" si="183"/>
        <v/>
      </c>
      <c r="S2780" s="24" t="str">
        <f t="shared" si="184"/>
        <v/>
      </c>
      <c r="T2780" t="str">
        <f t="shared" si="182"/>
        <v/>
      </c>
    </row>
    <row r="2781" spans="18:20">
      <c r="R2781" s="24" t="str">
        <f t="shared" si="183"/>
        <v/>
      </c>
      <c r="S2781" s="24" t="str">
        <f t="shared" si="184"/>
        <v/>
      </c>
      <c r="T2781" t="str">
        <f t="shared" si="182"/>
        <v/>
      </c>
    </row>
    <row r="2782" spans="18:20">
      <c r="R2782" s="24" t="str">
        <f t="shared" si="183"/>
        <v/>
      </c>
      <c r="S2782" s="24" t="str">
        <f t="shared" si="184"/>
        <v/>
      </c>
      <c r="T2782" t="str">
        <f t="shared" si="182"/>
        <v/>
      </c>
    </row>
    <row r="2783" spans="18:20">
      <c r="R2783" s="24" t="str">
        <f t="shared" si="183"/>
        <v/>
      </c>
      <c r="S2783" s="24" t="str">
        <f t="shared" si="184"/>
        <v/>
      </c>
      <c r="T2783" t="str">
        <f t="shared" si="182"/>
        <v/>
      </c>
    </row>
    <row r="2784" spans="18:20">
      <c r="R2784" s="24" t="str">
        <f t="shared" si="183"/>
        <v/>
      </c>
      <c r="S2784" s="24" t="str">
        <f t="shared" si="184"/>
        <v/>
      </c>
      <c r="T2784" t="str">
        <f t="shared" si="182"/>
        <v/>
      </c>
    </row>
    <row r="2785" spans="18:20">
      <c r="R2785" s="24" t="str">
        <f t="shared" si="183"/>
        <v/>
      </c>
      <c r="S2785" s="24" t="str">
        <f t="shared" si="184"/>
        <v/>
      </c>
      <c r="T2785" t="str">
        <f t="shared" si="182"/>
        <v/>
      </c>
    </row>
    <row r="2786" spans="18:20">
      <c r="R2786" s="24" t="str">
        <f t="shared" si="183"/>
        <v/>
      </c>
      <c r="S2786" s="24" t="str">
        <f t="shared" si="184"/>
        <v/>
      </c>
      <c r="T2786" t="str">
        <f t="shared" si="182"/>
        <v/>
      </c>
    </row>
    <row r="2787" spans="18:20">
      <c r="R2787" s="24" t="str">
        <f t="shared" si="183"/>
        <v/>
      </c>
      <c r="S2787" s="24" t="str">
        <f t="shared" si="184"/>
        <v/>
      </c>
      <c r="T2787" t="str">
        <f t="shared" si="182"/>
        <v/>
      </c>
    </row>
    <row r="2788" spans="18:20">
      <c r="R2788" s="24" t="str">
        <f t="shared" si="183"/>
        <v/>
      </c>
      <c r="S2788" s="24" t="str">
        <f t="shared" si="184"/>
        <v/>
      </c>
      <c r="T2788" t="str">
        <f t="shared" si="182"/>
        <v/>
      </c>
    </row>
    <row r="2789" spans="18:20">
      <c r="R2789" s="24" t="str">
        <f t="shared" si="183"/>
        <v/>
      </c>
      <c r="S2789" s="24" t="str">
        <f t="shared" si="184"/>
        <v/>
      </c>
      <c r="T2789" t="str">
        <f t="shared" si="182"/>
        <v/>
      </c>
    </row>
    <row r="2790" spans="18:20">
      <c r="R2790" s="24" t="str">
        <f t="shared" si="183"/>
        <v/>
      </c>
      <c r="S2790" s="24" t="str">
        <f t="shared" si="184"/>
        <v/>
      </c>
      <c r="T2790" t="str">
        <f t="shared" si="182"/>
        <v/>
      </c>
    </row>
    <row r="2791" spans="18:20">
      <c r="R2791" s="24" t="str">
        <f t="shared" si="183"/>
        <v/>
      </c>
      <c r="S2791" s="24" t="str">
        <f t="shared" si="184"/>
        <v/>
      </c>
      <c r="T2791" t="str">
        <f t="shared" si="182"/>
        <v/>
      </c>
    </row>
    <row r="2792" spans="18:20">
      <c r="R2792" s="24" t="str">
        <f t="shared" si="183"/>
        <v/>
      </c>
      <c r="S2792" s="24" t="str">
        <f t="shared" si="184"/>
        <v/>
      </c>
      <c r="T2792" t="str">
        <f t="shared" si="182"/>
        <v/>
      </c>
    </row>
    <row r="2793" spans="18:20">
      <c r="R2793" s="24" t="str">
        <f t="shared" si="183"/>
        <v/>
      </c>
      <c r="S2793" s="24" t="str">
        <f t="shared" si="184"/>
        <v/>
      </c>
      <c r="T2793" t="str">
        <f t="shared" si="182"/>
        <v/>
      </c>
    </row>
    <row r="2794" spans="18:20">
      <c r="R2794" s="24" t="str">
        <f t="shared" si="183"/>
        <v/>
      </c>
      <c r="S2794" s="24" t="str">
        <f t="shared" si="184"/>
        <v/>
      </c>
      <c r="T2794" t="str">
        <f t="shared" si="182"/>
        <v/>
      </c>
    </row>
    <row r="2795" spans="18:20">
      <c r="R2795" s="24" t="str">
        <f t="shared" si="183"/>
        <v/>
      </c>
      <c r="S2795" s="24" t="str">
        <f t="shared" si="184"/>
        <v/>
      </c>
      <c r="T2795" t="str">
        <f t="shared" si="182"/>
        <v/>
      </c>
    </row>
    <row r="2796" spans="18:20">
      <c r="R2796" s="24" t="str">
        <f t="shared" si="183"/>
        <v/>
      </c>
      <c r="S2796" s="24" t="str">
        <f t="shared" si="184"/>
        <v/>
      </c>
      <c r="T2796" t="str">
        <f t="shared" si="182"/>
        <v/>
      </c>
    </row>
    <row r="2797" spans="18:20">
      <c r="R2797" s="24" t="str">
        <f t="shared" si="183"/>
        <v/>
      </c>
      <c r="S2797" s="24" t="str">
        <f t="shared" si="184"/>
        <v/>
      </c>
      <c r="T2797" t="str">
        <f t="shared" si="182"/>
        <v/>
      </c>
    </row>
    <row r="2798" spans="18:20">
      <c r="R2798" s="24" t="str">
        <f t="shared" si="183"/>
        <v/>
      </c>
      <c r="S2798" s="24" t="str">
        <f t="shared" si="184"/>
        <v/>
      </c>
      <c r="T2798" t="str">
        <f t="shared" si="182"/>
        <v/>
      </c>
    </row>
    <row r="2799" spans="18:20">
      <c r="R2799" s="24" t="str">
        <f t="shared" si="183"/>
        <v/>
      </c>
      <c r="S2799" s="24" t="str">
        <f t="shared" si="184"/>
        <v/>
      </c>
      <c r="T2799" t="str">
        <f t="shared" si="182"/>
        <v/>
      </c>
    </row>
    <row r="2800" spans="18:20">
      <c r="R2800" s="24" t="str">
        <f t="shared" si="183"/>
        <v/>
      </c>
      <c r="S2800" s="24" t="str">
        <f t="shared" si="184"/>
        <v/>
      </c>
      <c r="T2800" t="str">
        <f t="shared" si="182"/>
        <v/>
      </c>
    </row>
    <row r="2801" spans="18:20">
      <c r="R2801" s="24" t="str">
        <f t="shared" si="183"/>
        <v/>
      </c>
      <c r="S2801" s="24" t="str">
        <f t="shared" si="184"/>
        <v/>
      </c>
      <c r="T2801" t="str">
        <f t="shared" si="182"/>
        <v/>
      </c>
    </row>
    <row r="2802" spans="18:20">
      <c r="R2802" s="24" t="str">
        <f t="shared" si="183"/>
        <v/>
      </c>
      <c r="S2802" s="24" t="str">
        <f t="shared" si="184"/>
        <v/>
      </c>
      <c r="T2802" t="str">
        <f t="shared" si="182"/>
        <v/>
      </c>
    </row>
    <row r="2803" spans="18:20">
      <c r="R2803" s="24" t="str">
        <f t="shared" si="183"/>
        <v/>
      </c>
      <c r="S2803" s="24" t="str">
        <f t="shared" si="184"/>
        <v/>
      </c>
      <c r="T2803" t="str">
        <f t="shared" si="182"/>
        <v/>
      </c>
    </row>
    <row r="2804" spans="18:20">
      <c r="R2804" s="24" t="str">
        <f t="shared" si="183"/>
        <v/>
      </c>
      <c r="S2804" s="24" t="str">
        <f t="shared" si="184"/>
        <v/>
      </c>
      <c r="T2804" t="str">
        <f t="shared" si="182"/>
        <v/>
      </c>
    </row>
    <row r="2805" spans="18:20">
      <c r="R2805" s="24" t="str">
        <f t="shared" si="183"/>
        <v/>
      </c>
      <c r="S2805" s="24" t="str">
        <f t="shared" si="184"/>
        <v/>
      </c>
      <c r="T2805" t="str">
        <f t="shared" si="182"/>
        <v/>
      </c>
    </row>
    <row r="2806" spans="18:20">
      <c r="R2806" s="24" t="str">
        <f t="shared" si="183"/>
        <v/>
      </c>
      <c r="S2806" s="24" t="str">
        <f t="shared" si="184"/>
        <v/>
      </c>
      <c r="T2806" t="str">
        <f t="shared" si="182"/>
        <v/>
      </c>
    </row>
    <row r="2807" spans="18:20">
      <c r="R2807" s="24" t="str">
        <f t="shared" si="183"/>
        <v/>
      </c>
      <c r="S2807" s="24" t="str">
        <f t="shared" si="184"/>
        <v/>
      </c>
      <c r="T2807" t="str">
        <f t="shared" si="182"/>
        <v/>
      </c>
    </row>
    <row r="2808" spans="18:20">
      <c r="R2808" s="24" t="str">
        <f t="shared" si="183"/>
        <v/>
      </c>
      <c r="S2808" s="24" t="str">
        <f t="shared" si="184"/>
        <v/>
      </c>
      <c r="T2808" t="str">
        <f t="shared" si="182"/>
        <v/>
      </c>
    </row>
    <row r="2809" spans="18:20">
      <c r="R2809" s="24" t="str">
        <f t="shared" si="183"/>
        <v/>
      </c>
      <c r="S2809" s="24" t="str">
        <f t="shared" si="184"/>
        <v/>
      </c>
      <c r="T2809" t="str">
        <f t="shared" si="182"/>
        <v/>
      </c>
    </row>
    <row r="2810" spans="18:20">
      <c r="R2810" s="24" t="str">
        <f t="shared" si="183"/>
        <v/>
      </c>
      <c r="S2810" s="24" t="str">
        <f t="shared" si="184"/>
        <v/>
      </c>
      <c r="T2810" t="str">
        <f t="shared" si="182"/>
        <v/>
      </c>
    </row>
    <row r="2811" spans="18:20">
      <c r="R2811" s="24" t="str">
        <f t="shared" si="183"/>
        <v/>
      </c>
      <c r="S2811" s="24" t="str">
        <f t="shared" si="184"/>
        <v/>
      </c>
      <c r="T2811" t="str">
        <f t="shared" si="182"/>
        <v/>
      </c>
    </row>
    <row r="2812" spans="18:20">
      <c r="R2812" s="24" t="str">
        <f t="shared" si="183"/>
        <v/>
      </c>
      <c r="S2812" s="24" t="str">
        <f t="shared" si="184"/>
        <v/>
      </c>
      <c r="T2812" t="str">
        <f t="shared" si="182"/>
        <v/>
      </c>
    </row>
    <row r="2813" spans="18:20">
      <c r="R2813" s="24" t="str">
        <f t="shared" si="183"/>
        <v/>
      </c>
      <c r="S2813" s="24" t="str">
        <f t="shared" si="184"/>
        <v/>
      </c>
      <c r="T2813" t="str">
        <f t="shared" si="182"/>
        <v/>
      </c>
    </row>
    <row r="2814" spans="18:20">
      <c r="R2814" s="24" t="str">
        <f t="shared" si="183"/>
        <v/>
      </c>
      <c r="S2814" s="24" t="str">
        <f t="shared" si="184"/>
        <v/>
      </c>
      <c r="T2814" t="str">
        <f t="shared" si="182"/>
        <v/>
      </c>
    </row>
    <row r="2815" spans="18:20">
      <c r="R2815" s="24" t="str">
        <f t="shared" si="183"/>
        <v/>
      </c>
      <c r="S2815" s="24" t="str">
        <f t="shared" si="184"/>
        <v/>
      </c>
      <c r="T2815" t="str">
        <f t="shared" si="182"/>
        <v/>
      </c>
    </row>
    <row r="2816" spans="18:20">
      <c r="R2816" s="24" t="str">
        <f t="shared" si="183"/>
        <v/>
      </c>
      <c r="S2816" s="24" t="str">
        <f t="shared" si="184"/>
        <v/>
      </c>
      <c r="T2816" t="str">
        <f t="shared" si="182"/>
        <v/>
      </c>
    </row>
    <row r="2817" spans="18:20">
      <c r="R2817" s="24" t="str">
        <f t="shared" si="183"/>
        <v/>
      </c>
      <c r="S2817" s="24" t="str">
        <f t="shared" si="184"/>
        <v/>
      </c>
      <c r="T2817" t="str">
        <f t="shared" si="182"/>
        <v/>
      </c>
    </row>
    <row r="2818" spans="18:20">
      <c r="R2818" s="24" t="str">
        <f t="shared" si="183"/>
        <v/>
      </c>
      <c r="S2818" s="24" t="str">
        <f t="shared" si="184"/>
        <v/>
      </c>
      <c r="T2818" t="str">
        <f t="shared" si="182"/>
        <v/>
      </c>
    </row>
    <row r="2819" spans="18:20">
      <c r="R2819" s="24" t="str">
        <f t="shared" si="183"/>
        <v/>
      </c>
      <c r="S2819" s="24" t="str">
        <f t="shared" si="184"/>
        <v/>
      </c>
      <c r="T2819" t="str">
        <f t="shared" si="182"/>
        <v/>
      </c>
    </row>
    <row r="2820" spans="18:20">
      <c r="R2820" s="24" t="str">
        <f t="shared" si="183"/>
        <v/>
      </c>
      <c r="S2820" s="24" t="str">
        <f t="shared" si="184"/>
        <v/>
      </c>
      <c r="T2820" t="str">
        <f t="shared" si="182"/>
        <v/>
      </c>
    </row>
    <row r="2821" spans="18:20">
      <c r="R2821" s="24" t="str">
        <f t="shared" si="183"/>
        <v/>
      </c>
      <c r="S2821" s="24" t="str">
        <f t="shared" si="184"/>
        <v/>
      </c>
      <c r="T2821" t="str">
        <f t="shared" si="182"/>
        <v/>
      </c>
    </row>
    <row r="2822" spans="18:20">
      <c r="R2822" s="24" t="str">
        <f t="shared" si="183"/>
        <v/>
      </c>
      <c r="S2822" s="24" t="str">
        <f t="shared" si="184"/>
        <v/>
      </c>
      <c r="T2822" t="str">
        <f t="shared" si="182"/>
        <v/>
      </c>
    </row>
    <row r="2823" spans="18:20">
      <c r="R2823" s="24" t="str">
        <f t="shared" si="183"/>
        <v/>
      </c>
      <c r="S2823" s="24" t="str">
        <f t="shared" si="184"/>
        <v/>
      </c>
      <c r="T2823" t="str">
        <f t="shared" si="182"/>
        <v/>
      </c>
    </row>
    <row r="2824" spans="18:20">
      <c r="R2824" s="24" t="str">
        <f t="shared" si="183"/>
        <v/>
      </c>
      <c r="S2824" s="24" t="str">
        <f t="shared" si="184"/>
        <v/>
      </c>
      <c r="T2824" t="str">
        <f t="shared" si="182"/>
        <v/>
      </c>
    </row>
    <row r="2825" spans="18:20">
      <c r="R2825" s="24" t="str">
        <f t="shared" si="183"/>
        <v/>
      </c>
      <c r="S2825" s="24" t="str">
        <f t="shared" si="184"/>
        <v/>
      </c>
      <c r="T2825" t="str">
        <f t="shared" si="182"/>
        <v/>
      </c>
    </row>
    <row r="2826" spans="18:20">
      <c r="R2826" s="24" t="str">
        <f t="shared" si="183"/>
        <v/>
      </c>
      <c r="S2826" s="24" t="str">
        <f t="shared" si="184"/>
        <v/>
      </c>
      <c r="T2826" t="str">
        <f t="shared" si="182"/>
        <v/>
      </c>
    </row>
    <row r="2827" spans="18:20">
      <c r="R2827" s="24" t="str">
        <f t="shared" si="183"/>
        <v/>
      </c>
      <c r="S2827" s="24" t="str">
        <f t="shared" si="184"/>
        <v/>
      </c>
      <c r="T2827" t="str">
        <f t="shared" si="182"/>
        <v/>
      </c>
    </row>
    <row r="2828" spans="18:20">
      <c r="R2828" s="24" t="str">
        <f t="shared" si="183"/>
        <v/>
      </c>
      <c r="S2828" s="24" t="str">
        <f t="shared" si="184"/>
        <v/>
      </c>
      <c r="T2828" t="str">
        <f t="shared" si="182"/>
        <v/>
      </c>
    </row>
    <row r="2829" spans="18:20">
      <c r="R2829" s="24" t="str">
        <f t="shared" si="183"/>
        <v/>
      </c>
      <c r="S2829" s="24" t="str">
        <f t="shared" si="184"/>
        <v/>
      </c>
      <c r="T2829" t="str">
        <f t="shared" si="182"/>
        <v/>
      </c>
    </row>
    <row r="2830" spans="18:20">
      <c r="R2830" s="24" t="str">
        <f t="shared" si="183"/>
        <v/>
      </c>
      <c r="S2830" s="24" t="str">
        <f t="shared" si="184"/>
        <v/>
      </c>
      <c r="T2830" t="str">
        <f t="shared" si="182"/>
        <v/>
      </c>
    </row>
    <row r="2831" spans="18:20">
      <c r="R2831" s="24" t="str">
        <f t="shared" si="183"/>
        <v/>
      </c>
      <c r="S2831" s="24" t="str">
        <f t="shared" si="184"/>
        <v/>
      </c>
      <c r="T2831" t="str">
        <f t="shared" ref="T2831:T2894" si="185">IF(OR(C2831="",I2831&lt;&gt;"ENTRADA"),"",TEXT(B2831,"AAMMDD")&amp;"-"&amp;TEXT(VALUE(SUBSTITUTE(A2831,"MOV-","")),"000"))</f>
        <v/>
      </c>
    </row>
    <row r="2832" spans="18:20">
      <c r="R2832" s="24" t="str">
        <f t="shared" ref="R2832:R2895" si="186">IF(H2832="","",H2832&amp;I2832)</f>
        <v/>
      </c>
      <c r="S2832" s="24" t="str">
        <f t="shared" ref="S2832:S2895" si="187">IF(C2832="","",C2832&amp;I2832)</f>
        <v/>
      </c>
      <c r="T2832" t="str">
        <f t="shared" si="185"/>
        <v/>
      </c>
    </row>
    <row r="2833" spans="18:20">
      <c r="R2833" s="24" t="str">
        <f t="shared" si="186"/>
        <v/>
      </c>
      <c r="S2833" s="24" t="str">
        <f t="shared" si="187"/>
        <v/>
      </c>
      <c r="T2833" t="str">
        <f t="shared" si="185"/>
        <v/>
      </c>
    </row>
    <row r="2834" spans="18:20">
      <c r="R2834" s="24" t="str">
        <f t="shared" si="186"/>
        <v/>
      </c>
      <c r="S2834" s="24" t="str">
        <f t="shared" si="187"/>
        <v/>
      </c>
      <c r="T2834" t="str">
        <f t="shared" si="185"/>
        <v/>
      </c>
    </row>
    <row r="2835" spans="18:20">
      <c r="R2835" s="24" t="str">
        <f t="shared" si="186"/>
        <v/>
      </c>
      <c r="S2835" s="24" t="str">
        <f t="shared" si="187"/>
        <v/>
      </c>
      <c r="T2835" t="str">
        <f t="shared" si="185"/>
        <v/>
      </c>
    </row>
    <row r="2836" spans="18:20">
      <c r="R2836" s="24" t="str">
        <f t="shared" si="186"/>
        <v/>
      </c>
      <c r="S2836" s="24" t="str">
        <f t="shared" si="187"/>
        <v/>
      </c>
      <c r="T2836" t="str">
        <f t="shared" si="185"/>
        <v/>
      </c>
    </row>
    <row r="2837" spans="18:20">
      <c r="R2837" s="24" t="str">
        <f t="shared" si="186"/>
        <v/>
      </c>
      <c r="S2837" s="24" t="str">
        <f t="shared" si="187"/>
        <v/>
      </c>
      <c r="T2837" t="str">
        <f t="shared" si="185"/>
        <v/>
      </c>
    </row>
    <row r="2838" spans="18:20">
      <c r="R2838" s="24" t="str">
        <f t="shared" si="186"/>
        <v/>
      </c>
      <c r="S2838" s="24" t="str">
        <f t="shared" si="187"/>
        <v/>
      </c>
      <c r="T2838" t="str">
        <f t="shared" si="185"/>
        <v/>
      </c>
    </row>
    <row r="2839" spans="18:20">
      <c r="R2839" s="24" t="str">
        <f t="shared" si="186"/>
        <v/>
      </c>
      <c r="S2839" s="24" t="str">
        <f t="shared" si="187"/>
        <v/>
      </c>
      <c r="T2839" t="str">
        <f t="shared" si="185"/>
        <v/>
      </c>
    </row>
    <row r="2840" spans="18:20">
      <c r="R2840" s="24" t="str">
        <f t="shared" si="186"/>
        <v/>
      </c>
      <c r="S2840" s="24" t="str">
        <f t="shared" si="187"/>
        <v/>
      </c>
      <c r="T2840" t="str">
        <f t="shared" si="185"/>
        <v/>
      </c>
    </row>
    <row r="2841" spans="18:20">
      <c r="R2841" s="24" t="str">
        <f t="shared" si="186"/>
        <v/>
      </c>
      <c r="S2841" s="24" t="str">
        <f t="shared" si="187"/>
        <v/>
      </c>
      <c r="T2841" t="str">
        <f t="shared" si="185"/>
        <v/>
      </c>
    </row>
    <row r="2842" spans="18:20">
      <c r="R2842" s="24" t="str">
        <f t="shared" si="186"/>
        <v/>
      </c>
      <c r="S2842" s="24" t="str">
        <f t="shared" si="187"/>
        <v/>
      </c>
      <c r="T2842" t="str">
        <f t="shared" si="185"/>
        <v/>
      </c>
    </row>
    <row r="2843" spans="18:20">
      <c r="R2843" s="24" t="str">
        <f t="shared" si="186"/>
        <v/>
      </c>
      <c r="S2843" s="24" t="str">
        <f t="shared" si="187"/>
        <v/>
      </c>
      <c r="T2843" t="str">
        <f t="shared" si="185"/>
        <v/>
      </c>
    </row>
    <row r="2844" spans="18:20">
      <c r="R2844" s="24" t="str">
        <f t="shared" si="186"/>
        <v/>
      </c>
      <c r="S2844" s="24" t="str">
        <f t="shared" si="187"/>
        <v/>
      </c>
      <c r="T2844" t="str">
        <f t="shared" si="185"/>
        <v/>
      </c>
    </row>
    <row r="2845" spans="18:20">
      <c r="R2845" s="24" t="str">
        <f t="shared" si="186"/>
        <v/>
      </c>
      <c r="S2845" s="24" t="str">
        <f t="shared" si="187"/>
        <v/>
      </c>
      <c r="T2845" t="str">
        <f t="shared" si="185"/>
        <v/>
      </c>
    </row>
    <row r="2846" spans="18:20">
      <c r="R2846" s="24" t="str">
        <f t="shared" si="186"/>
        <v/>
      </c>
      <c r="S2846" s="24" t="str">
        <f t="shared" si="187"/>
        <v/>
      </c>
      <c r="T2846" t="str">
        <f t="shared" si="185"/>
        <v/>
      </c>
    </row>
    <row r="2847" spans="18:20">
      <c r="R2847" s="24" t="str">
        <f t="shared" si="186"/>
        <v/>
      </c>
      <c r="S2847" s="24" t="str">
        <f t="shared" si="187"/>
        <v/>
      </c>
      <c r="T2847" t="str">
        <f t="shared" si="185"/>
        <v/>
      </c>
    </row>
    <row r="2848" spans="18:20">
      <c r="R2848" s="24" t="str">
        <f t="shared" si="186"/>
        <v/>
      </c>
      <c r="S2848" s="24" t="str">
        <f t="shared" si="187"/>
        <v/>
      </c>
      <c r="T2848" t="str">
        <f t="shared" si="185"/>
        <v/>
      </c>
    </row>
    <row r="2849" spans="18:20">
      <c r="R2849" s="24" t="str">
        <f t="shared" si="186"/>
        <v/>
      </c>
      <c r="S2849" s="24" t="str">
        <f t="shared" si="187"/>
        <v/>
      </c>
      <c r="T2849" t="str">
        <f t="shared" si="185"/>
        <v/>
      </c>
    </row>
    <row r="2850" spans="18:20">
      <c r="R2850" s="24" t="str">
        <f t="shared" si="186"/>
        <v/>
      </c>
      <c r="S2850" s="24" t="str">
        <f t="shared" si="187"/>
        <v/>
      </c>
      <c r="T2850" t="str">
        <f t="shared" si="185"/>
        <v/>
      </c>
    </row>
    <row r="2851" spans="18:20">
      <c r="R2851" s="24" t="str">
        <f t="shared" si="186"/>
        <v/>
      </c>
      <c r="S2851" s="24" t="str">
        <f t="shared" si="187"/>
        <v/>
      </c>
      <c r="T2851" t="str">
        <f t="shared" si="185"/>
        <v/>
      </c>
    </row>
    <row r="2852" spans="18:20">
      <c r="R2852" s="24" t="str">
        <f t="shared" si="186"/>
        <v/>
      </c>
      <c r="S2852" s="24" t="str">
        <f t="shared" si="187"/>
        <v/>
      </c>
      <c r="T2852" t="str">
        <f t="shared" si="185"/>
        <v/>
      </c>
    </row>
    <row r="2853" spans="18:20">
      <c r="R2853" s="24" t="str">
        <f t="shared" si="186"/>
        <v/>
      </c>
      <c r="S2853" s="24" t="str">
        <f t="shared" si="187"/>
        <v/>
      </c>
      <c r="T2853" t="str">
        <f t="shared" si="185"/>
        <v/>
      </c>
    </row>
    <row r="2854" spans="18:20">
      <c r="R2854" s="24" t="str">
        <f t="shared" si="186"/>
        <v/>
      </c>
      <c r="S2854" s="24" t="str">
        <f t="shared" si="187"/>
        <v/>
      </c>
      <c r="T2854" t="str">
        <f t="shared" si="185"/>
        <v/>
      </c>
    </row>
    <row r="2855" spans="18:20">
      <c r="R2855" s="24" t="str">
        <f t="shared" si="186"/>
        <v/>
      </c>
      <c r="S2855" s="24" t="str">
        <f t="shared" si="187"/>
        <v/>
      </c>
      <c r="T2855" t="str">
        <f t="shared" si="185"/>
        <v/>
      </c>
    </row>
    <row r="2856" spans="18:20">
      <c r="R2856" s="24" t="str">
        <f t="shared" si="186"/>
        <v/>
      </c>
      <c r="S2856" s="24" t="str">
        <f t="shared" si="187"/>
        <v/>
      </c>
      <c r="T2856" t="str">
        <f t="shared" si="185"/>
        <v/>
      </c>
    </row>
    <row r="2857" spans="18:20">
      <c r="R2857" s="24" t="str">
        <f t="shared" si="186"/>
        <v/>
      </c>
      <c r="S2857" s="24" t="str">
        <f t="shared" si="187"/>
        <v/>
      </c>
      <c r="T2857" t="str">
        <f t="shared" si="185"/>
        <v/>
      </c>
    </row>
    <row r="2858" spans="18:20">
      <c r="R2858" s="24" t="str">
        <f t="shared" si="186"/>
        <v/>
      </c>
      <c r="S2858" s="24" t="str">
        <f t="shared" si="187"/>
        <v/>
      </c>
      <c r="T2858" t="str">
        <f t="shared" si="185"/>
        <v/>
      </c>
    </row>
    <row r="2859" spans="18:20">
      <c r="R2859" s="24" t="str">
        <f t="shared" si="186"/>
        <v/>
      </c>
      <c r="S2859" s="24" t="str">
        <f t="shared" si="187"/>
        <v/>
      </c>
      <c r="T2859" t="str">
        <f t="shared" si="185"/>
        <v/>
      </c>
    </row>
    <row r="2860" spans="18:20">
      <c r="R2860" s="24" t="str">
        <f t="shared" si="186"/>
        <v/>
      </c>
      <c r="S2860" s="24" t="str">
        <f t="shared" si="187"/>
        <v/>
      </c>
      <c r="T2860" t="str">
        <f t="shared" si="185"/>
        <v/>
      </c>
    </row>
    <row r="2861" spans="18:20">
      <c r="R2861" s="24" t="str">
        <f t="shared" si="186"/>
        <v/>
      </c>
      <c r="S2861" s="24" t="str">
        <f t="shared" si="187"/>
        <v/>
      </c>
      <c r="T2861" t="str">
        <f t="shared" si="185"/>
        <v/>
      </c>
    </row>
    <row r="2862" spans="18:20">
      <c r="R2862" s="24" t="str">
        <f t="shared" si="186"/>
        <v/>
      </c>
      <c r="S2862" s="24" t="str">
        <f t="shared" si="187"/>
        <v/>
      </c>
      <c r="T2862" t="str">
        <f t="shared" si="185"/>
        <v/>
      </c>
    </row>
    <row r="2863" spans="18:20">
      <c r="R2863" s="24" t="str">
        <f t="shared" si="186"/>
        <v/>
      </c>
      <c r="S2863" s="24" t="str">
        <f t="shared" si="187"/>
        <v/>
      </c>
      <c r="T2863" t="str">
        <f t="shared" si="185"/>
        <v/>
      </c>
    </row>
    <row r="2864" spans="18:20">
      <c r="R2864" s="24" t="str">
        <f t="shared" si="186"/>
        <v/>
      </c>
      <c r="S2864" s="24" t="str">
        <f t="shared" si="187"/>
        <v/>
      </c>
      <c r="T2864" t="str">
        <f t="shared" si="185"/>
        <v/>
      </c>
    </row>
    <row r="2865" spans="18:20">
      <c r="R2865" s="24" t="str">
        <f t="shared" si="186"/>
        <v/>
      </c>
      <c r="S2865" s="24" t="str">
        <f t="shared" si="187"/>
        <v/>
      </c>
      <c r="T2865" t="str">
        <f t="shared" si="185"/>
        <v/>
      </c>
    </row>
    <row r="2866" spans="18:20">
      <c r="R2866" s="24" t="str">
        <f t="shared" si="186"/>
        <v/>
      </c>
      <c r="S2866" s="24" t="str">
        <f t="shared" si="187"/>
        <v/>
      </c>
      <c r="T2866" t="str">
        <f t="shared" si="185"/>
        <v/>
      </c>
    </row>
    <row r="2867" spans="18:20">
      <c r="R2867" s="24" t="str">
        <f t="shared" si="186"/>
        <v/>
      </c>
      <c r="S2867" s="24" t="str">
        <f t="shared" si="187"/>
        <v/>
      </c>
      <c r="T2867" t="str">
        <f t="shared" si="185"/>
        <v/>
      </c>
    </row>
    <row r="2868" spans="18:20">
      <c r="R2868" s="24" t="str">
        <f t="shared" si="186"/>
        <v/>
      </c>
      <c r="S2868" s="24" t="str">
        <f t="shared" si="187"/>
        <v/>
      </c>
      <c r="T2868" t="str">
        <f t="shared" si="185"/>
        <v/>
      </c>
    </row>
    <row r="2869" spans="18:20">
      <c r="R2869" s="24" t="str">
        <f t="shared" si="186"/>
        <v/>
      </c>
      <c r="S2869" s="24" t="str">
        <f t="shared" si="187"/>
        <v/>
      </c>
      <c r="T2869" t="str">
        <f t="shared" si="185"/>
        <v/>
      </c>
    </row>
    <row r="2870" spans="18:20">
      <c r="R2870" s="24" t="str">
        <f t="shared" si="186"/>
        <v/>
      </c>
      <c r="S2870" s="24" t="str">
        <f t="shared" si="187"/>
        <v/>
      </c>
      <c r="T2870" t="str">
        <f t="shared" si="185"/>
        <v/>
      </c>
    </row>
    <row r="2871" spans="18:20">
      <c r="R2871" s="24" t="str">
        <f t="shared" si="186"/>
        <v/>
      </c>
      <c r="S2871" s="24" t="str">
        <f t="shared" si="187"/>
        <v/>
      </c>
      <c r="T2871" t="str">
        <f t="shared" si="185"/>
        <v/>
      </c>
    </row>
    <row r="2872" spans="18:20">
      <c r="R2872" s="24" t="str">
        <f t="shared" si="186"/>
        <v/>
      </c>
      <c r="S2872" s="24" t="str">
        <f t="shared" si="187"/>
        <v/>
      </c>
      <c r="T2872" t="str">
        <f t="shared" si="185"/>
        <v/>
      </c>
    </row>
    <row r="2873" spans="18:20">
      <c r="R2873" s="24" t="str">
        <f t="shared" si="186"/>
        <v/>
      </c>
      <c r="S2873" s="24" t="str">
        <f t="shared" si="187"/>
        <v/>
      </c>
      <c r="T2873" t="str">
        <f t="shared" si="185"/>
        <v/>
      </c>
    </row>
    <row r="2874" spans="18:20">
      <c r="R2874" s="24" t="str">
        <f t="shared" si="186"/>
        <v/>
      </c>
      <c r="S2874" s="24" t="str">
        <f t="shared" si="187"/>
        <v/>
      </c>
      <c r="T2874" t="str">
        <f t="shared" si="185"/>
        <v/>
      </c>
    </row>
    <row r="2875" spans="18:20">
      <c r="R2875" s="24" t="str">
        <f t="shared" si="186"/>
        <v/>
      </c>
      <c r="S2875" s="24" t="str">
        <f t="shared" si="187"/>
        <v/>
      </c>
      <c r="T2875" t="str">
        <f t="shared" si="185"/>
        <v/>
      </c>
    </row>
    <row r="2876" spans="18:20">
      <c r="R2876" s="24" t="str">
        <f t="shared" si="186"/>
        <v/>
      </c>
      <c r="S2876" s="24" t="str">
        <f t="shared" si="187"/>
        <v/>
      </c>
      <c r="T2876" t="str">
        <f t="shared" si="185"/>
        <v/>
      </c>
    </row>
    <row r="2877" spans="18:20">
      <c r="R2877" s="24" t="str">
        <f t="shared" si="186"/>
        <v/>
      </c>
      <c r="S2877" s="24" t="str">
        <f t="shared" si="187"/>
        <v/>
      </c>
      <c r="T2877" t="str">
        <f t="shared" si="185"/>
        <v/>
      </c>
    </row>
    <row r="2878" spans="18:20">
      <c r="R2878" s="24" t="str">
        <f t="shared" si="186"/>
        <v/>
      </c>
      <c r="S2878" s="24" t="str">
        <f t="shared" si="187"/>
        <v/>
      </c>
      <c r="T2878" t="str">
        <f t="shared" si="185"/>
        <v/>
      </c>
    </row>
    <row r="2879" spans="18:20">
      <c r="R2879" s="24" t="str">
        <f t="shared" si="186"/>
        <v/>
      </c>
      <c r="S2879" s="24" t="str">
        <f t="shared" si="187"/>
        <v/>
      </c>
      <c r="T2879" t="str">
        <f t="shared" si="185"/>
        <v/>
      </c>
    </row>
    <row r="2880" spans="18:20">
      <c r="R2880" s="24" t="str">
        <f t="shared" si="186"/>
        <v/>
      </c>
      <c r="S2880" s="24" t="str">
        <f t="shared" si="187"/>
        <v/>
      </c>
      <c r="T2880" t="str">
        <f t="shared" si="185"/>
        <v/>
      </c>
    </row>
    <row r="2881" spans="18:20">
      <c r="R2881" s="24" t="str">
        <f t="shared" si="186"/>
        <v/>
      </c>
      <c r="S2881" s="24" t="str">
        <f t="shared" si="187"/>
        <v/>
      </c>
      <c r="T2881" t="str">
        <f t="shared" si="185"/>
        <v/>
      </c>
    </row>
    <row r="2882" spans="18:20">
      <c r="R2882" s="24" t="str">
        <f t="shared" si="186"/>
        <v/>
      </c>
      <c r="S2882" s="24" t="str">
        <f t="shared" si="187"/>
        <v/>
      </c>
      <c r="T2882" t="str">
        <f t="shared" si="185"/>
        <v/>
      </c>
    </row>
    <row r="2883" spans="18:20">
      <c r="R2883" s="24" t="str">
        <f t="shared" si="186"/>
        <v/>
      </c>
      <c r="S2883" s="24" t="str">
        <f t="shared" si="187"/>
        <v/>
      </c>
      <c r="T2883" t="str">
        <f t="shared" si="185"/>
        <v/>
      </c>
    </row>
    <row r="2884" spans="18:20">
      <c r="R2884" s="24" t="str">
        <f t="shared" si="186"/>
        <v/>
      </c>
      <c r="S2884" s="24" t="str">
        <f t="shared" si="187"/>
        <v/>
      </c>
      <c r="T2884" t="str">
        <f t="shared" si="185"/>
        <v/>
      </c>
    </row>
    <row r="2885" spans="18:20">
      <c r="R2885" s="24" t="str">
        <f t="shared" si="186"/>
        <v/>
      </c>
      <c r="S2885" s="24" t="str">
        <f t="shared" si="187"/>
        <v/>
      </c>
      <c r="T2885" t="str">
        <f t="shared" si="185"/>
        <v/>
      </c>
    </row>
    <row r="2886" spans="18:20">
      <c r="R2886" s="24" t="str">
        <f t="shared" si="186"/>
        <v/>
      </c>
      <c r="S2886" s="24" t="str">
        <f t="shared" si="187"/>
        <v/>
      </c>
      <c r="T2886" t="str">
        <f t="shared" si="185"/>
        <v/>
      </c>
    </row>
    <row r="2887" spans="18:20">
      <c r="R2887" s="24" t="str">
        <f t="shared" si="186"/>
        <v/>
      </c>
      <c r="S2887" s="24" t="str">
        <f t="shared" si="187"/>
        <v/>
      </c>
      <c r="T2887" t="str">
        <f t="shared" si="185"/>
        <v/>
      </c>
    </row>
    <row r="2888" spans="18:20">
      <c r="R2888" s="24" t="str">
        <f t="shared" si="186"/>
        <v/>
      </c>
      <c r="S2888" s="24" t="str">
        <f t="shared" si="187"/>
        <v/>
      </c>
      <c r="T2888" t="str">
        <f t="shared" si="185"/>
        <v/>
      </c>
    </row>
    <row r="2889" spans="18:20">
      <c r="R2889" s="24" t="str">
        <f t="shared" si="186"/>
        <v/>
      </c>
      <c r="S2889" s="24" t="str">
        <f t="shared" si="187"/>
        <v/>
      </c>
      <c r="T2889" t="str">
        <f t="shared" si="185"/>
        <v/>
      </c>
    </row>
    <row r="2890" spans="18:20">
      <c r="R2890" s="24" t="str">
        <f t="shared" si="186"/>
        <v/>
      </c>
      <c r="S2890" s="24" t="str">
        <f t="shared" si="187"/>
        <v/>
      </c>
      <c r="T2890" t="str">
        <f t="shared" si="185"/>
        <v/>
      </c>
    </row>
    <row r="2891" spans="18:20">
      <c r="R2891" s="24" t="str">
        <f t="shared" si="186"/>
        <v/>
      </c>
      <c r="S2891" s="24" t="str">
        <f t="shared" si="187"/>
        <v/>
      </c>
      <c r="T2891" t="str">
        <f t="shared" si="185"/>
        <v/>
      </c>
    </row>
    <row r="2892" spans="18:20">
      <c r="R2892" s="24" t="str">
        <f t="shared" si="186"/>
        <v/>
      </c>
      <c r="S2892" s="24" t="str">
        <f t="shared" si="187"/>
        <v/>
      </c>
      <c r="T2892" t="str">
        <f t="shared" si="185"/>
        <v/>
      </c>
    </row>
    <row r="2893" spans="18:20">
      <c r="R2893" s="24" t="str">
        <f t="shared" si="186"/>
        <v/>
      </c>
      <c r="S2893" s="24" t="str">
        <f t="shared" si="187"/>
        <v/>
      </c>
      <c r="T2893" t="str">
        <f t="shared" si="185"/>
        <v/>
      </c>
    </row>
    <row r="2894" spans="18:20">
      <c r="R2894" s="24" t="str">
        <f t="shared" si="186"/>
        <v/>
      </c>
      <c r="S2894" s="24" t="str">
        <f t="shared" si="187"/>
        <v/>
      </c>
      <c r="T2894" t="str">
        <f t="shared" si="185"/>
        <v/>
      </c>
    </row>
    <row r="2895" spans="18:20">
      <c r="R2895" s="24" t="str">
        <f t="shared" si="186"/>
        <v/>
      </c>
      <c r="S2895" s="24" t="str">
        <f t="shared" si="187"/>
        <v/>
      </c>
      <c r="T2895" t="str">
        <f t="shared" ref="T2895:T2958" si="188">IF(OR(C2895="",I2895&lt;&gt;"ENTRADA"),"",TEXT(B2895,"AAMMDD")&amp;"-"&amp;TEXT(VALUE(SUBSTITUTE(A2895,"MOV-","")),"000"))</f>
        <v/>
      </c>
    </row>
    <row r="2896" spans="18:20">
      <c r="R2896" s="24" t="str">
        <f t="shared" ref="R2896:R2959" si="189">IF(H2896="","",H2896&amp;I2896)</f>
        <v/>
      </c>
      <c r="S2896" s="24" t="str">
        <f t="shared" ref="S2896:S2959" si="190">IF(C2896="","",C2896&amp;I2896)</f>
        <v/>
      </c>
      <c r="T2896" t="str">
        <f t="shared" si="188"/>
        <v/>
      </c>
    </row>
    <row r="2897" spans="18:20">
      <c r="R2897" s="24" t="str">
        <f t="shared" si="189"/>
        <v/>
      </c>
      <c r="S2897" s="24" t="str">
        <f t="shared" si="190"/>
        <v/>
      </c>
      <c r="T2897" t="str">
        <f t="shared" si="188"/>
        <v/>
      </c>
    </row>
    <row r="2898" spans="18:20">
      <c r="R2898" s="24" t="str">
        <f t="shared" si="189"/>
        <v/>
      </c>
      <c r="S2898" s="24" t="str">
        <f t="shared" si="190"/>
        <v/>
      </c>
      <c r="T2898" t="str">
        <f t="shared" si="188"/>
        <v/>
      </c>
    </row>
    <row r="2899" spans="18:20">
      <c r="R2899" s="24" t="str">
        <f t="shared" si="189"/>
        <v/>
      </c>
      <c r="S2899" s="24" t="str">
        <f t="shared" si="190"/>
        <v/>
      </c>
      <c r="T2899" t="str">
        <f t="shared" si="188"/>
        <v/>
      </c>
    </row>
    <row r="2900" spans="18:20">
      <c r="R2900" s="24" t="str">
        <f t="shared" si="189"/>
        <v/>
      </c>
      <c r="S2900" s="24" t="str">
        <f t="shared" si="190"/>
        <v/>
      </c>
      <c r="T2900" t="str">
        <f t="shared" si="188"/>
        <v/>
      </c>
    </row>
    <row r="2901" spans="18:20">
      <c r="R2901" s="24" t="str">
        <f t="shared" si="189"/>
        <v/>
      </c>
      <c r="S2901" s="24" t="str">
        <f t="shared" si="190"/>
        <v/>
      </c>
      <c r="T2901" t="str">
        <f t="shared" si="188"/>
        <v/>
      </c>
    </row>
    <row r="2902" spans="18:20">
      <c r="R2902" s="24" t="str">
        <f t="shared" si="189"/>
        <v/>
      </c>
      <c r="S2902" s="24" t="str">
        <f t="shared" si="190"/>
        <v/>
      </c>
      <c r="T2902" t="str">
        <f t="shared" si="188"/>
        <v/>
      </c>
    </row>
    <row r="2903" spans="18:20">
      <c r="R2903" s="24" t="str">
        <f t="shared" si="189"/>
        <v/>
      </c>
      <c r="S2903" s="24" t="str">
        <f t="shared" si="190"/>
        <v/>
      </c>
      <c r="T2903" t="str">
        <f t="shared" si="188"/>
        <v/>
      </c>
    </row>
    <row r="2904" spans="18:20">
      <c r="R2904" s="24" t="str">
        <f t="shared" si="189"/>
        <v/>
      </c>
      <c r="S2904" s="24" t="str">
        <f t="shared" si="190"/>
        <v/>
      </c>
      <c r="T2904" t="str">
        <f t="shared" si="188"/>
        <v/>
      </c>
    </row>
    <row r="2905" spans="18:20">
      <c r="R2905" s="24" t="str">
        <f t="shared" si="189"/>
        <v/>
      </c>
      <c r="S2905" s="24" t="str">
        <f t="shared" si="190"/>
        <v/>
      </c>
      <c r="T2905" t="str">
        <f t="shared" si="188"/>
        <v/>
      </c>
    </row>
    <row r="2906" spans="18:20">
      <c r="R2906" s="24" t="str">
        <f t="shared" si="189"/>
        <v/>
      </c>
      <c r="S2906" s="24" t="str">
        <f t="shared" si="190"/>
        <v/>
      </c>
      <c r="T2906" t="str">
        <f t="shared" si="188"/>
        <v/>
      </c>
    </row>
    <row r="2907" spans="18:20">
      <c r="R2907" s="24" t="str">
        <f t="shared" si="189"/>
        <v/>
      </c>
      <c r="S2907" s="24" t="str">
        <f t="shared" si="190"/>
        <v/>
      </c>
      <c r="T2907" t="str">
        <f t="shared" si="188"/>
        <v/>
      </c>
    </row>
    <row r="2908" spans="18:20">
      <c r="R2908" s="24" t="str">
        <f t="shared" si="189"/>
        <v/>
      </c>
      <c r="S2908" s="24" t="str">
        <f t="shared" si="190"/>
        <v/>
      </c>
      <c r="T2908" t="str">
        <f t="shared" si="188"/>
        <v/>
      </c>
    </row>
    <row r="2909" spans="18:20">
      <c r="R2909" s="24" t="str">
        <f t="shared" si="189"/>
        <v/>
      </c>
      <c r="S2909" s="24" t="str">
        <f t="shared" si="190"/>
        <v/>
      </c>
      <c r="T2909" t="str">
        <f t="shared" si="188"/>
        <v/>
      </c>
    </row>
    <row r="2910" spans="18:20">
      <c r="R2910" s="24" t="str">
        <f t="shared" si="189"/>
        <v/>
      </c>
      <c r="S2910" s="24" t="str">
        <f t="shared" si="190"/>
        <v/>
      </c>
      <c r="T2910" t="str">
        <f t="shared" si="188"/>
        <v/>
      </c>
    </row>
    <row r="2911" spans="18:20">
      <c r="R2911" s="24" t="str">
        <f t="shared" si="189"/>
        <v/>
      </c>
      <c r="S2911" s="24" t="str">
        <f t="shared" si="190"/>
        <v/>
      </c>
      <c r="T2911" t="str">
        <f t="shared" si="188"/>
        <v/>
      </c>
    </row>
    <row r="2912" spans="18:20">
      <c r="R2912" s="24" t="str">
        <f t="shared" si="189"/>
        <v/>
      </c>
      <c r="S2912" s="24" t="str">
        <f t="shared" si="190"/>
        <v/>
      </c>
      <c r="T2912" t="str">
        <f t="shared" si="188"/>
        <v/>
      </c>
    </row>
    <row r="2913" spans="18:20">
      <c r="R2913" s="24" t="str">
        <f t="shared" si="189"/>
        <v/>
      </c>
      <c r="S2913" s="24" t="str">
        <f t="shared" si="190"/>
        <v/>
      </c>
      <c r="T2913" t="str">
        <f t="shared" si="188"/>
        <v/>
      </c>
    </row>
    <row r="2914" spans="18:20">
      <c r="R2914" s="24" t="str">
        <f t="shared" si="189"/>
        <v/>
      </c>
      <c r="S2914" s="24" t="str">
        <f t="shared" si="190"/>
        <v/>
      </c>
      <c r="T2914" t="str">
        <f t="shared" si="188"/>
        <v/>
      </c>
    </row>
    <row r="2915" spans="18:20">
      <c r="R2915" s="24" t="str">
        <f t="shared" si="189"/>
        <v/>
      </c>
      <c r="S2915" s="24" t="str">
        <f t="shared" si="190"/>
        <v/>
      </c>
      <c r="T2915" t="str">
        <f t="shared" si="188"/>
        <v/>
      </c>
    </row>
    <row r="2916" spans="18:20">
      <c r="R2916" s="24" t="str">
        <f t="shared" si="189"/>
        <v/>
      </c>
      <c r="S2916" s="24" t="str">
        <f t="shared" si="190"/>
        <v/>
      </c>
      <c r="T2916" t="str">
        <f t="shared" si="188"/>
        <v/>
      </c>
    </row>
    <row r="2917" spans="18:20">
      <c r="R2917" s="24" t="str">
        <f t="shared" si="189"/>
        <v/>
      </c>
      <c r="S2917" s="24" t="str">
        <f t="shared" si="190"/>
        <v/>
      </c>
      <c r="T2917" t="str">
        <f t="shared" si="188"/>
        <v/>
      </c>
    </row>
    <row r="2918" spans="18:20">
      <c r="R2918" s="24" t="str">
        <f t="shared" si="189"/>
        <v/>
      </c>
      <c r="S2918" s="24" t="str">
        <f t="shared" si="190"/>
        <v/>
      </c>
      <c r="T2918" t="str">
        <f t="shared" si="188"/>
        <v/>
      </c>
    </row>
    <row r="2919" spans="18:20">
      <c r="R2919" s="24" t="str">
        <f t="shared" si="189"/>
        <v/>
      </c>
      <c r="S2919" s="24" t="str">
        <f t="shared" si="190"/>
        <v/>
      </c>
      <c r="T2919" t="str">
        <f t="shared" si="188"/>
        <v/>
      </c>
    </row>
    <row r="2920" spans="18:20">
      <c r="R2920" s="24" t="str">
        <f t="shared" si="189"/>
        <v/>
      </c>
      <c r="S2920" s="24" t="str">
        <f t="shared" si="190"/>
        <v/>
      </c>
      <c r="T2920" t="str">
        <f t="shared" si="188"/>
        <v/>
      </c>
    </row>
    <row r="2921" spans="18:20">
      <c r="R2921" s="24" t="str">
        <f t="shared" si="189"/>
        <v/>
      </c>
      <c r="S2921" s="24" t="str">
        <f t="shared" si="190"/>
        <v/>
      </c>
      <c r="T2921" t="str">
        <f t="shared" si="188"/>
        <v/>
      </c>
    </row>
    <row r="2922" spans="18:20">
      <c r="R2922" s="24" t="str">
        <f t="shared" si="189"/>
        <v/>
      </c>
      <c r="S2922" s="24" t="str">
        <f t="shared" si="190"/>
        <v/>
      </c>
      <c r="T2922" t="str">
        <f t="shared" si="188"/>
        <v/>
      </c>
    </row>
    <row r="2923" spans="18:20">
      <c r="R2923" s="24" t="str">
        <f t="shared" si="189"/>
        <v/>
      </c>
      <c r="S2923" s="24" t="str">
        <f t="shared" si="190"/>
        <v/>
      </c>
      <c r="T2923" t="str">
        <f t="shared" si="188"/>
        <v/>
      </c>
    </row>
    <row r="2924" spans="18:20">
      <c r="R2924" s="24" t="str">
        <f t="shared" si="189"/>
        <v/>
      </c>
      <c r="S2924" s="24" t="str">
        <f t="shared" si="190"/>
        <v/>
      </c>
      <c r="T2924" t="str">
        <f t="shared" si="188"/>
        <v/>
      </c>
    </row>
    <row r="2925" spans="18:20">
      <c r="R2925" s="24" t="str">
        <f t="shared" si="189"/>
        <v/>
      </c>
      <c r="S2925" s="24" t="str">
        <f t="shared" si="190"/>
        <v/>
      </c>
      <c r="T2925" t="str">
        <f t="shared" si="188"/>
        <v/>
      </c>
    </row>
    <row r="2926" spans="18:20">
      <c r="R2926" s="24" t="str">
        <f t="shared" si="189"/>
        <v/>
      </c>
      <c r="S2926" s="24" t="str">
        <f t="shared" si="190"/>
        <v/>
      </c>
      <c r="T2926" t="str">
        <f t="shared" si="188"/>
        <v/>
      </c>
    </row>
    <row r="2927" spans="18:20">
      <c r="R2927" s="24" t="str">
        <f t="shared" si="189"/>
        <v/>
      </c>
      <c r="S2927" s="24" t="str">
        <f t="shared" si="190"/>
        <v/>
      </c>
      <c r="T2927" t="str">
        <f t="shared" si="188"/>
        <v/>
      </c>
    </row>
    <row r="2928" spans="18:20">
      <c r="R2928" s="24" t="str">
        <f t="shared" si="189"/>
        <v/>
      </c>
      <c r="S2928" s="24" t="str">
        <f t="shared" si="190"/>
        <v/>
      </c>
      <c r="T2928" t="str">
        <f t="shared" si="188"/>
        <v/>
      </c>
    </row>
    <row r="2929" spans="18:20">
      <c r="R2929" s="24" t="str">
        <f t="shared" si="189"/>
        <v/>
      </c>
      <c r="S2929" s="24" t="str">
        <f t="shared" si="190"/>
        <v/>
      </c>
      <c r="T2929" t="str">
        <f t="shared" si="188"/>
        <v/>
      </c>
    </row>
    <row r="2930" spans="18:20">
      <c r="R2930" s="24" t="str">
        <f t="shared" si="189"/>
        <v/>
      </c>
      <c r="S2930" s="24" t="str">
        <f t="shared" si="190"/>
        <v/>
      </c>
      <c r="T2930" t="str">
        <f t="shared" si="188"/>
        <v/>
      </c>
    </row>
    <row r="2931" spans="18:20">
      <c r="R2931" s="24" t="str">
        <f t="shared" si="189"/>
        <v/>
      </c>
      <c r="S2931" s="24" t="str">
        <f t="shared" si="190"/>
        <v/>
      </c>
      <c r="T2931" t="str">
        <f t="shared" si="188"/>
        <v/>
      </c>
    </row>
    <row r="2932" spans="18:20">
      <c r="R2932" s="24" t="str">
        <f t="shared" si="189"/>
        <v/>
      </c>
      <c r="S2932" s="24" t="str">
        <f t="shared" si="190"/>
        <v/>
      </c>
      <c r="T2932" t="str">
        <f t="shared" si="188"/>
        <v/>
      </c>
    </row>
    <row r="2933" spans="18:20">
      <c r="R2933" s="24" t="str">
        <f t="shared" si="189"/>
        <v/>
      </c>
      <c r="S2933" s="24" t="str">
        <f t="shared" si="190"/>
        <v/>
      </c>
      <c r="T2933" t="str">
        <f t="shared" si="188"/>
        <v/>
      </c>
    </row>
    <row r="2934" spans="18:20">
      <c r="R2934" s="24" t="str">
        <f t="shared" si="189"/>
        <v/>
      </c>
      <c r="S2934" s="24" t="str">
        <f t="shared" si="190"/>
        <v/>
      </c>
      <c r="T2934" t="str">
        <f t="shared" si="188"/>
        <v/>
      </c>
    </row>
    <row r="2935" spans="18:20">
      <c r="R2935" s="24" t="str">
        <f t="shared" si="189"/>
        <v/>
      </c>
      <c r="S2935" s="24" t="str">
        <f t="shared" si="190"/>
        <v/>
      </c>
      <c r="T2935" t="str">
        <f t="shared" si="188"/>
        <v/>
      </c>
    </row>
    <row r="2936" spans="18:20">
      <c r="R2936" s="24" t="str">
        <f t="shared" si="189"/>
        <v/>
      </c>
      <c r="S2936" s="24" t="str">
        <f t="shared" si="190"/>
        <v/>
      </c>
      <c r="T2936" t="str">
        <f t="shared" si="188"/>
        <v/>
      </c>
    </row>
    <row r="2937" spans="18:20">
      <c r="R2937" s="24" t="str">
        <f t="shared" si="189"/>
        <v/>
      </c>
      <c r="S2937" s="24" t="str">
        <f t="shared" si="190"/>
        <v/>
      </c>
      <c r="T2937" t="str">
        <f t="shared" si="188"/>
        <v/>
      </c>
    </row>
    <row r="2938" spans="18:20">
      <c r="R2938" s="24" t="str">
        <f t="shared" si="189"/>
        <v/>
      </c>
      <c r="S2938" s="24" t="str">
        <f t="shared" si="190"/>
        <v/>
      </c>
      <c r="T2938" t="str">
        <f t="shared" si="188"/>
        <v/>
      </c>
    </row>
    <row r="2939" spans="18:20">
      <c r="R2939" s="24" t="str">
        <f t="shared" si="189"/>
        <v/>
      </c>
      <c r="S2939" s="24" t="str">
        <f t="shared" si="190"/>
        <v/>
      </c>
      <c r="T2939" t="str">
        <f t="shared" si="188"/>
        <v/>
      </c>
    </row>
    <row r="2940" spans="18:20">
      <c r="R2940" s="24" t="str">
        <f t="shared" si="189"/>
        <v/>
      </c>
      <c r="S2940" s="24" t="str">
        <f t="shared" si="190"/>
        <v/>
      </c>
      <c r="T2940" t="str">
        <f t="shared" si="188"/>
        <v/>
      </c>
    </row>
    <row r="2941" spans="18:20">
      <c r="R2941" s="24" t="str">
        <f t="shared" si="189"/>
        <v/>
      </c>
      <c r="S2941" s="24" t="str">
        <f t="shared" si="190"/>
        <v/>
      </c>
      <c r="T2941" t="str">
        <f t="shared" si="188"/>
        <v/>
      </c>
    </row>
    <row r="2942" spans="18:20">
      <c r="R2942" s="24" t="str">
        <f t="shared" si="189"/>
        <v/>
      </c>
      <c r="S2942" s="24" t="str">
        <f t="shared" si="190"/>
        <v/>
      </c>
      <c r="T2942" t="str">
        <f t="shared" si="188"/>
        <v/>
      </c>
    </row>
    <row r="2943" spans="18:20">
      <c r="R2943" s="24" t="str">
        <f t="shared" si="189"/>
        <v/>
      </c>
      <c r="S2943" s="24" t="str">
        <f t="shared" si="190"/>
        <v/>
      </c>
      <c r="T2943" t="str">
        <f t="shared" si="188"/>
        <v/>
      </c>
    </row>
    <row r="2944" spans="18:20">
      <c r="R2944" s="24" t="str">
        <f t="shared" si="189"/>
        <v/>
      </c>
      <c r="S2944" s="24" t="str">
        <f t="shared" si="190"/>
        <v/>
      </c>
      <c r="T2944" t="str">
        <f t="shared" si="188"/>
        <v/>
      </c>
    </row>
    <row r="2945" spans="18:20">
      <c r="R2945" s="24" t="str">
        <f t="shared" si="189"/>
        <v/>
      </c>
      <c r="S2945" s="24" t="str">
        <f t="shared" si="190"/>
        <v/>
      </c>
      <c r="T2945" t="str">
        <f t="shared" si="188"/>
        <v/>
      </c>
    </row>
    <row r="2946" spans="18:20">
      <c r="R2946" s="24" t="str">
        <f t="shared" si="189"/>
        <v/>
      </c>
      <c r="S2946" s="24" t="str">
        <f t="shared" si="190"/>
        <v/>
      </c>
      <c r="T2946" t="str">
        <f t="shared" si="188"/>
        <v/>
      </c>
    </row>
    <row r="2947" spans="18:20">
      <c r="R2947" s="24" t="str">
        <f t="shared" si="189"/>
        <v/>
      </c>
      <c r="S2947" s="24" t="str">
        <f t="shared" si="190"/>
        <v/>
      </c>
      <c r="T2947" t="str">
        <f t="shared" si="188"/>
        <v/>
      </c>
    </row>
    <row r="2948" spans="18:20">
      <c r="R2948" s="24" t="str">
        <f t="shared" si="189"/>
        <v/>
      </c>
      <c r="S2948" s="24" t="str">
        <f t="shared" si="190"/>
        <v/>
      </c>
      <c r="T2948" t="str">
        <f t="shared" si="188"/>
        <v/>
      </c>
    </row>
    <row r="2949" spans="18:20">
      <c r="R2949" s="24" t="str">
        <f t="shared" si="189"/>
        <v/>
      </c>
      <c r="S2949" s="24" t="str">
        <f t="shared" si="190"/>
        <v/>
      </c>
      <c r="T2949" t="str">
        <f t="shared" si="188"/>
        <v/>
      </c>
    </row>
    <row r="2950" spans="18:20">
      <c r="R2950" s="24" t="str">
        <f t="shared" si="189"/>
        <v/>
      </c>
      <c r="S2950" s="24" t="str">
        <f t="shared" si="190"/>
        <v/>
      </c>
      <c r="T2950" t="str">
        <f t="shared" si="188"/>
        <v/>
      </c>
    </row>
    <row r="2951" spans="18:20">
      <c r="R2951" s="24" t="str">
        <f t="shared" si="189"/>
        <v/>
      </c>
      <c r="S2951" s="24" t="str">
        <f t="shared" si="190"/>
        <v/>
      </c>
      <c r="T2951" t="str">
        <f t="shared" si="188"/>
        <v/>
      </c>
    </row>
    <row r="2952" spans="18:20">
      <c r="R2952" s="24" t="str">
        <f t="shared" si="189"/>
        <v/>
      </c>
      <c r="S2952" s="24" t="str">
        <f t="shared" si="190"/>
        <v/>
      </c>
      <c r="T2952" t="str">
        <f t="shared" si="188"/>
        <v/>
      </c>
    </row>
    <row r="2953" spans="18:20">
      <c r="R2953" s="24" t="str">
        <f t="shared" si="189"/>
        <v/>
      </c>
      <c r="S2953" s="24" t="str">
        <f t="shared" si="190"/>
        <v/>
      </c>
      <c r="T2953" t="str">
        <f t="shared" si="188"/>
        <v/>
      </c>
    </row>
    <row r="2954" spans="18:20">
      <c r="R2954" s="24" t="str">
        <f t="shared" si="189"/>
        <v/>
      </c>
      <c r="S2954" s="24" t="str">
        <f t="shared" si="190"/>
        <v/>
      </c>
      <c r="T2954" t="str">
        <f t="shared" si="188"/>
        <v/>
      </c>
    </row>
    <row r="2955" spans="18:20">
      <c r="R2955" s="24" t="str">
        <f t="shared" si="189"/>
        <v/>
      </c>
      <c r="S2955" s="24" t="str">
        <f t="shared" si="190"/>
        <v/>
      </c>
      <c r="T2955" t="str">
        <f t="shared" si="188"/>
        <v/>
      </c>
    </row>
    <row r="2956" spans="18:20">
      <c r="R2956" s="24" t="str">
        <f t="shared" si="189"/>
        <v/>
      </c>
      <c r="S2956" s="24" t="str">
        <f t="shared" si="190"/>
        <v/>
      </c>
      <c r="T2956" t="str">
        <f t="shared" si="188"/>
        <v/>
      </c>
    </row>
    <row r="2957" spans="18:20">
      <c r="R2957" s="24" t="str">
        <f t="shared" si="189"/>
        <v/>
      </c>
      <c r="S2957" s="24" t="str">
        <f t="shared" si="190"/>
        <v/>
      </c>
      <c r="T2957" t="str">
        <f t="shared" si="188"/>
        <v/>
      </c>
    </row>
    <row r="2958" spans="18:20">
      <c r="R2958" s="24" t="str">
        <f t="shared" si="189"/>
        <v/>
      </c>
      <c r="S2958" s="24" t="str">
        <f t="shared" si="190"/>
        <v/>
      </c>
      <c r="T2958" t="str">
        <f t="shared" si="188"/>
        <v/>
      </c>
    </row>
    <row r="2959" spans="18:20">
      <c r="R2959" s="24" t="str">
        <f t="shared" si="189"/>
        <v/>
      </c>
      <c r="S2959" s="24" t="str">
        <f t="shared" si="190"/>
        <v/>
      </c>
      <c r="T2959" t="str">
        <f t="shared" ref="T2959:T3022" si="191">IF(OR(C2959="",I2959&lt;&gt;"ENTRADA"),"",TEXT(B2959,"AAMMDD")&amp;"-"&amp;TEXT(VALUE(SUBSTITUTE(A2959,"MOV-","")),"000"))</f>
        <v/>
      </c>
    </row>
    <row r="2960" spans="18:20">
      <c r="R2960" s="24" t="str">
        <f t="shared" ref="R2960:R3023" si="192">IF(H2960="","",H2960&amp;I2960)</f>
        <v/>
      </c>
      <c r="S2960" s="24" t="str">
        <f t="shared" ref="S2960:S3023" si="193">IF(C2960="","",C2960&amp;I2960)</f>
        <v/>
      </c>
      <c r="T2960" t="str">
        <f t="shared" si="191"/>
        <v/>
      </c>
    </row>
    <row r="2961" spans="18:20">
      <c r="R2961" s="24" t="str">
        <f t="shared" si="192"/>
        <v/>
      </c>
      <c r="S2961" s="24" t="str">
        <f t="shared" si="193"/>
        <v/>
      </c>
      <c r="T2961" t="str">
        <f t="shared" si="191"/>
        <v/>
      </c>
    </row>
    <row r="2962" spans="18:20">
      <c r="R2962" s="24" t="str">
        <f t="shared" si="192"/>
        <v/>
      </c>
      <c r="S2962" s="24" t="str">
        <f t="shared" si="193"/>
        <v/>
      </c>
      <c r="T2962" t="str">
        <f t="shared" si="191"/>
        <v/>
      </c>
    </row>
    <row r="2963" spans="18:20">
      <c r="R2963" s="24" t="str">
        <f t="shared" si="192"/>
        <v/>
      </c>
      <c r="S2963" s="24" t="str">
        <f t="shared" si="193"/>
        <v/>
      </c>
      <c r="T2963" t="str">
        <f t="shared" si="191"/>
        <v/>
      </c>
    </row>
    <row r="2964" spans="18:20">
      <c r="R2964" s="24" t="str">
        <f t="shared" si="192"/>
        <v/>
      </c>
      <c r="S2964" s="24" t="str">
        <f t="shared" si="193"/>
        <v/>
      </c>
      <c r="T2964" t="str">
        <f t="shared" si="191"/>
        <v/>
      </c>
    </row>
    <row r="2965" spans="18:20">
      <c r="R2965" s="24" t="str">
        <f t="shared" si="192"/>
        <v/>
      </c>
      <c r="S2965" s="24" t="str">
        <f t="shared" si="193"/>
        <v/>
      </c>
      <c r="T2965" t="str">
        <f t="shared" si="191"/>
        <v/>
      </c>
    </row>
    <row r="2966" spans="18:20">
      <c r="R2966" s="24" t="str">
        <f t="shared" si="192"/>
        <v/>
      </c>
      <c r="S2966" s="24" t="str">
        <f t="shared" si="193"/>
        <v/>
      </c>
      <c r="T2966" t="str">
        <f t="shared" si="191"/>
        <v/>
      </c>
    </row>
    <row r="2967" spans="18:20">
      <c r="R2967" s="24" t="str">
        <f t="shared" si="192"/>
        <v/>
      </c>
      <c r="S2967" s="24" t="str">
        <f t="shared" si="193"/>
        <v/>
      </c>
      <c r="T2967" t="str">
        <f t="shared" si="191"/>
        <v/>
      </c>
    </row>
    <row r="2968" spans="18:20">
      <c r="R2968" s="24" t="str">
        <f t="shared" si="192"/>
        <v/>
      </c>
      <c r="S2968" s="24" t="str">
        <f t="shared" si="193"/>
        <v/>
      </c>
      <c r="T2968" t="str">
        <f t="shared" si="191"/>
        <v/>
      </c>
    </row>
    <row r="2969" spans="18:20">
      <c r="R2969" s="24" t="str">
        <f t="shared" si="192"/>
        <v/>
      </c>
      <c r="S2969" s="24" t="str">
        <f t="shared" si="193"/>
        <v/>
      </c>
      <c r="T2969" t="str">
        <f t="shared" si="191"/>
        <v/>
      </c>
    </row>
    <row r="2970" spans="18:20">
      <c r="R2970" s="24" t="str">
        <f t="shared" si="192"/>
        <v/>
      </c>
      <c r="S2970" s="24" t="str">
        <f t="shared" si="193"/>
        <v/>
      </c>
      <c r="T2970" t="str">
        <f t="shared" si="191"/>
        <v/>
      </c>
    </row>
    <row r="2971" spans="18:20">
      <c r="R2971" s="24" t="str">
        <f t="shared" si="192"/>
        <v/>
      </c>
      <c r="S2971" s="24" t="str">
        <f t="shared" si="193"/>
        <v/>
      </c>
      <c r="T2971" t="str">
        <f t="shared" si="191"/>
        <v/>
      </c>
    </row>
    <row r="2972" spans="18:20">
      <c r="R2972" s="24" t="str">
        <f t="shared" si="192"/>
        <v/>
      </c>
      <c r="S2972" s="24" t="str">
        <f t="shared" si="193"/>
        <v/>
      </c>
      <c r="T2972" t="str">
        <f t="shared" si="191"/>
        <v/>
      </c>
    </row>
    <row r="2973" spans="18:20">
      <c r="R2973" s="24" t="str">
        <f t="shared" si="192"/>
        <v/>
      </c>
      <c r="S2973" s="24" t="str">
        <f t="shared" si="193"/>
        <v/>
      </c>
      <c r="T2973" t="str">
        <f t="shared" si="191"/>
        <v/>
      </c>
    </row>
    <row r="2974" spans="18:20">
      <c r="R2974" s="24" t="str">
        <f t="shared" si="192"/>
        <v/>
      </c>
      <c r="S2974" s="24" t="str">
        <f t="shared" si="193"/>
        <v/>
      </c>
      <c r="T2974" t="str">
        <f t="shared" si="191"/>
        <v/>
      </c>
    </row>
    <row r="2975" spans="18:20">
      <c r="R2975" s="24" t="str">
        <f t="shared" si="192"/>
        <v/>
      </c>
      <c r="S2975" s="24" t="str">
        <f t="shared" si="193"/>
        <v/>
      </c>
      <c r="T2975" t="str">
        <f t="shared" si="191"/>
        <v/>
      </c>
    </row>
    <row r="2976" spans="18:20">
      <c r="R2976" s="24" t="str">
        <f t="shared" si="192"/>
        <v/>
      </c>
      <c r="S2976" s="24" t="str">
        <f t="shared" si="193"/>
        <v/>
      </c>
      <c r="T2976" t="str">
        <f t="shared" si="191"/>
        <v/>
      </c>
    </row>
    <row r="2977" spans="18:20">
      <c r="R2977" s="24" t="str">
        <f t="shared" si="192"/>
        <v/>
      </c>
      <c r="S2977" s="24" t="str">
        <f t="shared" si="193"/>
        <v/>
      </c>
      <c r="T2977" t="str">
        <f t="shared" si="191"/>
        <v/>
      </c>
    </row>
    <row r="2978" spans="18:20">
      <c r="R2978" s="24" t="str">
        <f t="shared" si="192"/>
        <v/>
      </c>
      <c r="S2978" s="24" t="str">
        <f t="shared" si="193"/>
        <v/>
      </c>
      <c r="T2978" t="str">
        <f t="shared" si="191"/>
        <v/>
      </c>
    </row>
    <row r="2979" spans="18:20">
      <c r="R2979" s="24" t="str">
        <f t="shared" si="192"/>
        <v/>
      </c>
      <c r="S2979" s="24" t="str">
        <f t="shared" si="193"/>
        <v/>
      </c>
      <c r="T2979" t="str">
        <f t="shared" si="191"/>
        <v/>
      </c>
    </row>
    <row r="2980" spans="18:20">
      <c r="R2980" s="24" t="str">
        <f t="shared" si="192"/>
        <v/>
      </c>
      <c r="S2980" s="24" t="str">
        <f t="shared" si="193"/>
        <v/>
      </c>
      <c r="T2980" t="str">
        <f t="shared" si="191"/>
        <v/>
      </c>
    </row>
    <row r="2981" spans="18:20">
      <c r="R2981" s="24" t="str">
        <f t="shared" si="192"/>
        <v/>
      </c>
      <c r="S2981" s="24" t="str">
        <f t="shared" si="193"/>
        <v/>
      </c>
      <c r="T2981" t="str">
        <f t="shared" si="191"/>
        <v/>
      </c>
    </row>
    <row r="2982" spans="18:20">
      <c r="R2982" s="24" t="str">
        <f t="shared" si="192"/>
        <v/>
      </c>
      <c r="S2982" s="24" t="str">
        <f t="shared" si="193"/>
        <v/>
      </c>
      <c r="T2982" t="str">
        <f t="shared" si="191"/>
        <v/>
      </c>
    </row>
    <row r="2983" spans="18:20">
      <c r="R2983" s="24" t="str">
        <f t="shared" si="192"/>
        <v/>
      </c>
      <c r="S2983" s="24" t="str">
        <f t="shared" si="193"/>
        <v/>
      </c>
      <c r="T2983" t="str">
        <f t="shared" si="191"/>
        <v/>
      </c>
    </row>
    <row r="2984" spans="18:20">
      <c r="R2984" s="24" t="str">
        <f t="shared" si="192"/>
        <v/>
      </c>
      <c r="S2984" s="24" t="str">
        <f t="shared" si="193"/>
        <v/>
      </c>
      <c r="T2984" t="str">
        <f t="shared" si="191"/>
        <v/>
      </c>
    </row>
    <row r="2985" spans="18:20">
      <c r="R2985" s="24" t="str">
        <f t="shared" si="192"/>
        <v/>
      </c>
      <c r="S2985" s="24" t="str">
        <f t="shared" si="193"/>
        <v/>
      </c>
      <c r="T2985" t="str">
        <f t="shared" si="191"/>
        <v/>
      </c>
    </row>
    <row r="2986" spans="18:20">
      <c r="R2986" s="24" t="str">
        <f t="shared" si="192"/>
        <v/>
      </c>
      <c r="S2986" s="24" t="str">
        <f t="shared" si="193"/>
        <v/>
      </c>
      <c r="T2986" t="str">
        <f t="shared" si="191"/>
        <v/>
      </c>
    </row>
    <row r="2987" spans="18:20">
      <c r="R2987" s="24" t="str">
        <f t="shared" si="192"/>
        <v/>
      </c>
      <c r="S2987" s="24" t="str">
        <f t="shared" si="193"/>
        <v/>
      </c>
      <c r="T2987" t="str">
        <f t="shared" si="191"/>
        <v/>
      </c>
    </row>
    <row r="2988" spans="18:20">
      <c r="R2988" s="24" t="str">
        <f t="shared" si="192"/>
        <v/>
      </c>
      <c r="S2988" s="24" t="str">
        <f t="shared" si="193"/>
        <v/>
      </c>
      <c r="T2988" t="str">
        <f t="shared" si="191"/>
        <v/>
      </c>
    </row>
    <row r="2989" spans="18:20">
      <c r="R2989" s="24" t="str">
        <f t="shared" si="192"/>
        <v/>
      </c>
      <c r="S2989" s="24" t="str">
        <f t="shared" si="193"/>
        <v/>
      </c>
      <c r="T2989" t="str">
        <f t="shared" si="191"/>
        <v/>
      </c>
    </row>
    <row r="2990" spans="18:20">
      <c r="R2990" s="24" t="str">
        <f t="shared" si="192"/>
        <v/>
      </c>
      <c r="S2990" s="24" t="str">
        <f t="shared" si="193"/>
        <v/>
      </c>
      <c r="T2990" t="str">
        <f t="shared" si="191"/>
        <v/>
      </c>
    </row>
    <row r="2991" spans="18:20">
      <c r="R2991" s="24" t="str">
        <f t="shared" si="192"/>
        <v/>
      </c>
      <c r="S2991" s="24" t="str">
        <f t="shared" si="193"/>
        <v/>
      </c>
      <c r="T2991" t="str">
        <f t="shared" si="191"/>
        <v/>
      </c>
    </row>
    <row r="2992" spans="18:20">
      <c r="R2992" s="24" t="str">
        <f t="shared" si="192"/>
        <v/>
      </c>
      <c r="S2992" s="24" t="str">
        <f t="shared" si="193"/>
        <v/>
      </c>
      <c r="T2992" t="str">
        <f t="shared" si="191"/>
        <v/>
      </c>
    </row>
    <row r="2993" spans="18:20">
      <c r="R2993" s="24" t="str">
        <f t="shared" si="192"/>
        <v/>
      </c>
      <c r="S2993" s="24" t="str">
        <f t="shared" si="193"/>
        <v/>
      </c>
      <c r="T2993" t="str">
        <f t="shared" si="191"/>
        <v/>
      </c>
    </row>
    <row r="2994" spans="18:20">
      <c r="R2994" s="24" t="str">
        <f t="shared" si="192"/>
        <v/>
      </c>
      <c r="S2994" s="24" t="str">
        <f t="shared" si="193"/>
        <v/>
      </c>
      <c r="T2994" t="str">
        <f t="shared" si="191"/>
        <v/>
      </c>
    </row>
    <row r="2995" spans="18:20">
      <c r="R2995" s="24" t="str">
        <f t="shared" si="192"/>
        <v/>
      </c>
      <c r="S2995" s="24" t="str">
        <f t="shared" si="193"/>
        <v/>
      </c>
      <c r="T2995" t="str">
        <f t="shared" si="191"/>
        <v/>
      </c>
    </row>
    <row r="2996" spans="18:20">
      <c r="R2996" s="24" t="str">
        <f t="shared" si="192"/>
        <v/>
      </c>
      <c r="S2996" s="24" t="str">
        <f t="shared" si="193"/>
        <v/>
      </c>
      <c r="T2996" t="str">
        <f t="shared" si="191"/>
        <v/>
      </c>
    </row>
    <row r="2997" spans="18:20">
      <c r="R2997" s="24" t="str">
        <f t="shared" si="192"/>
        <v/>
      </c>
      <c r="S2997" s="24" t="str">
        <f t="shared" si="193"/>
        <v/>
      </c>
      <c r="T2997" t="str">
        <f t="shared" si="191"/>
        <v/>
      </c>
    </row>
    <row r="2998" spans="18:20">
      <c r="R2998" s="24" t="str">
        <f t="shared" si="192"/>
        <v/>
      </c>
      <c r="S2998" s="24" t="str">
        <f t="shared" si="193"/>
        <v/>
      </c>
      <c r="T2998" t="str">
        <f t="shared" si="191"/>
        <v/>
      </c>
    </row>
    <row r="2999" spans="18:20">
      <c r="R2999" s="24" t="str">
        <f t="shared" si="192"/>
        <v/>
      </c>
      <c r="S2999" s="24" t="str">
        <f t="shared" si="193"/>
        <v/>
      </c>
      <c r="T2999" t="str">
        <f t="shared" si="191"/>
        <v/>
      </c>
    </row>
    <row r="3000" spans="18:20">
      <c r="R3000" s="24" t="str">
        <f t="shared" si="192"/>
        <v/>
      </c>
      <c r="S3000" s="24" t="str">
        <f t="shared" si="193"/>
        <v/>
      </c>
      <c r="T3000" t="str">
        <f t="shared" si="191"/>
        <v/>
      </c>
    </row>
    <row r="3001" spans="18:20">
      <c r="R3001" s="24" t="str">
        <f t="shared" si="192"/>
        <v/>
      </c>
      <c r="S3001" s="24" t="str">
        <f t="shared" si="193"/>
        <v/>
      </c>
      <c r="T3001" t="str">
        <f t="shared" si="191"/>
        <v/>
      </c>
    </row>
    <row r="3002" spans="18:20">
      <c r="R3002" s="24" t="str">
        <f t="shared" si="192"/>
        <v/>
      </c>
      <c r="S3002" s="24" t="str">
        <f t="shared" si="193"/>
        <v/>
      </c>
      <c r="T3002" t="str">
        <f t="shared" si="191"/>
        <v/>
      </c>
    </row>
    <row r="3003" spans="18:20">
      <c r="R3003" s="24" t="str">
        <f t="shared" si="192"/>
        <v/>
      </c>
      <c r="S3003" s="24" t="str">
        <f t="shared" si="193"/>
        <v/>
      </c>
      <c r="T3003" t="str">
        <f t="shared" si="191"/>
        <v/>
      </c>
    </row>
    <row r="3004" spans="18:20">
      <c r="R3004" s="24" t="str">
        <f t="shared" si="192"/>
        <v/>
      </c>
      <c r="S3004" s="24" t="str">
        <f t="shared" si="193"/>
        <v/>
      </c>
      <c r="T3004" t="str">
        <f t="shared" si="191"/>
        <v/>
      </c>
    </row>
    <row r="3005" spans="18:20">
      <c r="R3005" s="24" t="str">
        <f t="shared" si="192"/>
        <v/>
      </c>
      <c r="S3005" s="24" t="str">
        <f t="shared" si="193"/>
        <v/>
      </c>
      <c r="T3005" t="str">
        <f t="shared" si="191"/>
        <v/>
      </c>
    </row>
    <row r="3006" spans="18:20">
      <c r="R3006" s="24" t="str">
        <f t="shared" si="192"/>
        <v/>
      </c>
      <c r="S3006" s="24" t="str">
        <f t="shared" si="193"/>
        <v/>
      </c>
      <c r="T3006" t="str">
        <f t="shared" si="191"/>
        <v/>
      </c>
    </row>
    <row r="3007" spans="18:20">
      <c r="R3007" s="24" t="str">
        <f t="shared" si="192"/>
        <v/>
      </c>
      <c r="S3007" s="24" t="str">
        <f t="shared" si="193"/>
        <v/>
      </c>
      <c r="T3007" t="str">
        <f t="shared" si="191"/>
        <v/>
      </c>
    </row>
    <row r="3008" spans="18:20">
      <c r="R3008" s="24" t="str">
        <f t="shared" si="192"/>
        <v/>
      </c>
      <c r="S3008" s="24" t="str">
        <f t="shared" si="193"/>
        <v/>
      </c>
      <c r="T3008" t="str">
        <f t="shared" si="191"/>
        <v/>
      </c>
    </row>
    <row r="3009" spans="18:20">
      <c r="R3009" s="24" t="str">
        <f t="shared" si="192"/>
        <v/>
      </c>
      <c r="S3009" s="24" t="str">
        <f t="shared" si="193"/>
        <v/>
      </c>
      <c r="T3009" t="str">
        <f t="shared" si="191"/>
        <v/>
      </c>
    </row>
    <row r="3010" spans="18:20">
      <c r="R3010" s="24" t="str">
        <f t="shared" si="192"/>
        <v/>
      </c>
      <c r="S3010" s="24" t="str">
        <f t="shared" si="193"/>
        <v/>
      </c>
      <c r="T3010" t="str">
        <f t="shared" si="191"/>
        <v/>
      </c>
    </row>
    <row r="3011" spans="18:20">
      <c r="R3011" s="24" t="str">
        <f t="shared" si="192"/>
        <v/>
      </c>
      <c r="S3011" s="24" t="str">
        <f t="shared" si="193"/>
        <v/>
      </c>
      <c r="T3011" t="str">
        <f t="shared" si="191"/>
        <v/>
      </c>
    </row>
    <row r="3012" spans="18:20">
      <c r="R3012" s="24" t="str">
        <f t="shared" si="192"/>
        <v/>
      </c>
      <c r="S3012" s="24" t="str">
        <f t="shared" si="193"/>
        <v/>
      </c>
      <c r="T3012" t="str">
        <f t="shared" si="191"/>
        <v/>
      </c>
    </row>
    <row r="3013" spans="18:20">
      <c r="R3013" s="24" t="str">
        <f t="shared" si="192"/>
        <v/>
      </c>
      <c r="S3013" s="24" t="str">
        <f t="shared" si="193"/>
        <v/>
      </c>
      <c r="T3013" t="str">
        <f t="shared" si="191"/>
        <v/>
      </c>
    </row>
    <row r="3014" spans="18:20">
      <c r="R3014" s="24" t="str">
        <f t="shared" si="192"/>
        <v/>
      </c>
      <c r="S3014" s="24" t="str">
        <f t="shared" si="193"/>
        <v/>
      </c>
      <c r="T3014" t="str">
        <f t="shared" si="191"/>
        <v/>
      </c>
    </row>
    <row r="3015" spans="18:20">
      <c r="R3015" s="24" t="str">
        <f t="shared" si="192"/>
        <v/>
      </c>
      <c r="S3015" s="24" t="str">
        <f t="shared" si="193"/>
        <v/>
      </c>
      <c r="T3015" t="str">
        <f t="shared" si="191"/>
        <v/>
      </c>
    </row>
    <row r="3016" spans="18:20">
      <c r="R3016" s="24" t="str">
        <f t="shared" si="192"/>
        <v/>
      </c>
      <c r="S3016" s="24" t="str">
        <f t="shared" si="193"/>
        <v/>
      </c>
      <c r="T3016" t="str">
        <f t="shared" si="191"/>
        <v/>
      </c>
    </row>
    <row r="3017" spans="18:20">
      <c r="R3017" s="24" t="str">
        <f t="shared" si="192"/>
        <v/>
      </c>
      <c r="S3017" s="24" t="str">
        <f t="shared" si="193"/>
        <v/>
      </c>
      <c r="T3017" t="str">
        <f t="shared" si="191"/>
        <v/>
      </c>
    </row>
    <row r="3018" spans="18:20">
      <c r="R3018" s="24" t="str">
        <f t="shared" si="192"/>
        <v/>
      </c>
      <c r="S3018" s="24" t="str">
        <f t="shared" si="193"/>
        <v/>
      </c>
      <c r="T3018" t="str">
        <f t="shared" si="191"/>
        <v/>
      </c>
    </row>
    <row r="3019" spans="18:20">
      <c r="R3019" s="24" t="str">
        <f t="shared" si="192"/>
        <v/>
      </c>
      <c r="S3019" s="24" t="str">
        <f t="shared" si="193"/>
        <v/>
      </c>
      <c r="T3019" t="str">
        <f t="shared" si="191"/>
        <v/>
      </c>
    </row>
    <row r="3020" spans="18:20">
      <c r="R3020" s="24" t="str">
        <f t="shared" si="192"/>
        <v/>
      </c>
      <c r="S3020" s="24" t="str">
        <f t="shared" si="193"/>
        <v/>
      </c>
      <c r="T3020" t="str">
        <f t="shared" si="191"/>
        <v/>
      </c>
    </row>
    <row r="3021" spans="18:20">
      <c r="R3021" s="24" t="str">
        <f t="shared" si="192"/>
        <v/>
      </c>
      <c r="S3021" s="24" t="str">
        <f t="shared" si="193"/>
        <v/>
      </c>
      <c r="T3021" t="str">
        <f t="shared" si="191"/>
        <v/>
      </c>
    </row>
    <row r="3022" spans="18:20">
      <c r="R3022" s="24" t="str">
        <f t="shared" si="192"/>
        <v/>
      </c>
      <c r="S3022" s="24" t="str">
        <f t="shared" si="193"/>
        <v/>
      </c>
      <c r="T3022" t="str">
        <f t="shared" si="191"/>
        <v/>
      </c>
    </row>
    <row r="3023" spans="18:20">
      <c r="R3023" s="24" t="str">
        <f t="shared" si="192"/>
        <v/>
      </c>
      <c r="S3023" s="24" t="str">
        <f t="shared" si="193"/>
        <v/>
      </c>
      <c r="T3023" t="str">
        <f t="shared" ref="T3023:T3086" si="194">IF(OR(C3023="",I3023&lt;&gt;"ENTRADA"),"",TEXT(B3023,"AAMMDD")&amp;"-"&amp;TEXT(VALUE(SUBSTITUTE(A3023,"MOV-","")),"000"))</f>
        <v/>
      </c>
    </row>
    <row r="3024" spans="18:20">
      <c r="R3024" s="24" t="str">
        <f t="shared" ref="R3024:R3087" si="195">IF(H3024="","",H3024&amp;I3024)</f>
        <v/>
      </c>
      <c r="S3024" s="24" t="str">
        <f t="shared" ref="S3024:S3087" si="196">IF(C3024="","",C3024&amp;I3024)</f>
        <v/>
      </c>
      <c r="T3024" t="str">
        <f t="shared" si="194"/>
        <v/>
      </c>
    </row>
    <row r="3025" spans="18:20">
      <c r="R3025" s="24" t="str">
        <f t="shared" si="195"/>
        <v/>
      </c>
      <c r="S3025" s="24" t="str">
        <f t="shared" si="196"/>
        <v/>
      </c>
      <c r="T3025" t="str">
        <f t="shared" si="194"/>
        <v/>
      </c>
    </row>
    <row r="3026" spans="18:20">
      <c r="R3026" s="24" t="str">
        <f t="shared" si="195"/>
        <v/>
      </c>
      <c r="S3026" s="24" t="str">
        <f t="shared" si="196"/>
        <v/>
      </c>
      <c r="T3026" t="str">
        <f t="shared" si="194"/>
        <v/>
      </c>
    </row>
    <row r="3027" spans="18:20">
      <c r="R3027" s="24" t="str">
        <f t="shared" si="195"/>
        <v/>
      </c>
      <c r="S3027" s="24" t="str">
        <f t="shared" si="196"/>
        <v/>
      </c>
      <c r="T3027" t="str">
        <f t="shared" si="194"/>
        <v/>
      </c>
    </row>
    <row r="3028" spans="18:20">
      <c r="R3028" s="24" t="str">
        <f t="shared" si="195"/>
        <v/>
      </c>
      <c r="S3028" s="24" t="str">
        <f t="shared" si="196"/>
        <v/>
      </c>
      <c r="T3028" t="str">
        <f t="shared" si="194"/>
        <v/>
      </c>
    </row>
    <row r="3029" spans="18:20">
      <c r="R3029" s="24" t="str">
        <f t="shared" si="195"/>
        <v/>
      </c>
      <c r="S3029" s="24" t="str">
        <f t="shared" si="196"/>
        <v/>
      </c>
      <c r="T3029" t="str">
        <f t="shared" si="194"/>
        <v/>
      </c>
    </row>
    <row r="3030" spans="18:20">
      <c r="R3030" s="24" t="str">
        <f t="shared" si="195"/>
        <v/>
      </c>
      <c r="S3030" s="24" t="str">
        <f t="shared" si="196"/>
        <v/>
      </c>
      <c r="T3030" t="str">
        <f t="shared" si="194"/>
        <v/>
      </c>
    </row>
    <row r="3031" spans="18:20">
      <c r="R3031" s="24" t="str">
        <f t="shared" si="195"/>
        <v/>
      </c>
      <c r="S3031" s="24" t="str">
        <f t="shared" si="196"/>
        <v/>
      </c>
      <c r="T3031" t="str">
        <f t="shared" si="194"/>
        <v/>
      </c>
    </row>
    <row r="3032" spans="18:20">
      <c r="R3032" s="24" t="str">
        <f t="shared" si="195"/>
        <v/>
      </c>
      <c r="S3032" s="24" t="str">
        <f t="shared" si="196"/>
        <v/>
      </c>
      <c r="T3032" t="str">
        <f t="shared" si="194"/>
        <v/>
      </c>
    </row>
    <row r="3033" spans="18:20">
      <c r="R3033" s="24" t="str">
        <f t="shared" si="195"/>
        <v/>
      </c>
      <c r="S3033" s="24" t="str">
        <f t="shared" si="196"/>
        <v/>
      </c>
      <c r="T3033" t="str">
        <f t="shared" si="194"/>
        <v/>
      </c>
    </row>
    <row r="3034" spans="18:20">
      <c r="R3034" s="24" t="str">
        <f t="shared" si="195"/>
        <v/>
      </c>
      <c r="S3034" s="24" t="str">
        <f t="shared" si="196"/>
        <v/>
      </c>
      <c r="T3034" t="str">
        <f t="shared" si="194"/>
        <v/>
      </c>
    </row>
    <row r="3035" spans="18:20">
      <c r="R3035" s="24" t="str">
        <f t="shared" si="195"/>
        <v/>
      </c>
      <c r="S3035" s="24" t="str">
        <f t="shared" si="196"/>
        <v/>
      </c>
      <c r="T3035" t="str">
        <f t="shared" si="194"/>
        <v/>
      </c>
    </row>
    <row r="3036" spans="18:20">
      <c r="R3036" s="24" t="str">
        <f t="shared" si="195"/>
        <v/>
      </c>
      <c r="S3036" s="24" t="str">
        <f t="shared" si="196"/>
        <v/>
      </c>
      <c r="T3036" t="str">
        <f t="shared" si="194"/>
        <v/>
      </c>
    </row>
    <row r="3037" spans="18:20">
      <c r="R3037" s="24" t="str">
        <f t="shared" si="195"/>
        <v/>
      </c>
      <c r="S3037" s="24" t="str">
        <f t="shared" si="196"/>
        <v/>
      </c>
      <c r="T3037" t="str">
        <f t="shared" si="194"/>
        <v/>
      </c>
    </row>
    <row r="3038" spans="18:20">
      <c r="R3038" s="24" t="str">
        <f t="shared" si="195"/>
        <v/>
      </c>
      <c r="S3038" s="24" t="str">
        <f t="shared" si="196"/>
        <v/>
      </c>
      <c r="T3038" t="str">
        <f t="shared" si="194"/>
        <v/>
      </c>
    </row>
    <row r="3039" spans="18:20">
      <c r="R3039" s="24" t="str">
        <f t="shared" si="195"/>
        <v/>
      </c>
      <c r="S3039" s="24" t="str">
        <f t="shared" si="196"/>
        <v/>
      </c>
      <c r="T3039" t="str">
        <f t="shared" si="194"/>
        <v/>
      </c>
    </row>
    <row r="3040" spans="18:20">
      <c r="R3040" s="24" t="str">
        <f t="shared" si="195"/>
        <v/>
      </c>
      <c r="S3040" s="24" t="str">
        <f t="shared" si="196"/>
        <v/>
      </c>
      <c r="T3040" t="str">
        <f t="shared" si="194"/>
        <v/>
      </c>
    </row>
    <row r="3041" spans="18:20">
      <c r="R3041" s="24" t="str">
        <f t="shared" si="195"/>
        <v/>
      </c>
      <c r="S3041" s="24" t="str">
        <f t="shared" si="196"/>
        <v/>
      </c>
      <c r="T3041" t="str">
        <f t="shared" si="194"/>
        <v/>
      </c>
    </row>
    <row r="3042" spans="18:20">
      <c r="R3042" s="24" t="str">
        <f t="shared" si="195"/>
        <v/>
      </c>
      <c r="S3042" s="24" t="str">
        <f t="shared" si="196"/>
        <v/>
      </c>
      <c r="T3042" t="str">
        <f t="shared" si="194"/>
        <v/>
      </c>
    </row>
    <row r="3043" spans="18:20">
      <c r="R3043" s="24" t="str">
        <f t="shared" si="195"/>
        <v/>
      </c>
      <c r="S3043" s="24" t="str">
        <f t="shared" si="196"/>
        <v/>
      </c>
      <c r="T3043" t="str">
        <f t="shared" si="194"/>
        <v/>
      </c>
    </row>
    <row r="3044" spans="18:20">
      <c r="R3044" s="24" t="str">
        <f t="shared" si="195"/>
        <v/>
      </c>
      <c r="S3044" s="24" t="str">
        <f t="shared" si="196"/>
        <v/>
      </c>
      <c r="T3044" t="str">
        <f t="shared" si="194"/>
        <v/>
      </c>
    </row>
    <row r="3045" spans="18:20">
      <c r="R3045" s="24" t="str">
        <f t="shared" si="195"/>
        <v/>
      </c>
      <c r="S3045" s="24" t="str">
        <f t="shared" si="196"/>
        <v/>
      </c>
      <c r="T3045" t="str">
        <f t="shared" si="194"/>
        <v/>
      </c>
    </row>
    <row r="3046" spans="18:20">
      <c r="R3046" s="24" t="str">
        <f t="shared" si="195"/>
        <v/>
      </c>
      <c r="S3046" s="24" t="str">
        <f t="shared" si="196"/>
        <v/>
      </c>
      <c r="T3046" t="str">
        <f t="shared" si="194"/>
        <v/>
      </c>
    </row>
    <row r="3047" spans="18:20">
      <c r="R3047" s="24" t="str">
        <f t="shared" si="195"/>
        <v/>
      </c>
      <c r="S3047" s="24" t="str">
        <f t="shared" si="196"/>
        <v/>
      </c>
      <c r="T3047" t="str">
        <f t="shared" si="194"/>
        <v/>
      </c>
    </row>
    <row r="3048" spans="18:20">
      <c r="R3048" s="24" t="str">
        <f t="shared" si="195"/>
        <v/>
      </c>
      <c r="S3048" s="24" t="str">
        <f t="shared" si="196"/>
        <v/>
      </c>
      <c r="T3048" t="str">
        <f t="shared" si="194"/>
        <v/>
      </c>
    </row>
    <row r="3049" spans="18:20">
      <c r="R3049" s="24" t="str">
        <f t="shared" si="195"/>
        <v/>
      </c>
      <c r="S3049" s="24" t="str">
        <f t="shared" si="196"/>
        <v/>
      </c>
      <c r="T3049" t="str">
        <f t="shared" si="194"/>
        <v/>
      </c>
    </row>
    <row r="3050" spans="18:20">
      <c r="R3050" s="24" t="str">
        <f t="shared" si="195"/>
        <v/>
      </c>
      <c r="S3050" s="24" t="str">
        <f t="shared" si="196"/>
        <v/>
      </c>
      <c r="T3050" t="str">
        <f t="shared" si="194"/>
        <v/>
      </c>
    </row>
    <row r="3051" spans="18:20">
      <c r="R3051" s="24" t="str">
        <f t="shared" si="195"/>
        <v/>
      </c>
      <c r="S3051" s="24" t="str">
        <f t="shared" si="196"/>
        <v/>
      </c>
      <c r="T3051" t="str">
        <f t="shared" si="194"/>
        <v/>
      </c>
    </row>
    <row r="3052" spans="18:20">
      <c r="R3052" s="24" t="str">
        <f t="shared" si="195"/>
        <v/>
      </c>
      <c r="S3052" s="24" t="str">
        <f t="shared" si="196"/>
        <v/>
      </c>
      <c r="T3052" t="str">
        <f t="shared" si="194"/>
        <v/>
      </c>
    </row>
    <row r="3053" spans="18:20">
      <c r="R3053" s="24" t="str">
        <f t="shared" si="195"/>
        <v/>
      </c>
      <c r="S3053" s="24" t="str">
        <f t="shared" si="196"/>
        <v/>
      </c>
      <c r="T3053" t="str">
        <f t="shared" si="194"/>
        <v/>
      </c>
    </row>
    <row r="3054" spans="18:20">
      <c r="R3054" s="24" t="str">
        <f t="shared" si="195"/>
        <v/>
      </c>
      <c r="S3054" s="24" t="str">
        <f t="shared" si="196"/>
        <v/>
      </c>
      <c r="T3054" t="str">
        <f t="shared" si="194"/>
        <v/>
      </c>
    </row>
    <row r="3055" spans="18:20">
      <c r="R3055" s="24" t="str">
        <f t="shared" si="195"/>
        <v/>
      </c>
      <c r="S3055" s="24" t="str">
        <f t="shared" si="196"/>
        <v/>
      </c>
      <c r="T3055" t="str">
        <f t="shared" si="194"/>
        <v/>
      </c>
    </row>
    <row r="3056" spans="18:20">
      <c r="R3056" s="24" t="str">
        <f t="shared" si="195"/>
        <v/>
      </c>
      <c r="S3056" s="24" t="str">
        <f t="shared" si="196"/>
        <v/>
      </c>
      <c r="T3056" t="str">
        <f t="shared" si="194"/>
        <v/>
      </c>
    </row>
    <row r="3057" spans="18:20">
      <c r="R3057" s="24" t="str">
        <f t="shared" si="195"/>
        <v/>
      </c>
      <c r="S3057" s="24" t="str">
        <f t="shared" si="196"/>
        <v/>
      </c>
      <c r="T3057" t="str">
        <f t="shared" si="194"/>
        <v/>
      </c>
    </row>
    <row r="3058" spans="18:20">
      <c r="R3058" s="24" t="str">
        <f t="shared" si="195"/>
        <v/>
      </c>
      <c r="S3058" s="24" t="str">
        <f t="shared" si="196"/>
        <v/>
      </c>
      <c r="T3058" t="str">
        <f t="shared" si="194"/>
        <v/>
      </c>
    </row>
    <row r="3059" spans="18:20">
      <c r="R3059" s="24" t="str">
        <f t="shared" si="195"/>
        <v/>
      </c>
      <c r="S3059" s="24" t="str">
        <f t="shared" si="196"/>
        <v/>
      </c>
      <c r="T3059" t="str">
        <f t="shared" si="194"/>
        <v/>
      </c>
    </row>
    <row r="3060" spans="18:20">
      <c r="R3060" s="24" t="str">
        <f t="shared" si="195"/>
        <v/>
      </c>
      <c r="S3060" s="24" t="str">
        <f t="shared" si="196"/>
        <v/>
      </c>
      <c r="T3060" t="str">
        <f t="shared" si="194"/>
        <v/>
      </c>
    </row>
    <row r="3061" spans="18:20">
      <c r="R3061" s="24" t="str">
        <f t="shared" si="195"/>
        <v/>
      </c>
      <c r="S3061" s="24" t="str">
        <f t="shared" si="196"/>
        <v/>
      </c>
      <c r="T3061" t="str">
        <f t="shared" si="194"/>
        <v/>
      </c>
    </row>
    <row r="3062" spans="18:20">
      <c r="R3062" s="24" t="str">
        <f t="shared" si="195"/>
        <v/>
      </c>
      <c r="S3062" s="24" t="str">
        <f t="shared" si="196"/>
        <v/>
      </c>
      <c r="T3062" t="str">
        <f t="shared" si="194"/>
        <v/>
      </c>
    </row>
    <row r="3063" spans="18:20">
      <c r="R3063" s="24" t="str">
        <f t="shared" si="195"/>
        <v/>
      </c>
      <c r="S3063" s="24" t="str">
        <f t="shared" si="196"/>
        <v/>
      </c>
      <c r="T3063" t="str">
        <f t="shared" si="194"/>
        <v/>
      </c>
    </row>
    <row r="3064" spans="18:20">
      <c r="R3064" s="24" t="str">
        <f t="shared" si="195"/>
        <v/>
      </c>
      <c r="S3064" s="24" t="str">
        <f t="shared" si="196"/>
        <v/>
      </c>
      <c r="T3064" t="str">
        <f t="shared" si="194"/>
        <v/>
      </c>
    </row>
    <row r="3065" spans="18:20">
      <c r="R3065" s="24" t="str">
        <f t="shared" si="195"/>
        <v/>
      </c>
      <c r="S3065" s="24" t="str">
        <f t="shared" si="196"/>
        <v/>
      </c>
      <c r="T3065" t="str">
        <f t="shared" si="194"/>
        <v/>
      </c>
    </row>
    <row r="3066" spans="18:20">
      <c r="R3066" s="24" t="str">
        <f t="shared" si="195"/>
        <v/>
      </c>
      <c r="S3066" s="24" t="str">
        <f t="shared" si="196"/>
        <v/>
      </c>
      <c r="T3066" t="str">
        <f t="shared" si="194"/>
        <v/>
      </c>
    </row>
    <row r="3067" spans="18:20">
      <c r="R3067" s="24" t="str">
        <f t="shared" si="195"/>
        <v/>
      </c>
      <c r="S3067" s="24" t="str">
        <f t="shared" si="196"/>
        <v/>
      </c>
      <c r="T3067" t="str">
        <f t="shared" si="194"/>
        <v/>
      </c>
    </row>
    <row r="3068" spans="18:20">
      <c r="R3068" s="24" t="str">
        <f t="shared" si="195"/>
        <v/>
      </c>
      <c r="S3068" s="24" t="str">
        <f t="shared" si="196"/>
        <v/>
      </c>
      <c r="T3068" t="str">
        <f t="shared" si="194"/>
        <v/>
      </c>
    </row>
    <row r="3069" spans="18:20">
      <c r="R3069" s="24" t="str">
        <f t="shared" si="195"/>
        <v/>
      </c>
      <c r="S3069" s="24" t="str">
        <f t="shared" si="196"/>
        <v/>
      </c>
      <c r="T3069" t="str">
        <f t="shared" si="194"/>
        <v/>
      </c>
    </row>
    <row r="3070" spans="18:20">
      <c r="R3070" s="24" t="str">
        <f t="shared" si="195"/>
        <v/>
      </c>
      <c r="S3070" s="24" t="str">
        <f t="shared" si="196"/>
        <v/>
      </c>
      <c r="T3070" t="str">
        <f t="shared" si="194"/>
        <v/>
      </c>
    </row>
    <row r="3071" spans="18:20">
      <c r="R3071" s="24" t="str">
        <f t="shared" si="195"/>
        <v/>
      </c>
      <c r="S3071" s="24" t="str">
        <f t="shared" si="196"/>
        <v/>
      </c>
      <c r="T3071" t="str">
        <f t="shared" si="194"/>
        <v/>
      </c>
    </row>
    <row r="3072" spans="18:20">
      <c r="R3072" s="24" t="str">
        <f t="shared" si="195"/>
        <v/>
      </c>
      <c r="S3072" s="24" t="str">
        <f t="shared" si="196"/>
        <v/>
      </c>
      <c r="T3072" t="str">
        <f t="shared" si="194"/>
        <v/>
      </c>
    </row>
    <row r="3073" spans="18:20">
      <c r="R3073" s="24" t="str">
        <f t="shared" si="195"/>
        <v/>
      </c>
      <c r="S3073" s="24" t="str">
        <f t="shared" si="196"/>
        <v/>
      </c>
      <c r="T3073" t="str">
        <f t="shared" si="194"/>
        <v/>
      </c>
    </row>
    <row r="3074" spans="18:20">
      <c r="R3074" s="24" t="str">
        <f t="shared" si="195"/>
        <v/>
      </c>
      <c r="S3074" s="24" t="str">
        <f t="shared" si="196"/>
        <v/>
      </c>
      <c r="T3074" t="str">
        <f t="shared" si="194"/>
        <v/>
      </c>
    </row>
    <row r="3075" spans="18:20">
      <c r="R3075" s="24" t="str">
        <f t="shared" si="195"/>
        <v/>
      </c>
      <c r="S3075" s="24" t="str">
        <f t="shared" si="196"/>
        <v/>
      </c>
      <c r="T3075" t="str">
        <f t="shared" si="194"/>
        <v/>
      </c>
    </row>
    <row r="3076" spans="18:20">
      <c r="R3076" s="24" t="str">
        <f t="shared" si="195"/>
        <v/>
      </c>
      <c r="S3076" s="24" t="str">
        <f t="shared" si="196"/>
        <v/>
      </c>
      <c r="T3076" t="str">
        <f t="shared" si="194"/>
        <v/>
      </c>
    </row>
    <row r="3077" spans="18:20">
      <c r="R3077" s="24" t="str">
        <f t="shared" si="195"/>
        <v/>
      </c>
      <c r="S3077" s="24" t="str">
        <f t="shared" si="196"/>
        <v/>
      </c>
      <c r="T3077" t="str">
        <f t="shared" si="194"/>
        <v/>
      </c>
    </row>
    <row r="3078" spans="18:20">
      <c r="R3078" s="24" t="str">
        <f t="shared" si="195"/>
        <v/>
      </c>
      <c r="S3078" s="24" t="str">
        <f t="shared" si="196"/>
        <v/>
      </c>
      <c r="T3078" t="str">
        <f t="shared" si="194"/>
        <v/>
      </c>
    </row>
    <row r="3079" spans="18:20">
      <c r="R3079" s="24" t="str">
        <f t="shared" si="195"/>
        <v/>
      </c>
      <c r="S3079" s="24" t="str">
        <f t="shared" si="196"/>
        <v/>
      </c>
      <c r="T3079" t="str">
        <f t="shared" si="194"/>
        <v/>
      </c>
    </row>
    <row r="3080" spans="18:20">
      <c r="R3080" s="24" t="str">
        <f t="shared" si="195"/>
        <v/>
      </c>
      <c r="S3080" s="24" t="str">
        <f t="shared" si="196"/>
        <v/>
      </c>
      <c r="T3080" t="str">
        <f t="shared" si="194"/>
        <v/>
      </c>
    </row>
    <row r="3081" spans="18:20">
      <c r="R3081" s="24" t="str">
        <f t="shared" si="195"/>
        <v/>
      </c>
      <c r="S3081" s="24" t="str">
        <f t="shared" si="196"/>
        <v/>
      </c>
      <c r="T3081" t="str">
        <f t="shared" si="194"/>
        <v/>
      </c>
    </row>
    <row r="3082" spans="18:20">
      <c r="R3082" s="24" t="str">
        <f t="shared" si="195"/>
        <v/>
      </c>
      <c r="S3082" s="24" t="str">
        <f t="shared" si="196"/>
        <v/>
      </c>
      <c r="T3082" t="str">
        <f t="shared" si="194"/>
        <v/>
      </c>
    </row>
    <row r="3083" spans="18:20">
      <c r="R3083" s="24" t="str">
        <f t="shared" si="195"/>
        <v/>
      </c>
      <c r="S3083" s="24" t="str">
        <f t="shared" si="196"/>
        <v/>
      </c>
      <c r="T3083" t="str">
        <f t="shared" si="194"/>
        <v/>
      </c>
    </row>
    <row r="3084" spans="18:20">
      <c r="R3084" s="24" t="str">
        <f t="shared" si="195"/>
        <v/>
      </c>
      <c r="S3084" s="24" t="str">
        <f t="shared" si="196"/>
        <v/>
      </c>
      <c r="T3084" t="str">
        <f t="shared" si="194"/>
        <v/>
      </c>
    </row>
    <row r="3085" spans="18:20">
      <c r="R3085" s="24" t="str">
        <f t="shared" si="195"/>
        <v/>
      </c>
      <c r="S3085" s="24" t="str">
        <f t="shared" si="196"/>
        <v/>
      </c>
      <c r="T3085" t="str">
        <f t="shared" si="194"/>
        <v/>
      </c>
    </row>
    <row r="3086" spans="18:20">
      <c r="R3086" s="24" t="str">
        <f t="shared" si="195"/>
        <v/>
      </c>
      <c r="S3086" s="24" t="str">
        <f t="shared" si="196"/>
        <v/>
      </c>
      <c r="T3086" t="str">
        <f t="shared" si="194"/>
        <v/>
      </c>
    </row>
    <row r="3087" spans="18:20">
      <c r="R3087" s="24" t="str">
        <f t="shared" si="195"/>
        <v/>
      </c>
      <c r="S3087" s="24" t="str">
        <f t="shared" si="196"/>
        <v/>
      </c>
      <c r="T3087" t="str">
        <f t="shared" ref="T3087:T3150" si="197">IF(OR(C3087="",I3087&lt;&gt;"ENTRADA"),"",TEXT(B3087,"AAMMDD")&amp;"-"&amp;TEXT(VALUE(SUBSTITUTE(A3087,"MOV-","")),"000"))</f>
        <v/>
      </c>
    </row>
    <row r="3088" spans="18:20">
      <c r="R3088" s="24" t="str">
        <f t="shared" ref="R3088:R3151" si="198">IF(H3088="","",H3088&amp;I3088)</f>
        <v/>
      </c>
      <c r="S3088" s="24" t="str">
        <f t="shared" ref="S3088:S3151" si="199">IF(C3088="","",C3088&amp;I3088)</f>
        <v/>
      </c>
      <c r="T3088" t="str">
        <f t="shared" si="197"/>
        <v/>
      </c>
    </row>
    <row r="3089" spans="18:20">
      <c r="R3089" s="24" t="str">
        <f t="shared" si="198"/>
        <v/>
      </c>
      <c r="S3089" s="24" t="str">
        <f t="shared" si="199"/>
        <v/>
      </c>
      <c r="T3089" t="str">
        <f t="shared" si="197"/>
        <v/>
      </c>
    </row>
    <row r="3090" spans="18:20">
      <c r="R3090" s="24" t="str">
        <f t="shared" si="198"/>
        <v/>
      </c>
      <c r="S3090" s="24" t="str">
        <f t="shared" si="199"/>
        <v/>
      </c>
      <c r="T3090" t="str">
        <f t="shared" si="197"/>
        <v/>
      </c>
    </row>
    <row r="3091" spans="18:20">
      <c r="R3091" s="24" t="str">
        <f t="shared" si="198"/>
        <v/>
      </c>
      <c r="S3091" s="24" t="str">
        <f t="shared" si="199"/>
        <v/>
      </c>
      <c r="T3091" t="str">
        <f t="shared" si="197"/>
        <v/>
      </c>
    </row>
    <row r="3092" spans="18:20">
      <c r="R3092" s="24" t="str">
        <f t="shared" si="198"/>
        <v/>
      </c>
      <c r="S3092" s="24" t="str">
        <f t="shared" si="199"/>
        <v/>
      </c>
      <c r="T3092" t="str">
        <f t="shared" si="197"/>
        <v/>
      </c>
    </row>
    <row r="3093" spans="18:20">
      <c r="R3093" s="24" t="str">
        <f t="shared" si="198"/>
        <v/>
      </c>
      <c r="S3093" s="24" t="str">
        <f t="shared" si="199"/>
        <v/>
      </c>
      <c r="T3093" t="str">
        <f t="shared" si="197"/>
        <v/>
      </c>
    </row>
    <row r="3094" spans="18:20">
      <c r="R3094" s="24" t="str">
        <f t="shared" si="198"/>
        <v/>
      </c>
      <c r="S3094" s="24" t="str">
        <f t="shared" si="199"/>
        <v/>
      </c>
      <c r="T3094" t="str">
        <f t="shared" si="197"/>
        <v/>
      </c>
    </row>
    <row r="3095" spans="18:20">
      <c r="R3095" s="24" t="str">
        <f t="shared" si="198"/>
        <v/>
      </c>
      <c r="S3095" s="24" t="str">
        <f t="shared" si="199"/>
        <v/>
      </c>
      <c r="T3095" t="str">
        <f t="shared" si="197"/>
        <v/>
      </c>
    </row>
    <row r="3096" spans="18:20">
      <c r="R3096" s="24" t="str">
        <f t="shared" si="198"/>
        <v/>
      </c>
      <c r="S3096" s="24" t="str">
        <f t="shared" si="199"/>
        <v/>
      </c>
      <c r="T3096" t="str">
        <f t="shared" si="197"/>
        <v/>
      </c>
    </row>
    <row r="3097" spans="18:20">
      <c r="R3097" s="24" t="str">
        <f t="shared" si="198"/>
        <v/>
      </c>
      <c r="S3097" s="24" t="str">
        <f t="shared" si="199"/>
        <v/>
      </c>
      <c r="T3097" t="str">
        <f t="shared" si="197"/>
        <v/>
      </c>
    </row>
    <row r="3098" spans="18:20">
      <c r="R3098" s="24" t="str">
        <f t="shared" si="198"/>
        <v/>
      </c>
      <c r="S3098" s="24" t="str">
        <f t="shared" si="199"/>
        <v/>
      </c>
      <c r="T3098" t="str">
        <f t="shared" si="197"/>
        <v/>
      </c>
    </row>
    <row r="3099" spans="18:20">
      <c r="R3099" s="24" t="str">
        <f t="shared" si="198"/>
        <v/>
      </c>
      <c r="S3099" s="24" t="str">
        <f t="shared" si="199"/>
        <v/>
      </c>
      <c r="T3099" t="str">
        <f t="shared" si="197"/>
        <v/>
      </c>
    </row>
    <row r="3100" spans="18:20">
      <c r="R3100" s="24" t="str">
        <f t="shared" si="198"/>
        <v/>
      </c>
      <c r="S3100" s="24" t="str">
        <f t="shared" si="199"/>
        <v/>
      </c>
      <c r="T3100" t="str">
        <f t="shared" si="197"/>
        <v/>
      </c>
    </row>
    <row r="3101" spans="18:20">
      <c r="R3101" s="24" t="str">
        <f t="shared" si="198"/>
        <v/>
      </c>
      <c r="S3101" s="24" t="str">
        <f t="shared" si="199"/>
        <v/>
      </c>
      <c r="T3101" t="str">
        <f t="shared" si="197"/>
        <v/>
      </c>
    </row>
    <row r="3102" spans="18:20">
      <c r="R3102" s="24" t="str">
        <f t="shared" si="198"/>
        <v/>
      </c>
      <c r="S3102" s="24" t="str">
        <f t="shared" si="199"/>
        <v/>
      </c>
      <c r="T3102" t="str">
        <f t="shared" si="197"/>
        <v/>
      </c>
    </row>
    <row r="3103" spans="18:20">
      <c r="R3103" s="24" t="str">
        <f t="shared" si="198"/>
        <v/>
      </c>
      <c r="S3103" s="24" t="str">
        <f t="shared" si="199"/>
        <v/>
      </c>
      <c r="T3103" t="str">
        <f t="shared" si="197"/>
        <v/>
      </c>
    </row>
    <row r="3104" spans="18:20">
      <c r="R3104" s="24" t="str">
        <f t="shared" si="198"/>
        <v/>
      </c>
      <c r="S3104" s="24" t="str">
        <f t="shared" si="199"/>
        <v/>
      </c>
      <c r="T3104" t="str">
        <f t="shared" si="197"/>
        <v/>
      </c>
    </row>
    <row r="3105" spans="18:20">
      <c r="R3105" s="24" t="str">
        <f t="shared" si="198"/>
        <v/>
      </c>
      <c r="S3105" s="24" t="str">
        <f t="shared" si="199"/>
        <v/>
      </c>
      <c r="T3105" t="str">
        <f t="shared" si="197"/>
        <v/>
      </c>
    </row>
    <row r="3106" spans="18:20">
      <c r="R3106" s="24" t="str">
        <f t="shared" si="198"/>
        <v/>
      </c>
      <c r="S3106" s="24" t="str">
        <f t="shared" si="199"/>
        <v/>
      </c>
      <c r="T3106" t="str">
        <f t="shared" si="197"/>
        <v/>
      </c>
    </row>
    <row r="3107" spans="18:20">
      <c r="R3107" s="24" t="str">
        <f t="shared" si="198"/>
        <v/>
      </c>
      <c r="S3107" s="24" t="str">
        <f t="shared" si="199"/>
        <v/>
      </c>
      <c r="T3107" t="str">
        <f t="shared" si="197"/>
        <v/>
      </c>
    </row>
    <row r="3108" spans="18:20">
      <c r="R3108" s="24" t="str">
        <f t="shared" si="198"/>
        <v/>
      </c>
      <c r="S3108" s="24" t="str">
        <f t="shared" si="199"/>
        <v/>
      </c>
      <c r="T3108" t="str">
        <f t="shared" si="197"/>
        <v/>
      </c>
    </row>
    <row r="3109" spans="18:20">
      <c r="R3109" s="24" t="str">
        <f t="shared" si="198"/>
        <v/>
      </c>
      <c r="S3109" s="24" t="str">
        <f t="shared" si="199"/>
        <v/>
      </c>
      <c r="T3109" t="str">
        <f t="shared" si="197"/>
        <v/>
      </c>
    </row>
    <row r="3110" spans="18:20">
      <c r="R3110" s="24" t="str">
        <f t="shared" si="198"/>
        <v/>
      </c>
      <c r="S3110" s="24" t="str">
        <f t="shared" si="199"/>
        <v/>
      </c>
      <c r="T3110" t="str">
        <f t="shared" si="197"/>
        <v/>
      </c>
    </row>
    <row r="3111" spans="18:20">
      <c r="R3111" s="24" t="str">
        <f t="shared" si="198"/>
        <v/>
      </c>
      <c r="S3111" s="24" t="str">
        <f t="shared" si="199"/>
        <v/>
      </c>
      <c r="T3111" t="str">
        <f t="shared" si="197"/>
        <v/>
      </c>
    </row>
    <row r="3112" spans="18:20">
      <c r="R3112" s="24" t="str">
        <f t="shared" si="198"/>
        <v/>
      </c>
      <c r="S3112" s="24" t="str">
        <f t="shared" si="199"/>
        <v/>
      </c>
      <c r="T3112" t="str">
        <f t="shared" si="197"/>
        <v/>
      </c>
    </row>
    <row r="3113" spans="18:20">
      <c r="R3113" s="24" t="str">
        <f t="shared" si="198"/>
        <v/>
      </c>
      <c r="S3113" s="24" t="str">
        <f t="shared" si="199"/>
        <v/>
      </c>
      <c r="T3113" t="str">
        <f t="shared" si="197"/>
        <v/>
      </c>
    </row>
    <row r="3114" spans="18:20">
      <c r="R3114" s="24" t="str">
        <f t="shared" si="198"/>
        <v/>
      </c>
      <c r="S3114" s="24" t="str">
        <f t="shared" si="199"/>
        <v/>
      </c>
      <c r="T3114" t="str">
        <f t="shared" si="197"/>
        <v/>
      </c>
    </row>
    <row r="3115" spans="18:20">
      <c r="R3115" s="24" t="str">
        <f t="shared" si="198"/>
        <v/>
      </c>
      <c r="S3115" s="24" t="str">
        <f t="shared" si="199"/>
        <v/>
      </c>
      <c r="T3115" t="str">
        <f t="shared" si="197"/>
        <v/>
      </c>
    </row>
    <row r="3116" spans="18:20">
      <c r="R3116" s="24" t="str">
        <f t="shared" si="198"/>
        <v/>
      </c>
      <c r="S3116" s="24" t="str">
        <f t="shared" si="199"/>
        <v/>
      </c>
      <c r="T3116" t="str">
        <f t="shared" si="197"/>
        <v/>
      </c>
    </row>
    <row r="3117" spans="18:20">
      <c r="R3117" s="24" t="str">
        <f t="shared" si="198"/>
        <v/>
      </c>
      <c r="S3117" s="24" t="str">
        <f t="shared" si="199"/>
        <v/>
      </c>
      <c r="T3117" t="str">
        <f t="shared" si="197"/>
        <v/>
      </c>
    </row>
    <row r="3118" spans="18:20">
      <c r="R3118" s="24" t="str">
        <f t="shared" si="198"/>
        <v/>
      </c>
      <c r="S3118" s="24" t="str">
        <f t="shared" si="199"/>
        <v/>
      </c>
      <c r="T3118" t="str">
        <f t="shared" si="197"/>
        <v/>
      </c>
    </row>
    <row r="3119" spans="18:20">
      <c r="R3119" s="24" t="str">
        <f t="shared" si="198"/>
        <v/>
      </c>
      <c r="S3119" s="24" t="str">
        <f t="shared" si="199"/>
        <v/>
      </c>
      <c r="T3119" t="str">
        <f t="shared" si="197"/>
        <v/>
      </c>
    </row>
    <row r="3120" spans="18:20">
      <c r="R3120" s="24" t="str">
        <f t="shared" si="198"/>
        <v/>
      </c>
      <c r="S3120" s="24" t="str">
        <f t="shared" si="199"/>
        <v/>
      </c>
      <c r="T3120" t="str">
        <f t="shared" si="197"/>
        <v/>
      </c>
    </row>
    <row r="3121" spans="18:20">
      <c r="R3121" s="24" t="str">
        <f t="shared" si="198"/>
        <v/>
      </c>
      <c r="S3121" s="24" t="str">
        <f t="shared" si="199"/>
        <v/>
      </c>
      <c r="T3121" t="str">
        <f t="shared" si="197"/>
        <v/>
      </c>
    </row>
    <row r="3122" spans="18:20">
      <c r="R3122" s="24" t="str">
        <f t="shared" si="198"/>
        <v/>
      </c>
      <c r="S3122" s="24" t="str">
        <f t="shared" si="199"/>
        <v/>
      </c>
      <c r="T3122" t="str">
        <f t="shared" si="197"/>
        <v/>
      </c>
    </row>
    <row r="3123" spans="18:20">
      <c r="R3123" s="24" t="str">
        <f t="shared" si="198"/>
        <v/>
      </c>
      <c r="S3123" s="24" t="str">
        <f t="shared" si="199"/>
        <v/>
      </c>
      <c r="T3123" t="str">
        <f t="shared" si="197"/>
        <v/>
      </c>
    </row>
    <row r="3124" spans="18:20">
      <c r="R3124" s="24" t="str">
        <f t="shared" si="198"/>
        <v/>
      </c>
      <c r="S3124" s="24" t="str">
        <f t="shared" si="199"/>
        <v/>
      </c>
      <c r="T3124" t="str">
        <f t="shared" si="197"/>
        <v/>
      </c>
    </row>
    <row r="3125" spans="18:20">
      <c r="R3125" s="24" t="str">
        <f t="shared" si="198"/>
        <v/>
      </c>
      <c r="S3125" s="24" t="str">
        <f t="shared" si="199"/>
        <v/>
      </c>
      <c r="T3125" t="str">
        <f t="shared" si="197"/>
        <v/>
      </c>
    </row>
    <row r="3126" spans="18:20">
      <c r="R3126" s="24" t="str">
        <f t="shared" si="198"/>
        <v/>
      </c>
      <c r="S3126" s="24" t="str">
        <f t="shared" si="199"/>
        <v/>
      </c>
      <c r="T3126" t="str">
        <f t="shared" si="197"/>
        <v/>
      </c>
    </row>
    <row r="3127" spans="18:20">
      <c r="R3127" s="24" t="str">
        <f t="shared" si="198"/>
        <v/>
      </c>
      <c r="S3127" s="24" t="str">
        <f t="shared" si="199"/>
        <v/>
      </c>
      <c r="T3127" t="str">
        <f t="shared" si="197"/>
        <v/>
      </c>
    </row>
    <row r="3128" spans="18:20">
      <c r="R3128" s="24" t="str">
        <f t="shared" si="198"/>
        <v/>
      </c>
      <c r="S3128" s="24" t="str">
        <f t="shared" si="199"/>
        <v/>
      </c>
      <c r="T3128" t="str">
        <f t="shared" si="197"/>
        <v/>
      </c>
    </row>
    <row r="3129" spans="18:20">
      <c r="R3129" s="24" t="str">
        <f t="shared" si="198"/>
        <v/>
      </c>
      <c r="S3129" s="24" t="str">
        <f t="shared" si="199"/>
        <v/>
      </c>
      <c r="T3129" t="str">
        <f t="shared" si="197"/>
        <v/>
      </c>
    </row>
    <row r="3130" spans="18:20">
      <c r="R3130" s="24" t="str">
        <f t="shared" si="198"/>
        <v/>
      </c>
      <c r="S3130" s="24" t="str">
        <f t="shared" si="199"/>
        <v/>
      </c>
      <c r="T3130" t="str">
        <f t="shared" si="197"/>
        <v/>
      </c>
    </row>
    <row r="3131" spans="18:20">
      <c r="R3131" s="24" t="str">
        <f t="shared" si="198"/>
        <v/>
      </c>
      <c r="S3131" s="24" t="str">
        <f t="shared" si="199"/>
        <v/>
      </c>
      <c r="T3131" t="str">
        <f t="shared" si="197"/>
        <v/>
      </c>
    </row>
    <row r="3132" spans="18:20">
      <c r="R3132" s="24" t="str">
        <f t="shared" si="198"/>
        <v/>
      </c>
      <c r="S3132" s="24" t="str">
        <f t="shared" si="199"/>
        <v/>
      </c>
      <c r="T3132" t="str">
        <f t="shared" si="197"/>
        <v/>
      </c>
    </row>
    <row r="3133" spans="18:20">
      <c r="R3133" s="24" t="str">
        <f t="shared" si="198"/>
        <v/>
      </c>
      <c r="S3133" s="24" t="str">
        <f t="shared" si="199"/>
        <v/>
      </c>
      <c r="T3133" t="str">
        <f t="shared" si="197"/>
        <v/>
      </c>
    </row>
    <row r="3134" spans="18:20">
      <c r="R3134" s="24" t="str">
        <f t="shared" si="198"/>
        <v/>
      </c>
      <c r="S3134" s="24" t="str">
        <f t="shared" si="199"/>
        <v/>
      </c>
      <c r="T3134" t="str">
        <f t="shared" si="197"/>
        <v/>
      </c>
    </row>
    <row r="3135" spans="18:20">
      <c r="R3135" s="24" t="str">
        <f t="shared" si="198"/>
        <v/>
      </c>
      <c r="S3135" s="24" t="str">
        <f t="shared" si="199"/>
        <v/>
      </c>
      <c r="T3135" t="str">
        <f t="shared" si="197"/>
        <v/>
      </c>
    </row>
    <row r="3136" spans="18:20">
      <c r="R3136" s="24" t="str">
        <f t="shared" si="198"/>
        <v/>
      </c>
      <c r="S3136" s="24" t="str">
        <f t="shared" si="199"/>
        <v/>
      </c>
      <c r="T3136" t="str">
        <f t="shared" si="197"/>
        <v/>
      </c>
    </row>
    <row r="3137" spans="18:20">
      <c r="R3137" s="24" t="str">
        <f t="shared" si="198"/>
        <v/>
      </c>
      <c r="S3137" s="24" t="str">
        <f t="shared" si="199"/>
        <v/>
      </c>
      <c r="T3137" t="str">
        <f t="shared" si="197"/>
        <v/>
      </c>
    </row>
    <row r="3138" spans="18:20">
      <c r="R3138" s="24" t="str">
        <f t="shared" si="198"/>
        <v/>
      </c>
      <c r="S3138" s="24" t="str">
        <f t="shared" si="199"/>
        <v/>
      </c>
      <c r="T3138" t="str">
        <f t="shared" si="197"/>
        <v/>
      </c>
    </row>
    <row r="3139" spans="18:20">
      <c r="R3139" s="24" t="str">
        <f t="shared" si="198"/>
        <v/>
      </c>
      <c r="S3139" s="24" t="str">
        <f t="shared" si="199"/>
        <v/>
      </c>
      <c r="T3139" t="str">
        <f t="shared" si="197"/>
        <v/>
      </c>
    </row>
    <row r="3140" spans="18:20">
      <c r="R3140" s="24" t="str">
        <f t="shared" si="198"/>
        <v/>
      </c>
      <c r="S3140" s="24" t="str">
        <f t="shared" si="199"/>
        <v/>
      </c>
      <c r="T3140" t="str">
        <f t="shared" si="197"/>
        <v/>
      </c>
    </row>
    <row r="3141" spans="18:20">
      <c r="R3141" s="24" t="str">
        <f t="shared" si="198"/>
        <v/>
      </c>
      <c r="S3141" s="24" t="str">
        <f t="shared" si="199"/>
        <v/>
      </c>
      <c r="T3141" t="str">
        <f t="shared" si="197"/>
        <v/>
      </c>
    </row>
    <row r="3142" spans="18:20">
      <c r="R3142" s="24" t="str">
        <f t="shared" si="198"/>
        <v/>
      </c>
      <c r="S3142" s="24" t="str">
        <f t="shared" si="199"/>
        <v/>
      </c>
      <c r="T3142" t="str">
        <f t="shared" si="197"/>
        <v/>
      </c>
    </row>
    <row r="3143" spans="18:20">
      <c r="R3143" s="24" t="str">
        <f t="shared" si="198"/>
        <v/>
      </c>
      <c r="S3143" s="24" t="str">
        <f t="shared" si="199"/>
        <v/>
      </c>
      <c r="T3143" t="str">
        <f t="shared" si="197"/>
        <v/>
      </c>
    </row>
    <row r="3144" spans="18:20">
      <c r="R3144" s="24" t="str">
        <f t="shared" si="198"/>
        <v/>
      </c>
      <c r="S3144" s="24" t="str">
        <f t="shared" si="199"/>
        <v/>
      </c>
      <c r="T3144" t="str">
        <f t="shared" si="197"/>
        <v/>
      </c>
    </row>
    <row r="3145" spans="18:20">
      <c r="R3145" s="24" t="str">
        <f t="shared" si="198"/>
        <v/>
      </c>
      <c r="S3145" s="24" t="str">
        <f t="shared" si="199"/>
        <v/>
      </c>
      <c r="T3145" t="str">
        <f t="shared" si="197"/>
        <v/>
      </c>
    </row>
    <row r="3146" spans="18:20">
      <c r="R3146" s="24" t="str">
        <f t="shared" si="198"/>
        <v/>
      </c>
      <c r="S3146" s="24" t="str">
        <f t="shared" si="199"/>
        <v/>
      </c>
      <c r="T3146" t="str">
        <f t="shared" si="197"/>
        <v/>
      </c>
    </row>
    <row r="3147" spans="18:20">
      <c r="R3147" s="24" t="str">
        <f t="shared" si="198"/>
        <v/>
      </c>
      <c r="S3147" s="24" t="str">
        <f t="shared" si="199"/>
        <v/>
      </c>
      <c r="T3147" t="str">
        <f t="shared" si="197"/>
        <v/>
      </c>
    </row>
    <row r="3148" spans="18:20">
      <c r="R3148" s="24" t="str">
        <f t="shared" si="198"/>
        <v/>
      </c>
      <c r="S3148" s="24" t="str">
        <f t="shared" si="199"/>
        <v/>
      </c>
      <c r="T3148" t="str">
        <f t="shared" si="197"/>
        <v/>
      </c>
    </row>
    <row r="3149" spans="18:20">
      <c r="R3149" s="24" t="str">
        <f t="shared" si="198"/>
        <v/>
      </c>
      <c r="S3149" s="24" t="str">
        <f t="shared" si="199"/>
        <v/>
      </c>
      <c r="T3149" t="str">
        <f t="shared" si="197"/>
        <v/>
      </c>
    </row>
    <row r="3150" spans="18:20">
      <c r="R3150" s="24" t="str">
        <f t="shared" si="198"/>
        <v/>
      </c>
      <c r="S3150" s="24" t="str">
        <f t="shared" si="199"/>
        <v/>
      </c>
      <c r="T3150" t="str">
        <f t="shared" si="197"/>
        <v/>
      </c>
    </row>
    <row r="3151" spans="18:20">
      <c r="R3151" s="24" t="str">
        <f t="shared" si="198"/>
        <v/>
      </c>
      <c r="S3151" s="24" t="str">
        <f t="shared" si="199"/>
        <v/>
      </c>
      <c r="T3151" t="str">
        <f t="shared" ref="T3151:T3214" si="200">IF(OR(C3151="",I3151&lt;&gt;"ENTRADA"),"",TEXT(B3151,"AAMMDD")&amp;"-"&amp;TEXT(VALUE(SUBSTITUTE(A3151,"MOV-","")),"000"))</f>
        <v/>
      </c>
    </row>
    <row r="3152" spans="18:20">
      <c r="R3152" s="24" t="str">
        <f t="shared" ref="R3152:R3215" si="201">IF(H3152="","",H3152&amp;I3152)</f>
        <v/>
      </c>
      <c r="S3152" s="24" t="str">
        <f t="shared" ref="S3152:S3215" si="202">IF(C3152="","",C3152&amp;I3152)</f>
        <v/>
      </c>
      <c r="T3152" t="str">
        <f t="shared" si="200"/>
        <v/>
      </c>
    </row>
    <row r="3153" spans="18:20">
      <c r="R3153" s="24" t="str">
        <f t="shared" si="201"/>
        <v/>
      </c>
      <c r="S3153" s="24" t="str">
        <f t="shared" si="202"/>
        <v/>
      </c>
      <c r="T3153" t="str">
        <f t="shared" si="200"/>
        <v/>
      </c>
    </row>
    <row r="3154" spans="18:20">
      <c r="R3154" s="24" t="str">
        <f t="shared" si="201"/>
        <v/>
      </c>
      <c r="S3154" s="24" t="str">
        <f t="shared" si="202"/>
        <v/>
      </c>
      <c r="T3154" t="str">
        <f t="shared" si="200"/>
        <v/>
      </c>
    </row>
    <row r="3155" spans="18:20">
      <c r="R3155" s="24" t="str">
        <f t="shared" si="201"/>
        <v/>
      </c>
      <c r="S3155" s="24" t="str">
        <f t="shared" si="202"/>
        <v/>
      </c>
      <c r="T3155" t="str">
        <f t="shared" si="200"/>
        <v/>
      </c>
    </row>
    <row r="3156" spans="18:20">
      <c r="R3156" s="24" t="str">
        <f t="shared" si="201"/>
        <v/>
      </c>
      <c r="S3156" s="24" t="str">
        <f t="shared" si="202"/>
        <v/>
      </c>
      <c r="T3156" t="str">
        <f t="shared" si="200"/>
        <v/>
      </c>
    </row>
    <row r="3157" spans="18:20">
      <c r="R3157" s="24" t="str">
        <f t="shared" si="201"/>
        <v/>
      </c>
      <c r="S3157" s="24" t="str">
        <f t="shared" si="202"/>
        <v/>
      </c>
      <c r="T3157" t="str">
        <f t="shared" si="200"/>
        <v/>
      </c>
    </row>
    <row r="3158" spans="18:20">
      <c r="R3158" s="24" t="str">
        <f t="shared" si="201"/>
        <v/>
      </c>
      <c r="S3158" s="24" t="str">
        <f t="shared" si="202"/>
        <v/>
      </c>
      <c r="T3158" t="str">
        <f t="shared" si="200"/>
        <v/>
      </c>
    </row>
    <row r="3159" spans="18:20">
      <c r="R3159" s="24" t="str">
        <f t="shared" si="201"/>
        <v/>
      </c>
      <c r="S3159" s="24" t="str">
        <f t="shared" si="202"/>
        <v/>
      </c>
      <c r="T3159" t="str">
        <f t="shared" si="200"/>
        <v/>
      </c>
    </row>
    <row r="3160" spans="18:20">
      <c r="R3160" s="24" t="str">
        <f t="shared" si="201"/>
        <v/>
      </c>
      <c r="S3160" s="24" t="str">
        <f t="shared" si="202"/>
        <v/>
      </c>
      <c r="T3160" t="str">
        <f t="shared" si="200"/>
        <v/>
      </c>
    </row>
    <row r="3161" spans="18:20">
      <c r="R3161" s="24" t="str">
        <f t="shared" si="201"/>
        <v/>
      </c>
      <c r="S3161" s="24" t="str">
        <f t="shared" si="202"/>
        <v/>
      </c>
      <c r="T3161" t="str">
        <f t="shared" si="200"/>
        <v/>
      </c>
    </row>
    <row r="3162" spans="18:20">
      <c r="R3162" s="24" t="str">
        <f t="shared" si="201"/>
        <v/>
      </c>
      <c r="S3162" s="24" t="str">
        <f t="shared" si="202"/>
        <v/>
      </c>
      <c r="T3162" t="str">
        <f t="shared" si="200"/>
        <v/>
      </c>
    </row>
    <row r="3163" spans="18:20">
      <c r="R3163" s="24" t="str">
        <f t="shared" si="201"/>
        <v/>
      </c>
      <c r="S3163" s="24" t="str">
        <f t="shared" si="202"/>
        <v/>
      </c>
      <c r="T3163" t="str">
        <f t="shared" si="200"/>
        <v/>
      </c>
    </row>
    <row r="3164" spans="18:20">
      <c r="R3164" s="24" t="str">
        <f t="shared" si="201"/>
        <v/>
      </c>
      <c r="S3164" s="24" t="str">
        <f t="shared" si="202"/>
        <v/>
      </c>
      <c r="T3164" t="str">
        <f t="shared" si="200"/>
        <v/>
      </c>
    </row>
    <row r="3165" spans="18:20">
      <c r="R3165" s="24" t="str">
        <f t="shared" si="201"/>
        <v/>
      </c>
      <c r="S3165" s="24" t="str">
        <f t="shared" si="202"/>
        <v/>
      </c>
      <c r="T3165" t="str">
        <f t="shared" si="200"/>
        <v/>
      </c>
    </row>
    <row r="3166" spans="18:20">
      <c r="R3166" s="24" t="str">
        <f t="shared" si="201"/>
        <v/>
      </c>
      <c r="S3166" s="24" t="str">
        <f t="shared" si="202"/>
        <v/>
      </c>
      <c r="T3166" t="str">
        <f t="shared" si="200"/>
        <v/>
      </c>
    </row>
    <row r="3167" spans="18:20">
      <c r="R3167" s="24" t="str">
        <f t="shared" si="201"/>
        <v/>
      </c>
      <c r="S3167" s="24" t="str">
        <f t="shared" si="202"/>
        <v/>
      </c>
      <c r="T3167" t="str">
        <f t="shared" si="200"/>
        <v/>
      </c>
    </row>
    <row r="3168" spans="18:20">
      <c r="R3168" s="24" t="str">
        <f t="shared" si="201"/>
        <v/>
      </c>
      <c r="S3168" s="24" t="str">
        <f t="shared" si="202"/>
        <v/>
      </c>
      <c r="T3168" t="str">
        <f t="shared" si="200"/>
        <v/>
      </c>
    </row>
    <row r="3169" spans="18:20">
      <c r="R3169" s="24" t="str">
        <f t="shared" si="201"/>
        <v/>
      </c>
      <c r="S3169" s="24" t="str">
        <f t="shared" si="202"/>
        <v/>
      </c>
      <c r="T3169" t="str">
        <f t="shared" si="200"/>
        <v/>
      </c>
    </row>
    <row r="3170" spans="18:20">
      <c r="R3170" s="24" t="str">
        <f t="shared" si="201"/>
        <v/>
      </c>
      <c r="S3170" s="24" t="str">
        <f t="shared" si="202"/>
        <v/>
      </c>
      <c r="T3170" t="str">
        <f t="shared" si="200"/>
        <v/>
      </c>
    </row>
    <row r="3171" spans="18:20">
      <c r="R3171" s="24" t="str">
        <f t="shared" si="201"/>
        <v/>
      </c>
      <c r="S3171" s="24" t="str">
        <f t="shared" si="202"/>
        <v/>
      </c>
      <c r="T3171" t="str">
        <f t="shared" si="200"/>
        <v/>
      </c>
    </row>
    <row r="3172" spans="18:20">
      <c r="R3172" s="24" t="str">
        <f t="shared" si="201"/>
        <v/>
      </c>
      <c r="S3172" s="24" t="str">
        <f t="shared" si="202"/>
        <v/>
      </c>
      <c r="T3172" t="str">
        <f t="shared" si="200"/>
        <v/>
      </c>
    </row>
    <row r="3173" spans="18:20">
      <c r="R3173" s="24" t="str">
        <f t="shared" si="201"/>
        <v/>
      </c>
      <c r="S3173" s="24" t="str">
        <f t="shared" si="202"/>
        <v/>
      </c>
      <c r="T3173" t="str">
        <f t="shared" si="200"/>
        <v/>
      </c>
    </row>
    <row r="3174" spans="18:20">
      <c r="R3174" s="24" t="str">
        <f t="shared" si="201"/>
        <v/>
      </c>
      <c r="S3174" s="24" t="str">
        <f t="shared" si="202"/>
        <v/>
      </c>
      <c r="T3174" t="str">
        <f t="shared" si="200"/>
        <v/>
      </c>
    </row>
    <row r="3175" spans="18:20">
      <c r="R3175" s="24" t="str">
        <f t="shared" si="201"/>
        <v/>
      </c>
      <c r="S3175" s="24" t="str">
        <f t="shared" si="202"/>
        <v/>
      </c>
      <c r="T3175" t="str">
        <f t="shared" si="200"/>
        <v/>
      </c>
    </row>
    <row r="3176" spans="18:20">
      <c r="R3176" s="24" t="str">
        <f t="shared" si="201"/>
        <v/>
      </c>
      <c r="S3176" s="24" t="str">
        <f t="shared" si="202"/>
        <v/>
      </c>
      <c r="T3176" t="str">
        <f t="shared" si="200"/>
        <v/>
      </c>
    </row>
    <row r="3177" spans="18:20">
      <c r="R3177" s="24" t="str">
        <f t="shared" si="201"/>
        <v/>
      </c>
      <c r="S3177" s="24" t="str">
        <f t="shared" si="202"/>
        <v/>
      </c>
      <c r="T3177" t="str">
        <f t="shared" si="200"/>
        <v/>
      </c>
    </row>
    <row r="3178" spans="18:20">
      <c r="R3178" s="24" t="str">
        <f t="shared" si="201"/>
        <v/>
      </c>
      <c r="S3178" s="24" t="str">
        <f t="shared" si="202"/>
        <v/>
      </c>
      <c r="T3178" t="str">
        <f t="shared" si="200"/>
        <v/>
      </c>
    </row>
    <row r="3179" spans="18:20">
      <c r="R3179" s="24" t="str">
        <f t="shared" si="201"/>
        <v/>
      </c>
      <c r="S3179" s="24" t="str">
        <f t="shared" si="202"/>
        <v/>
      </c>
      <c r="T3179" t="str">
        <f t="shared" si="200"/>
        <v/>
      </c>
    </row>
    <row r="3180" spans="18:20">
      <c r="R3180" s="24" t="str">
        <f t="shared" si="201"/>
        <v/>
      </c>
      <c r="S3180" s="24" t="str">
        <f t="shared" si="202"/>
        <v/>
      </c>
      <c r="T3180" t="str">
        <f t="shared" si="200"/>
        <v/>
      </c>
    </row>
    <row r="3181" spans="18:20">
      <c r="R3181" s="24" t="str">
        <f t="shared" si="201"/>
        <v/>
      </c>
      <c r="S3181" s="24" t="str">
        <f t="shared" si="202"/>
        <v/>
      </c>
      <c r="T3181" t="str">
        <f t="shared" si="200"/>
        <v/>
      </c>
    </row>
    <row r="3182" spans="18:20">
      <c r="R3182" s="24" t="str">
        <f t="shared" si="201"/>
        <v/>
      </c>
      <c r="S3182" s="24" t="str">
        <f t="shared" si="202"/>
        <v/>
      </c>
      <c r="T3182" t="str">
        <f t="shared" si="200"/>
        <v/>
      </c>
    </row>
    <row r="3183" spans="18:20">
      <c r="R3183" s="24" t="str">
        <f t="shared" si="201"/>
        <v/>
      </c>
      <c r="S3183" s="24" t="str">
        <f t="shared" si="202"/>
        <v/>
      </c>
      <c r="T3183" t="str">
        <f t="shared" si="200"/>
        <v/>
      </c>
    </row>
    <row r="3184" spans="18:20">
      <c r="R3184" s="24" t="str">
        <f t="shared" si="201"/>
        <v/>
      </c>
      <c r="S3184" s="24" t="str">
        <f t="shared" si="202"/>
        <v/>
      </c>
      <c r="T3184" t="str">
        <f t="shared" si="200"/>
        <v/>
      </c>
    </row>
    <row r="3185" spans="18:20">
      <c r="R3185" s="24" t="str">
        <f t="shared" si="201"/>
        <v/>
      </c>
      <c r="S3185" s="24" t="str">
        <f t="shared" si="202"/>
        <v/>
      </c>
      <c r="T3185" t="str">
        <f t="shared" si="200"/>
        <v/>
      </c>
    </row>
    <row r="3186" spans="18:20">
      <c r="R3186" s="24" t="str">
        <f t="shared" si="201"/>
        <v/>
      </c>
      <c r="S3186" s="24" t="str">
        <f t="shared" si="202"/>
        <v/>
      </c>
      <c r="T3186" t="str">
        <f t="shared" si="200"/>
        <v/>
      </c>
    </row>
    <row r="3187" spans="18:20">
      <c r="R3187" s="24" t="str">
        <f t="shared" si="201"/>
        <v/>
      </c>
      <c r="S3187" s="24" t="str">
        <f t="shared" si="202"/>
        <v/>
      </c>
      <c r="T3187" t="str">
        <f t="shared" si="200"/>
        <v/>
      </c>
    </row>
    <row r="3188" spans="18:20">
      <c r="R3188" s="24" t="str">
        <f t="shared" si="201"/>
        <v/>
      </c>
      <c r="S3188" s="24" t="str">
        <f t="shared" si="202"/>
        <v/>
      </c>
      <c r="T3188" t="str">
        <f t="shared" si="200"/>
        <v/>
      </c>
    </row>
    <row r="3189" spans="18:20">
      <c r="R3189" s="24" t="str">
        <f t="shared" si="201"/>
        <v/>
      </c>
      <c r="S3189" s="24" t="str">
        <f t="shared" si="202"/>
        <v/>
      </c>
      <c r="T3189" t="str">
        <f t="shared" si="200"/>
        <v/>
      </c>
    </row>
    <row r="3190" spans="18:20">
      <c r="R3190" s="24" t="str">
        <f t="shared" si="201"/>
        <v/>
      </c>
      <c r="S3190" s="24" t="str">
        <f t="shared" si="202"/>
        <v/>
      </c>
      <c r="T3190" t="str">
        <f t="shared" si="200"/>
        <v/>
      </c>
    </row>
    <row r="3191" spans="18:20">
      <c r="R3191" s="24" t="str">
        <f t="shared" si="201"/>
        <v/>
      </c>
      <c r="S3191" s="24" t="str">
        <f t="shared" si="202"/>
        <v/>
      </c>
      <c r="T3191" t="str">
        <f t="shared" si="200"/>
        <v/>
      </c>
    </row>
    <row r="3192" spans="18:20">
      <c r="R3192" s="24" t="str">
        <f t="shared" si="201"/>
        <v/>
      </c>
      <c r="S3192" s="24" t="str">
        <f t="shared" si="202"/>
        <v/>
      </c>
      <c r="T3192" t="str">
        <f t="shared" si="200"/>
        <v/>
      </c>
    </row>
    <row r="3193" spans="18:20">
      <c r="R3193" s="24" t="str">
        <f t="shared" si="201"/>
        <v/>
      </c>
      <c r="S3193" s="24" t="str">
        <f t="shared" si="202"/>
        <v/>
      </c>
      <c r="T3193" t="str">
        <f t="shared" si="200"/>
        <v/>
      </c>
    </row>
    <row r="3194" spans="18:20">
      <c r="R3194" s="24" t="str">
        <f t="shared" si="201"/>
        <v/>
      </c>
      <c r="S3194" s="24" t="str">
        <f t="shared" si="202"/>
        <v/>
      </c>
      <c r="T3194" t="str">
        <f t="shared" si="200"/>
        <v/>
      </c>
    </row>
    <row r="3195" spans="18:20">
      <c r="R3195" s="24" t="str">
        <f t="shared" si="201"/>
        <v/>
      </c>
      <c r="S3195" s="24" t="str">
        <f t="shared" si="202"/>
        <v/>
      </c>
      <c r="T3195" t="str">
        <f t="shared" si="200"/>
        <v/>
      </c>
    </row>
    <row r="3196" spans="18:20">
      <c r="R3196" s="24" t="str">
        <f t="shared" si="201"/>
        <v/>
      </c>
      <c r="S3196" s="24" t="str">
        <f t="shared" si="202"/>
        <v/>
      </c>
      <c r="T3196" t="str">
        <f t="shared" si="200"/>
        <v/>
      </c>
    </row>
    <row r="3197" spans="18:20">
      <c r="R3197" s="24" t="str">
        <f t="shared" si="201"/>
        <v/>
      </c>
      <c r="S3197" s="24" t="str">
        <f t="shared" si="202"/>
        <v/>
      </c>
      <c r="T3197" t="str">
        <f t="shared" si="200"/>
        <v/>
      </c>
    </row>
    <row r="3198" spans="18:20">
      <c r="R3198" s="24" t="str">
        <f t="shared" si="201"/>
        <v/>
      </c>
      <c r="S3198" s="24" t="str">
        <f t="shared" si="202"/>
        <v/>
      </c>
      <c r="T3198" t="str">
        <f t="shared" si="200"/>
        <v/>
      </c>
    </row>
    <row r="3199" spans="18:20">
      <c r="R3199" s="24" t="str">
        <f t="shared" si="201"/>
        <v/>
      </c>
      <c r="S3199" s="24" t="str">
        <f t="shared" si="202"/>
        <v/>
      </c>
      <c r="T3199" t="str">
        <f t="shared" si="200"/>
        <v/>
      </c>
    </row>
    <row r="3200" spans="18:20">
      <c r="R3200" s="24" t="str">
        <f t="shared" si="201"/>
        <v/>
      </c>
      <c r="S3200" s="24" t="str">
        <f t="shared" si="202"/>
        <v/>
      </c>
      <c r="T3200" t="str">
        <f t="shared" si="200"/>
        <v/>
      </c>
    </row>
    <row r="3201" spans="18:20">
      <c r="R3201" s="24" t="str">
        <f t="shared" si="201"/>
        <v/>
      </c>
      <c r="S3201" s="24" t="str">
        <f t="shared" si="202"/>
        <v/>
      </c>
      <c r="T3201" t="str">
        <f t="shared" si="200"/>
        <v/>
      </c>
    </row>
    <row r="3202" spans="18:20">
      <c r="R3202" s="24" t="str">
        <f t="shared" si="201"/>
        <v/>
      </c>
      <c r="S3202" s="24" t="str">
        <f t="shared" si="202"/>
        <v/>
      </c>
      <c r="T3202" t="str">
        <f t="shared" si="200"/>
        <v/>
      </c>
    </row>
    <row r="3203" spans="18:20">
      <c r="R3203" s="24" t="str">
        <f t="shared" si="201"/>
        <v/>
      </c>
      <c r="S3203" s="24" t="str">
        <f t="shared" si="202"/>
        <v/>
      </c>
      <c r="T3203" t="str">
        <f t="shared" si="200"/>
        <v/>
      </c>
    </row>
    <row r="3204" spans="18:20">
      <c r="R3204" s="24" t="str">
        <f t="shared" si="201"/>
        <v/>
      </c>
      <c r="S3204" s="24" t="str">
        <f t="shared" si="202"/>
        <v/>
      </c>
      <c r="T3204" t="str">
        <f t="shared" si="200"/>
        <v/>
      </c>
    </row>
    <row r="3205" spans="18:20">
      <c r="R3205" s="24" t="str">
        <f t="shared" si="201"/>
        <v/>
      </c>
      <c r="S3205" s="24" t="str">
        <f t="shared" si="202"/>
        <v/>
      </c>
      <c r="T3205" t="str">
        <f t="shared" si="200"/>
        <v/>
      </c>
    </row>
    <row r="3206" spans="18:20">
      <c r="R3206" s="24" t="str">
        <f t="shared" si="201"/>
        <v/>
      </c>
      <c r="S3206" s="24" t="str">
        <f t="shared" si="202"/>
        <v/>
      </c>
      <c r="T3206" t="str">
        <f t="shared" si="200"/>
        <v/>
      </c>
    </row>
    <row r="3207" spans="18:20">
      <c r="R3207" s="24" t="str">
        <f t="shared" si="201"/>
        <v/>
      </c>
      <c r="S3207" s="24" t="str">
        <f t="shared" si="202"/>
        <v/>
      </c>
      <c r="T3207" t="str">
        <f t="shared" si="200"/>
        <v/>
      </c>
    </row>
    <row r="3208" spans="18:20">
      <c r="R3208" s="24" t="str">
        <f t="shared" si="201"/>
        <v/>
      </c>
      <c r="S3208" s="24" t="str">
        <f t="shared" si="202"/>
        <v/>
      </c>
      <c r="T3208" t="str">
        <f t="shared" si="200"/>
        <v/>
      </c>
    </row>
    <row r="3209" spans="18:20">
      <c r="R3209" s="24" t="str">
        <f t="shared" si="201"/>
        <v/>
      </c>
      <c r="S3209" s="24" t="str">
        <f t="shared" si="202"/>
        <v/>
      </c>
      <c r="T3209" t="str">
        <f t="shared" si="200"/>
        <v/>
      </c>
    </row>
    <row r="3210" spans="18:20">
      <c r="R3210" s="24" t="str">
        <f t="shared" si="201"/>
        <v/>
      </c>
      <c r="S3210" s="24" t="str">
        <f t="shared" si="202"/>
        <v/>
      </c>
      <c r="T3210" t="str">
        <f t="shared" si="200"/>
        <v/>
      </c>
    </row>
    <row r="3211" spans="18:20">
      <c r="R3211" s="24" t="str">
        <f t="shared" si="201"/>
        <v/>
      </c>
      <c r="S3211" s="24" t="str">
        <f t="shared" si="202"/>
        <v/>
      </c>
      <c r="T3211" t="str">
        <f t="shared" si="200"/>
        <v/>
      </c>
    </row>
    <row r="3212" spans="18:20">
      <c r="R3212" s="24" t="str">
        <f t="shared" si="201"/>
        <v/>
      </c>
      <c r="S3212" s="24" t="str">
        <f t="shared" si="202"/>
        <v/>
      </c>
      <c r="T3212" t="str">
        <f t="shared" si="200"/>
        <v/>
      </c>
    </row>
    <row r="3213" spans="18:20">
      <c r="R3213" s="24" t="str">
        <f t="shared" si="201"/>
        <v/>
      </c>
      <c r="S3213" s="24" t="str">
        <f t="shared" si="202"/>
        <v/>
      </c>
      <c r="T3213" t="str">
        <f t="shared" si="200"/>
        <v/>
      </c>
    </row>
    <row r="3214" spans="18:20">
      <c r="R3214" s="24" t="str">
        <f t="shared" si="201"/>
        <v/>
      </c>
      <c r="S3214" s="24" t="str">
        <f t="shared" si="202"/>
        <v/>
      </c>
      <c r="T3214" t="str">
        <f t="shared" si="200"/>
        <v/>
      </c>
    </row>
    <row r="3215" spans="18:20">
      <c r="R3215" s="24" t="str">
        <f t="shared" si="201"/>
        <v/>
      </c>
      <c r="S3215" s="24" t="str">
        <f t="shared" si="202"/>
        <v/>
      </c>
      <c r="T3215" t="str">
        <f t="shared" ref="T3215:T3278" si="203">IF(OR(C3215="",I3215&lt;&gt;"ENTRADA"),"",TEXT(B3215,"AAMMDD")&amp;"-"&amp;TEXT(VALUE(SUBSTITUTE(A3215,"MOV-","")),"000"))</f>
        <v/>
      </c>
    </row>
    <row r="3216" spans="18:20">
      <c r="R3216" s="24" t="str">
        <f t="shared" ref="R3216:R3279" si="204">IF(H3216="","",H3216&amp;I3216)</f>
        <v/>
      </c>
      <c r="S3216" s="24" t="str">
        <f t="shared" ref="S3216:S3279" si="205">IF(C3216="","",C3216&amp;I3216)</f>
        <v/>
      </c>
      <c r="T3216" t="str">
        <f t="shared" si="203"/>
        <v/>
      </c>
    </row>
    <row r="3217" spans="18:20">
      <c r="R3217" s="24" t="str">
        <f t="shared" si="204"/>
        <v/>
      </c>
      <c r="S3217" s="24" t="str">
        <f t="shared" si="205"/>
        <v/>
      </c>
      <c r="T3217" t="str">
        <f t="shared" si="203"/>
        <v/>
      </c>
    </row>
    <row r="3218" spans="18:20">
      <c r="R3218" s="24" t="str">
        <f t="shared" si="204"/>
        <v/>
      </c>
      <c r="S3218" s="24" t="str">
        <f t="shared" si="205"/>
        <v/>
      </c>
      <c r="T3218" t="str">
        <f t="shared" si="203"/>
        <v/>
      </c>
    </row>
    <row r="3219" spans="18:20">
      <c r="R3219" s="24" t="str">
        <f t="shared" si="204"/>
        <v/>
      </c>
      <c r="S3219" s="24" t="str">
        <f t="shared" si="205"/>
        <v/>
      </c>
      <c r="T3219" t="str">
        <f t="shared" si="203"/>
        <v/>
      </c>
    </row>
    <row r="3220" spans="18:20">
      <c r="R3220" s="24" t="str">
        <f t="shared" si="204"/>
        <v/>
      </c>
      <c r="S3220" s="24" t="str">
        <f t="shared" si="205"/>
        <v/>
      </c>
      <c r="T3220" t="str">
        <f t="shared" si="203"/>
        <v/>
      </c>
    </row>
    <row r="3221" spans="18:20">
      <c r="R3221" s="24" t="str">
        <f t="shared" si="204"/>
        <v/>
      </c>
      <c r="S3221" s="24" t="str">
        <f t="shared" si="205"/>
        <v/>
      </c>
      <c r="T3221" t="str">
        <f t="shared" si="203"/>
        <v/>
      </c>
    </row>
    <row r="3222" spans="18:20">
      <c r="R3222" s="24" t="str">
        <f t="shared" si="204"/>
        <v/>
      </c>
      <c r="S3222" s="24" t="str">
        <f t="shared" si="205"/>
        <v/>
      </c>
      <c r="T3222" t="str">
        <f t="shared" si="203"/>
        <v/>
      </c>
    </row>
    <row r="3223" spans="18:20">
      <c r="R3223" s="24" t="str">
        <f t="shared" si="204"/>
        <v/>
      </c>
      <c r="S3223" s="24" t="str">
        <f t="shared" si="205"/>
        <v/>
      </c>
      <c r="T3223" t="str">
        <f t="shared" si="203"/>
        <v/>
      </c>
    </row>
    <row r="3224" spans="18:20">
      <c r="R3224" s="24" t="str">
        <f t="shared" si="204"/>
        <v/>
      </c>
      <c r="S3224" s="24" t="str">
        <f t="shared" si="205"/>
        <v/>
      </c>
      <c r="T3224" t="str">
        <f t="shared" si="203"/>
        <v/>
      </c>
    </row>
    <row r="3225" spans="18:20">
      <c r="R3225" s="24" t="str">
        <f t="shared" si="204"/>
        <v/>
      </c>
      <c r="S3225" s="24" t="str">
        <f t="shared" si="205"/>
        <v/>
      </c>
      <c r="T3225" t="str">
        <f t="shared" si="203"/>
        <v/>
      </c>
    </row>
    <row r="3226" spans="18:20">
      <c r="R3226" s="24" t="str">
        <f t="shared" si="204"/>
        <v/>
      </c>
      <c r="S3226" s="24" t="str">
        <f t="shared" si="205"/>
        <v/>
      </c>
      <c r="T3226" t="str">
        <f t="shared" si="203"/>
        <v/>
      </c>
    </row>
    <row r="3227" spans="18:20">
      <c r="R3227" s="24" t="str">
        <f t="shared" si="204"/>
        <v/>
      </c>
      <c r="S3227" s="24" t="str">
        <f t="shared" si="205"/>
        <v/>
      </c>
      <c r="T3227" t="str">
        <f t="shared" si="203"/>
        <v/>
      </c>
    </row>
    <row r="3228" spans="18:20">
      <c r="R3228" s="24" t="str">
        <f t="shared" si="204"/>
        <v/>
      </c>
      <c r="S3228" s="24" t="str">
        <f t="shared" si="205"/>
        <v/>
      </c>
      <c r="T3228" t="str">
        <f t="shared" si="203"/>
        <v/>
      </c>
    </row>
    <row r="3229" spans="18:20">
      <c r="R3229" s="24" t="str">
        <f t="shared" si="204"/>
        <v/>
      </c>
      <c r="S3229" s="24" t="str">
        <f t="shared" si="205"/>
        <v/>
      </c>
      <c r="T3229" t="str">
        <f t="shared" si="203"/>
        <v/>
      </c>
    </row>
    <row r="3230" spans="18:20">
      <c r="R3230" s="24" t="str">
        <f t="shared" si="204"/>
        <v/>
      </c>
      <c r="S3230" s="24" t="str">
        <f t="shared" si="205"/>
        <v/>
      </c>
      <c r="T3230" t="str">
        <f t="shared" si="203"/>
        <v/>
      </c>
    </row>
    <row r="3231" spans="18:20">
      <c r="R3231" s="24" t="str">
        <f t="shared" si="204"/>
        <v/>
      </c>
      <c r="S3231" s="24" t="str">
        <f t="shared" si="205"/>
        <v/>
      </c>
      <c r="T3231" t="str">
        <f t="shared" si="203"/>
        <v/>
      </c>
    </row>
    <row r="3232" spans="18:20">
      <c r="R3232" s="24" t="str">
        <f t="shared" si="204"/>
        <v/>
      </c>
      <c r="S3232" s="24" t="str">
        <f t="shared" si="205"/>
        <v/>
      </c>
      <c r="T3232" t="str">
        <f t="shared" si="203"/>
        <v/>
      </c>
    </row>
    <row r="3233" spans="18:20">
      <c r="R3233" s="24" t="str">
        <f t="shared" si="204"/>
        <v/>
      </c>
      <c r="S3233" s="24" t="str">
        <f t="shared" si="205"/>
        <v/>
      </c>
      <c r="T3233" t="str">
        <f t="shared" si="203"/>
        <v/>
      </c>
    </row>
    <row r="3234" spans="18:20">
      <c r="R3234" s="24" t="str">
        <f t="shared" si="204"/>
        <v/>
      </c>
      <c r="S3234" s="24" t="str">
        <f t="shared" si="205"/>
        <v/>
      </c>
      <c r="T3234" t="str">
        <f t="shared" si="203"/>
        <v/>
      </c>
    </row>
    <row r="3235" spans="18:20">
      <c r="R3235" s="24" t="str">
        <f t="shared" si="204"/>
        <v/>
      </c>
      <c r="S3235" s="24" t="str">
        <f t="shared" si="205"/>
        <v/>
      </c>
      <c r="T3235" t="str">
        <f t="shared" si="203"/>
        <v/>
      </c>
    </row>
    <row r="3236" spans="18:20">
      <c r="R3236" s="24" t="str">
        <f t="shared" si="204"/>
        <v/>
      </c>
      <c r="S3236" s="24" t="str">
        <f t="shared" si="205"/>
        <v/>
      </c>
      <c r="T3236" t="str">
        <f t="shared" si="203"/>
        <v/>
      </c>
    </row>
    <row r="3237" spans="18:20">
      <c r="R3237" s="24" t="str">
        <f t="shared" si="204"/>
        <v/>
      </c>
      <c r="S3237" s="24" t="str">
        <f t="shared" si="205"/>
        <v/>
      </c>
      <c r="T3237" t="str">
        <f t="shared" si="203"/>
        <v/>
      </c>
    </row>
    <row r="3238" spans="18:20">
      <c r="R3238" s="24" t="str">
        <f t="shared" si="204"/>
        <v/>
      </c>
      <c r="S3238" s="24" t="str">
        <f t="shared" si="205"/>
        <v/>
      </c>
      <c r="T3238" t="str">
        <f t="shared" si="203"/>
        <v/>
      </c>
    </row>
    <row r="3239" spans="18:20">
      <c r="R3239" s="24" t="str">
        <f t="shared" si="204"/>
        <v/>
      </c>
      <c r="S3239" s="24" t="str">
        <f t="shared" si="205"/>
        <v/>
      </c>
      <c r="T3239" t="str">
        <f t="shared" si="203"/>
        <v/>
      </c>
    </row>
    <row r="3240" spans="18:20">
      <c r="R3240" s="24" t="str">
        <f t="shared" si="204"/>
        <v/>
      </c>
      <c r="S3240" s="24" t="str">
        <f t="shared" si="205"/>
        <v/>
      </c>
      <c r="T3240" t="str">
        <f t="shared" si="203"/>
        <v/>
      </c>
    </row>
    <row r="3241" spans="18:20">
      <c r="R3241" s="24" t="str">
        <f t="shared" si="204"/>
        <v/>
      </c>
      <c r="S3241" s="24" t="str">
        <f t="shared" si="205"/>
        <v/>
      </c>
      <c r="T3241" t="str">
        <f t="shared" si="203"/>
        <v/>
      </c>
    </row>
    <row r="3242" spans="18:20">
      <c r="R3242" s="24" t="str">
        <f t="shared" si="204"/>
        <v/>
      </c>
      <c r="S3242" s="24" t="str">
        <f t="shared" si="205"/>
        <v/>
      </c>
      <c r="T3242" t="str">
        <f t="shared" si="203"/>
        <v/>
      </c>
    </row>
    <row r="3243" spans="18:20">
      <c r="R3243" s="24" t="str">
        <f t="shared" si="204"/>
        <v/>
      </c>
      <c r="S3243" s="24" t="str">
        <f t="shared" si="205"/>
        <v/>
      </c>
      <c r="T3243" t="str">
        <f t="shared" si="203"/>
        <v/>
      </c>
    </row>
    <row r="3244" spans="18:20">
      <c r="R3244" s="24" t="str">
        <f t="shared" si="204"/>
        <v/>
      </c>
      <c r="S3244" s="24" t="str">
        <f t="shared" si="205"/>
        <v/>
      </c>
      <c r="T3244" t="str">
        <f t="shared" si="203"/>
        <v/>
      </c>
    </row>
    <row r="3245" spans="18:20">
      <c r="R3245" s="24" t="str">
        <f t="shared" si="204"/>
        <v/>
      </c>
      <c r="S3245" s="24" t="str">
        <f t="shared" si="205"/>
        <v/>
      </c>
      <c r="T3245" t="str">
        <f t="shared" si="203"/>
        <v/>
      </c>
    </row>
    <row r="3246" spans="18:20">
      <c r="R3246" s="24" t="str">
        <f t="shared" si="204"/>
        <v/>
      </c>
      <c r="S3246" s="24" t="str">
        <f t="shared" si="205"/>
        <v/>
      </c>
      <c r="T3246" t="str">
        <f t="shared" si="203"/>
        <v/>
      </c>
    </row>
    <row r="3247" spans="18:20">
      <c r="R3247" s="24" t="str">
        <f t="shared" si="204"/>
        <v/>
      </c>
      <c r="S3247" s="24" t="str">
        <f t="shared" si="205"/>
        <v/>
      </c>
      <c r="T3247" t="str">
        <f t="shared" si="203"/>
        <v/>
      </c>
    </row>
    <row r="3248" spans="18:20">
      <c r="R3248" s="24" t="str">
        <f t="shared" si="204"/>
        <v/>
      </c>
      <c r="S3248" s="24" t="str">
        <f t="shared" si="205"/>
        <v/>
      </c>
      <c r="T3248" t="str">
        <f t="shared" si="203"/>
        <v/>
      </c>
    </row>
    <row r="3249" spans="18:20">
      <c r="R3249" s="24" t="str">
        <f t="shared" si="204"/>
        <v/>
      </c>
      <c r="S3249" s="24" t="str">
        <f t="shared" si="205"/>
        <v/>
      </c>
      <c r="T3249" t="str">
        <f t="shared" si="203"/>
        <v/>
      </c>
    </row>
    <row r="3250" spans="18:20">
      <c r="R3250" s="24" t="str">
        <f t="shared" si="204"/>
        <v/>
      </c>
      <c r="S3250" s="24" t="str">
        <f t="shared" si="205"/>
        <v/>
      </c>
      <c r="T3250" t="str">
        <f t="shared" si="203"/>
        <v/>
      </c>
    </row>
    <row r="3251" spans="18:20">
      <c r="R3251" s="24" t="str">
        <f t="shared" si="204"/>
        <v/>
      </c>
      <c r="S3251" s="24" t="str">
        <f t="shared" si="205"/>
        <v/>
      </c>
      <c r="T3251" t="str">
        <f t="shared" si="203"/>
        <v/>
      </c>
    </row>
    <row r="3252" spans="18:20">
      <c r="R3252" s="24" t="str">
        <f t="shared" si="204"/>
        <v/>
      </c>
      <c r="S3252" s="24" t="str">
        <f t="shared" si="205"/>
        <v/>
      </c>
      <c r="T3252" t="str">
        <f t="shared" si="203"/>
        <v/>
      </c>
    </row>
    <row r="3253" spans="18:20">
      <c r="R3253" s="24" t="str">
        <f t="shared" si="204"/>
        <v/>
      </c>
      <c r="S3253" s="24" t="str">
        <f t="shared" si="205"/>
        <v/>
      </c>
      <c r="T3253" t="str">
        <f t="shared" si="203"/>
        <v/>
      </c>
    </row>
    <row r="3254" spans="18:20">
      <c r="R3254" s="24" t="str">
        <f t="shared" si="204"/>
        <v/>
      </c>
      <c r="S3254" s="24" t="str">
        <f t="shared" si="205"/>
        <v/>
      </c>
      <c r="T3254" t="str">
        <f t="shared" si="203"/>
        <v/>
      </c>
    </row>
    <row r="3255" spans="18:20">
      <c r="R3255" s="24" t="str">
        <f t="shared" si="204"/>
        <v/>
      </c>
      <c r="S3255" s="24" t="str">
        <f t="shared" si="205"/>
        <v/>
      </c>
      <c r="T3255" t="str">
        <f t="shared" si="203"/>
        <v/>
      </c>
    </row>
    <row r="3256" spans="18:20">
      <c r="R3256" s="24" t="str">
        <f t="shared" si="204"/>
        <v/>
      </c>
      <c r="S3256" s="24" t="str">
        <f t="shared" si="205"/>
        <v/>
      </c>
      <c r="T3256" t="str">
        <f t="shared" si="203"/>
        <v/>
      </c>
    </row>
    <row r="3257" spans="18:20">
      <c r="R3257" s="24" t="str">
        <f t="shared" si="204"/>
        <v/>
      </c>
      <c r="S3257" s="24" t="str">
        <f t="shared" si="205"/>
        <v/>
      </c>
      <c r="T3257" t="str">
        <f t="shared" si="203"/>
        <v/>
      </c>
    </row>
    <row r="3258" spans="18:20">
      <c r="R3258" s="24" t="str">
        <f t="shared" si="204"/>
        <v/>
      </c>
      <c r="S3258" s="24" t="str">
        <f t="shared" si="205"/>
        <v/>
      </c>
      <c r="T3258" t="str">
        <f t="shared" si="203"/>
        <v/>
      </c>
    </row>
    <row r="3259" spans="18:20">
      <c r="R3259" s="24" t="str">
        <f t="shared" si="204"/>
        <v/>
      </c>
      <c r="S3259" s="24" t="str">
        <f t="shared" si="205"/>
        <v/>
      </c>
      <c r="T3259" t="str">
        <f t="shared" si="203"/>
        <v/>
      </c>
    </row>
    <row r="3260" spans="18:20">
      <c r="R3260" s="24" t="str">
        <f t="shared" si="204"/>
        <v/>
      </c>
      <c r="S3260" s="24" t="str">
        <f t="shared" si="205"/>
        <v/>
      </c>
      <c r="T3260" t="str">
        <f t="shared" si="203"/>
        <v/>
      </c>
    </row>
    <row r="3261" spans="18:20">
      <c r="R3261" s="24" t="str">
        <f t="shared" si="204"/>
        <v/>
      </c>
      <c r="S3261" s="24" t="str">
        <f t="shared" si="205"/>
        <v/>
      </c>
      <c r="T3261" t="str">
        <f t="shared" si="203"/>
        <v/>
      </c>
    </row>
    <row r="3262" spans="18:20">
      <c r="R3262" s="24" t="str">
        <f t="shared" si="204"/>
        <v/>
      </c>
      <c r="S3262" s="24" t="str">
        <f t="shared" si="205"/>
        <v/>
      </c>
      <c r="T3262" t="str">
        <f t="shared" si="203"/>
        <v/>
      </c>
    </row>
    <row r="3263" spans="18:20">
      <c r="R3263" s="24" t="str">
        <f t="shared" si="204"/>
        <v/>
      </c>
      <c r="S3263" s="24" t="str">
        <f t="shared" si="205"/>
        <v/>
      </c>
      <c r="T3263" t="str">
        <f t="shared" si="203"/>
        <v/>
      </c>
    </row>
    <row r="3264" spans="18:20">
      <c r="R3264" s="24" t="str">
        <f t="shared" si="204"/>
        <v/>
      </c>
      <c r="S3264" s="24" t="str">
        <f t="shared" si="205"/>
        <v/>
      </c>
      <c r="T3264" t="str">
        <f t="shared" si="203"/>
        <v/>
      </c>
    </row>
    <row r="3265" spans="18:20">
      <c r="R3265" s="24" t="str">
        <f t="shared" si="204"/>
        <v/>
      </c>
      <c r="S3265" s="24" t="str">
        <f t="shared" si="205"/>
        <v/>
      </c>
      <c r="T3265" t="str">
        <f t="shared" si="203"/>
        <v/>
      </c>
    </row>
    <row r="3266" spans="18:20">
      <c r="R3266" s="24" t="str">
        <f t="shared" si="204"/>
        <v/>
      </c>
      <c r="S3266" s="24" t="str">
        <f t="shared" si="205"/>
        <v/>
      </c>
      <c r="T3266" t="str">
        <f t="shared" si="203"/>
        <v/>
      </c>
    </row>
    <row r="3267" spans="18:20">
      <c r="R3267" s="24" t="str">
        <f t="shared" si="204"/>
        <v/>
      </c>
      <c r="S3267" s="24" t="str">
        <f t="shared" si="205"/>
        <v/>
      </c>
      <c r="T3267" t="str">
        <f t="shared" si="203"/>
        <v/>
      </c>
    </row>
    <row r="3268" spans="18:20">
      <c r="R3268" s="24" t="str">
        <f t="shared" si="204"/>
        <v/>
      </c>
      <c r="S3268" s="24" t="str">
        <f t="shared" si="205"/>
        <v/>
      </c>
      <c r="T3268" t="str">
        <f t="shared" si="203"/>
        <v/>
      </c>
    </row>
    <row r="3269" spans="18:20">
      <c r="R3269" s="24" t="str">
        <f t="shared" si="204"/>
        <v/>
      </c>
      <c r="S3269" s="24" t="str">
        <f t="shared" si="205"/>
        <v/>
      </c>
      <c r="T3269" t="str">
        <f t="shared" si="203"/>
        <v/>
      </c>
    </row>
    <row r="3270" spans="18:20">
      <c r="R3270" s="24" t="str">
        <f t="shared" si="204"/>
        <v/>
      </c>
      <c r="S3270" s="24" t="str">
        <f t="shared" si="205"/>
        <v/>
      </c>
      <c r="T3270" t="str">
        <f t="shared" si="203"/>
        <v/>
      </c>
    </row>
    <row r="3271" spans="18:20">
      <c r="R3271" s="24" t="str">
        <f t="shared" si="204"/>
        <v/>
      </c>
      <c r="S3271" s="24" t="str">
        <f t="shared" si="205"/>
        <v/>
      </c>
      <c r="T3271" t="str">
        <f t="shared" si="203"/>
        <v/>
      </c>
    </row>
    <row r="3272" spans="18:20">
      <c r="R3272" s="24" t="str">
        <f t="shared" si="204"/>
        <v/>
      </c>
      <c r="S3272" s="24" t="str">
        <f t="shared" si="205"/>
        <v/>
      </c>
      <c r="T3272" t="str">
        <f t="shared" si="203"/>
        <v/>
      </c>
    </row>
    <row r="3273" spans="18:20">
      <c r="R3273" s="24" t="str">
        <f t="shared" si="204"/>
        <v/>
      </c>
      <c r="S3273" s="24" t="str">
        <f t="shared" si="205"/>
        <v/>
      </c>
      <c r="T3273" t="str">
        <f t="shared" si="203"/>
        <v/>
      </c>
    </row>
    <row r="3274" spans="18:20">
      <c r="R3274" s="24" t="str">
        <f t="shared" si="204"/>
        <v/>
      </c>
      <c r="S3274" s="24" t="str">
        <f t="shared" si="205"/>
        <v/>
      </c>
      <c r="T3274" t="str">
        <f t="shared" si="203"/>
        <v/>
      </c>
    </row>
    <row r="3275" spans="18:20">
      <c r="R3275" s="24" t="str">
        <f t="shared" si="204"/>
        <v/>
      </c>
      <c r="S3275" s="24" t="str">
        <f t="shared" si="205"/>
        <v/>
      </c>
      <c r="T3275" t="str">
        <f t="shared" si="203"/>
        <v/>
      </c>
    </row>
    <row r="3276" spans="18:20">
      <c r="R3276" s="24" t="str">
        <f t="shared" si="204"/>
        <v/>
      </c>
      <c r="S3276" s="24" t="str">
        <f t="shared" si="205"/>
        <v/>
      </c>
      <c r="T3276" t="str">
        <f t="shared" si="203"/>
        <v/>
      </c>
    </row>
    <row r="3277" spans="18:20">
      <c r="R3277" s="24" t="str">
        <f t="shared" si="204"/>
        <v/>
      </c>
      <c r="S3277" s="24" t="str">
        <f t="shared" si="205"/>
        <v/>
      </c>
      <c r="T3277" t="str">
        <f t="shared" si="203"/>
        <v/>
      </c>
    </row>
    <row r="3278" spans="18:20">
      <c r="R3278" s="24" t="str">
        <f t="shared" si="204"/>
        <v/>
      </c>
      <c r="S3278" s="24" t="str">
        <f t="shared" si="205"/>
        <v/>
      </c>
      <c r="T3278" t="str">
        <f t="shared" si="203"/>
        <v/>
      </c>
    </row>
    <row r="3279" spans="18:20">
      <c r="R3279" s="24" t="str">
        <f t="shared" si="204"/>
        <v/>
      </c>
      <c r="S3279" s="24" t="str">
        <f t="shared" si="205"/>
        <v/>
      </c>
      <c r="T3279" t="str">
        <f t="shared" ref="T3279:T3342" si="206">IF(OR(C3279="",I3279&lt;&gt;"ENTRADA"),"",TEXT(B3279,"AAMMDD")&amp;"-"&amp;TEXT(VALUE(SUBSTITUTE(A3279,"MOV-","")),"000"))</f>
        <v/>
      </c>
    </row>
    <row r="3280" spans="18:20">
      <c r="R3280" s="24" t="str">
        <f t="shared" ref="R3280:R3343" si="207">IF(H3280="","",H3280&amp;I3280)</f>
        <v/>
      </c>
      <c r="S3280" s="24" t="str">
        <f t="shared" ref="S3280:S3343" si="208">IF(C3280="","",C3280&amp;I3280)</f>
        <v/>
      </c>
      <c r="T3280" t="str">
        <f t="shared" si="206"/>
        <v/>
      </c>
    </row>
    <row r="3281" spans="18:20">
      <c r="R3281" s="24" t="str">
        <f t="shared" si="207"/>
        <v/>
      </c>
      <c r="S3281" s="24" t="str">
        <f t="shared" si="208"/>
        <v/>
      </c>
      <c r="T3281" t="str">
        <f t="shared" si="206"/>
        <v/>
      </c>
    </row>
    <row r="3282" spans="18:20">
      <c r="R3282" s="24" t="str">
        <f t="shared" si="207"/>
        <v/>
      </c>
      <c r="S3282" s="24" t="str">
        <f t="shared" si="208"/>
        <v/>
      </c>
      <c r="T3282" t="str">
        <f t="shared" si="206"/>
        <v/>
      </c>
    </row>
    <row r="3283" spans="18:20">
      <c r="R3283" s="24" t="str">
        <f t="shared" si="207"/>
        <v/>
      </c>
      <c r="S3283" s="24" t="str">
        <f t="shared" si="208"/>
        <v/>
      </c>
      <c r="T3283" t="str">
        <f t="shared" si="206"/>
        <v/>
      </c>
    </row>
    <row r="3284" spans="18:20">
      <c r="R3284" s="24" t="str">
        <f t="shared" si="207"/>
        <v/>
      </c>
      <c r="S3284" s="24" t="str">
        <f t="shared" si="208"/>
        <v/>
      </c>
      <c r="T3284" t="str">
        <f t="shared" si="206"/>
        <v/>
      </c>
    </row>
    <row r="3285" spans="18:20">
      <c r="R3285" s="24" t="str">
        <f t="shared" si="207"/>
        <v/>
      </c>
      <c r="S3285" s="24" t="str">
        <f t="shared" si="208"/>
        <v/>
      </c>
      <c r="T3285" t="str">
        <f t="shared" si="206"/>
        <v/>
      </c>
    </row>
    <row r="3286" spans="18:20">
      <c r="R3286" s="24" t="str">
        <f t="shared" si="207"/>
        <v/>
      </c>
      <c r="S3286" s="24" t="str">
        <f t="shared" si="208"/>
        <v/>
      </c>
      <c r="T3286" t="str">
        <f t="shared" si="206"/>
        <v/>
      </c>
    </row>
    <row r="3287" spans="18:20">
      <c r="R3287" s="24" t="str">
        <f t="shared" si="207"/>
        <v/>
      </c>
      <c r="S3287" s="24" t="str">
        <f t="shared" si="208"/>
        <v/>
      </c>
      <c r="T3287" t="str">
        <f t="shared" si="206"/>
        <v/>
      </c>
    </row>
    <row r="3288" spans="18:20">
      <c r="R3288" s="24" t="str">
        <f t="shared" si="207"/>
        <v/>
      </c>
      <c r="S3288" s="24" t="str">
        <f t="shared" si="208"/>
        <v/>
      </c>
      <c r="T3288" t="str">
        <f t="shared" si="206"/>
        <v/>
      </c>
    </row>
    <row r="3289" spans="18:20">
      <c r="R3289" s="24" t="str">
        <f t="shared" si="207"/>
        <v/>
      </c>
      <c r="S3289" s="24" t="str">
        <f t="shared" si="208"/>
        <v/>
      </c>
      <c r="T3289" t="str">
        <f t="shared" si="206"/>
        <v/>
      </c>
    </row>
    <row r="3290" spans="18:20">
      <c r="R3290" s="24" t="str">
        <f t="shared" si="207"/>
        <v/>
      </c>
      <c r="S3290" s="24" t="str">
        <f t="shared" si="208"/>
        <v/>
      </c>
      <c r="T3290" t="str">
        <f t="shared" si="206"/>
        <v/>
      </c>
    </row>
    <row r="3291" spans="18:20">
      <c r="R3291" s="24" t="str">
        <f t="shared" si="207"/>
        <v/>
      </c>
      <c r="S3291" s="24" t="str">
        <f t="shared" si="208"/>
        <v/>
      </c>
      <c r="T3291" t="str">
        <f t="shared" si="206"/>
        <v/>
      </c>
    </row>
    <row r="3292" spans="18:20">
      <c r="R3292" s="24" t="str">
        <f t="shared" si="207"/>
        <v/>
      </c>
      <c r="S3292" s="24" t="str">
        <f t="shared" si="208"/>
        <v/>
      </c>
      <c r="T3292" t="str">
        <f t="shared" si="206"/>
        <v/>
      </c>
    </row>
    <row r="3293" spans="18:20">
      <c r="R3293" s="24" t="str">
        <f t="shared" si="207"/>
        <v/>
      </c>
      <c r="S3293" s="24" t="str">
        <f t="shared" si="208"/>
        <v/>
      </c>
      <c r="T3293" t="str">
        <f t="shared" si="206"/>
        <v/>
      </c>
    </row>
    <row r="3294" spans="18:20">
      <c r="R3294" s="24" t="str">
        <f t="shared" si="207"/>
        <v/>
      </c>
      <c r="S3294" s="24" t="str">
        <f t="shared" si="208"/>
        <v/>
      </c>
      <c r="T3294" t="str">
        <f t="shared" si="206"/>
        <v/>
      </c>
    </row>
    <row r="3295" spans="18:20">
      <c r="R3295" s="24" t="str">
        <f t="shared" si="207"/>
        <v/>
      </c>
      <c r="S3295" s="24" t="str">
        <f t="shared" si="208"/>
        <v/>
      </c>
      <c r="T3295" t="str">
        <f t="shared" si="206"/>
        <v/>
      </c>
    </row>
    <row r="3296" spans="18:20">
      <c r="R3296" s="24" t="str">
        <f t="shared" si="207"/>
        <v/>
      </c>
      <c r="S3296" s="24" t="str">
        <f t="shared" si="208"/>
        <v/>
      </c>
      <c r="T3296" t="str">
        <f t="shared" si="206"/>
        <v/>
      </c>
    </row>
    <row r="3297" spans="18:20">
      <c r="R3297" s="24" t="str">
        <f t="shared" si="207"/>
        <v/>
      </c>
      <c r="S3297" s="24" t="str">
        <f t="shared" si="208"/>
        <v/>
      </c>
      <c r="T3297" t="str">
        <f t="shared" si="206"/>
        <v/>
      </c>
    </row>
    <row r="3298" spans="18:20">
      <c r="R3298" s="24" t="str">
        <f t="shared" si="207"/>
        <v/>
      </c>
      <c r="S3298" s="24" t="str">
        <f t="shared" si="208"/>
        <v/>
      </c>
      <c r="T3298" t="str">
        <f t="shared" si="206"/>
        <v/>
      </c>
    </row>
    <row r="3299" spans="18:20">
      <c r="R3299" s="24" t="str">
        <f t="shared" si="207"/>
        <v/>
      </c>
      <c r="S3299" s="24" t="str">
        <f t="shared" si="208"/>
        <v/>
      </c>
      <c r="T3299" t="str">
        <f t="shared" si="206"/>
        <v/>
      </c>
    </row>
    <row r="3300" spans="18:20">
      <c r="R3300" s="24" t="str">
        <f t="shared" si="207"/>
        <v/>
      </c>
      <c r="S3300" s="24" t="str">
        <f t="shared" si="208"/>
        <v/>
      </c>
      <c r="T3300" t="str">
        <f t="shared" si="206"/>
        <v/>
      </c>
    </row>
    <row r="3301" spans="18:20">
      <c r="R3301" s="24" t="str">
        <f t="shared" si="207"/>
        <v/>
      </c>
      <c r="S3301" s="24" t="str">
        <f t="shared" si="208"/>
        <v/>
      </c>
      <c r="T3301" t="str">
        <f t="shared" si="206"/>
        <v/>
      </c>
    </row>
    <row r="3302" spans="18:20">
      <c r="R3302" s="24" t="str">
        <f t="shared" si="207"/>
        <v/>
      </c>
      <c r="S3302" s="24" t="str">
        <f t="shared" si="208"/>
        <v/>
      </c>
      <c r="T3302" t="str">
        <f t="shared" si="206"/>
        <v/>
      </c>
    </row>
    <row r="3303" spans="18:20">
      <c r="R3303" s="24" t="str">
        <f t="shared" si="207"/>
        <v/>
      </c>
      <c r="S3303" s="24" t="str">
        <f t="shared" si="208"/>
        <v/>
      </c>
      <c r="T3303" t="str">
        <f t="shared" si="206"/>
        <v/>
      </c>
    </row>
    <row r="3304" spans="18:20">
      <c r="R3304" s="24" t="str">
        <f t="shared" si="207"/>
        <v/>
      </c>
      <c r="S3304" s="24" t="str">
        <f t="shared" si="208"/>
        <v/>
      </c>
      <c r="T3304" t="str">
        <f t="shared" si="206"/>
        <v/>
      </c>
    </row>
    <row r="3305" spans="18:20">
      <c r="R3305" s="24" t="str">
        <f t="shared" si="207"/>
        <v/>
      </c>
      <c r="S3305" s="24" t="str">
        <f t="shared" si="208"/>
        <v/>
      </c>
      <c r="T3305" t="str">
        <f t="shared" si="206"/>
        <v/>
      </c>
    </row>
    <row r="3306" spans="18:20">
      <c r="R3306" s="24" t="str">
        <f t="shared" si="207"/>
        <v/>
      </c>
      <c r="S3306" s="24" t="str">
        <f t="shared" si="208"/>
        <v/>
      </c>
      <c r="T3306" t="str">
        <f t="shared" si="206"/>
        <v/>
      </c>
    </row>
    <row r="3307" spans="18:20">
      <c r="R3307" s="24" t="str">
        <f t="shared" si="207"/>
        <v/>
      </c>
      <c r="S3307" s="24" t="str">
        <f t="shared" si="208"/>
        <v/>
      </c>
      <c r="T3307" t="str">
        <f t="shared" si="206"/>
        <v/>
      </c>
    </row>
    <row r="3308" spans="18:20">
      <c r="R3308" s="24" t="str">
        <f t="shared" si="207"/>
        <v/>
      </c>
      <c r="S3308" s="24" t="str">
        <f t="shared" si="208"/>
        <v/>
      </c>
      <c r="T3308" t="str">
        <f t="shared" si="206"/>
        <v/>
      </c>
    </row>
    <row r="3309" spans="18:20">
      <c r="R3309" s="24" t="str">
        <f t="shared" si="207"/>
        <v/>
      </c>
      <c r="S3309" s="24" t="str">
        <f t="shared" si="208"/>
        <v/>
      </c>
      <c r="T3309" t="str">
        <f t="shared" si="206"/>
        <v/>
      </c>
    </row>
    <row r="3310" spans="18:20">
      <c r="R3310" s="24" t="str">
        <f t="shared" si="207"/>
        <v/>
      </c>
      <c r="S3310" s="24" t="str">
        <f t="shared" si="208"/>
        <v/>
      </c>
      <c r="T3310" t="str">
        <f t="shared" si="206"/>
        <v/>
      </c>
    </row>
    <row r="3311" spans="18:20">
      <c r="R3311" s="24" t="str">
        <f t="shared" si="207"/>
        <v/>
      </c>
      <c r="S3311" s="24" t="str">
        <f t="shared" si="208"/>
        <v/>
      </c>
      <c r="T3311" t="str">
        <f t="shared" si="206"/>
        <v/>
      </c>
    </row>
    <row r="3312" spans="18:20">
      <c r="R3312" s="24" t="str">
        <f t="shared" si="207"/>
        <v/>
      </c>
      <c r="S3312" s="24" t="str">
        <f t="shared" si="208"/>
        <v/>
      </c>
      <c r="T3312" t="str">
        <f t="shared" si="206"/>
        <v/>
      </c>
    </row>
    <row r="3313" spans="18:20">
      <c r="R3313" s="24" t="str">
        <f t="shared" si="207"/>
        <v/>
      </c>
      <c r="S3313" s="24" t="str">
        <f t="shared" si="208"/>
        <v/>
      </c>
      <c r="T3313" t="str">
        <f t="shared" si="206"/>
        <v/>
      </c>
    </row>
    <row r="3314" spans="18:20">
      <c r="R3314" s="24" t="str">
        <f t="shared" si="207"/>
        <v/>
      </c>
      <c r="S3314" s="24" t="str">
        <f t="shared" si="208"/>
        <v/>
      </c>
      <c r="T3314" t="str">
        <f t="shared" si="206"/>
        <v/>
      </c>
    </row>
    <row r="3315" spans="18:20">
      <c r="R3315" s="24" t="str">
        <f t="shared" si="207"/>
        <v/>
      </c>
      <c r="S3315" s="24" t="str">
        <f t="shared" si="208"/>
        <v/>
      </c>
      <c r="T3315" t="str">
        <f t="shared" si="206"/>
        <v/>
      </c>
    </row>
    <row r="3316" spans="18:20">
      <c r="R3316" s="24" t="str">
        <f t="shared" si="207"/>
        <v/>
      </c>
      <c r="S3316" s="24" t="str">
        <f t="shared" si="208"/>
        <v/>
      </c>
      <c r="T3316" t="str">
        <f t="shared" si="206"/>
        <v/>
      </c>
    </row>
    <row r="3317" spans="18:20">
      <c r="R3317" s="24" t="str">
        <f t="shared" si="207"/>
        <v/>
      </c>
      <c r="S3317" s="24" t="str">
        <f t="shared" si="208"/>
        <v/>
      </c>
      <c r="T3317" t="str">
        <f t="shared" si="206"/>
        <v/>
      </c>
    </row>
    <row r="3318" spans="18:20">
      <c r="R3318" s="24" t="str">
        <f t="shared" si="207"/>
        <v/>
      </c>
      <c r="S3318" s="24" t="str">
        <f t="shared" si="208"/>
        <v/>
      </c>
      <c r="T3318" t="str">
        <f t="shared" si="206"/>
        <v/>
      </c>
    </row>
    <row r="3319" spans="18:20">
      <c r="R3319" s="24" t="str">
        <f t="shared" si="207"/>
        <v/>
      </c>
      <c r="S3319" s="24" t="str">
        <f t="shared" si="208"/>
        <v/>
      </c>
      <c r="T3319" t="str">
        <f t="shared" si="206"/>
        <v/>
      </c>
    </row>
    <row r="3320" spans="18:20">
      <c r="R3320" s="24" t="str">
        <f t="shared" si="207"/>
        <v/>
      </c>
      <c r="S3320" s="24" t="str">
        <f t="shared" si="208"/>
        <v/>
      </c>
      <c r="T3320" t="str">
        <f t="shared" si="206"/>
        <v/>
      </c>
    </row>
    <row r="3321" spans="18:20">
      <c r="R3321" s="24" t="str">
        <f t="shared" si="207"/>
        <v/>
      </c>
      <c r="S3321" s="24" t="str">
        <f t="shared" si="208"/>
        <v/>
      </c>
      <c r="T3321" t="str">
        <f t="shared" si="206"/>
        <v/>
      </c>
    </row>
    <row r="3322" spans="18:20">
      <c r="R3322" s="24" t="str">
        <f t="shared" si="207"/>
        <v/>
      </c>
      <c r="S3322" s="24" t="str">
        <f t="shared" si="208"/>
        <v/>
      </c>
      <c r="T3322" t="str">
        <f t="shared" si="206"/>
        <v/>
      </c>
    </row>
    <row r="3323" spans="18:20">
      <c r="R3323" s="24" t="str">
        <f t="shared" si="207"/>
        <v/>
      </c>
      <c r="S3323" s="24" t="str">
        <f t="shared" si="208"/>
        <v/>
      </c>
      <c r="T3323" t="str">
        <f t="shared" si="206"/>
        <v/>
      </c>
    </row>
    <row r="3324" spans="18:20">
      <c r="R3324" s="24" t="str">
        <f t="shared" si="207"/>
        <v/>
      </c>
      <c r="S3324" s="24" t="str">
        <f t="shared" si="208"/>
        <v/>
      </c>
      <c r="T3324" t="str">
        <f t="shared" si="206"/>
        <v/>
      </c>
    </row>
    <row r="3325" spans="18:20">
      <c r="R3325" s="24" t="str">
        <f t="shared" si="207"/>
        <v/>
      </c>
      <c r="S3325" s="24" t="str">
        <f t="shared" si="208"/>
        <v/>
      </c>
      <c r="T3325" t="str">
        <f t="shared" si="206"/>
        <v/>
      </c>
    </row>
    <row r="3326" spans="18:20">
      <c r="R3326" s="24" t="str">
        <f t="shared" si="207"/>
        <v/>
      </c>
      <c r="S3326" s="24" t="str">
        <f t="shared" si="208"/>
        <v/>
      </c>
      <c r="T3326" t="str">
        <f t="shared" si="206"/>
        <v/>
      </c>
    </row>
    <row r="3327" spans="18:20">
      <c r="R3327" s="24" t="str">
        <f t="shared" si="207"/>
        <v/>
      </c>
      <c r="S3327" s="24" t="str">
        <f t="shared" si="208"/>
        <v/>
      </c>
      <c r="T3327" t="str">
        <f t="shared" si="206"/>
        <v/>
      </c>
    </row>
    <row r="3328" spans="18:20">
      <c r="R3328" s="24" t="str">
        <f t="shared" si="207"/>
        <v/>
      </c>
      <c r="S3328" s="24" t="str">
        <f t="shared" si="208"/>
        <v/>
      </c>
      <c r="T3328" t="str">
        <f t="shared" si="206"/>
        <v/>
      </c>
    </row>
    <row r="3329" spans="18:20">
      <c r="R3329" s="24" t="str">
        <f t="shared" si="207"/>
        <v/>
      </c>
      <c r="S3329" s="24" t="str">
        <f t="shared" si="208"/>
        <v/>
      </c>
      <c r="T3329" t="str">
        <f t="shared" si="206"/>
        <v/>
      </c>
    </row>
    <row r="3330" spans="18:20">
      <c r="R3330" s="24" t="str">
        <f t="shared" si="207"/>
        <v/>
      </c>
      <c r="S3330" s="24" t="str">
        <f t="shared" si="208"/>
        <v/>
      </c>
      <c r="T3330" t="str">
        <f t="shared" si="206"/>
        <v/>
      </c>
    </row>
    <row r="3331" spans="18:20">
      <c r="R3331" s="24" t="str">
        <f t="shared" si="207"/>
        <v/>
      </c>
      <c r="S3331" s="24" t="str">
        <f t="shared" si="208"/>
        <v/>
      </c>
      <c r="T3331" t="str">
        <f t="shared" si="206"/>
        <v/>
      </c>
    </row>
    <row r="3332" spans="18:20">
      <c r="R3332" s="24" t="str">
        <f t="shared" si="207"/>
        <v/>
      </c>
      <c r="S3332" s="24" t="str">
        <f t="shared" si="208"/>
        <v/>
      </c>
      <c r="T3332" t="str">
        <f t="shared" si="206"/>
        <v/>
      </c>
    </row>
    <row r="3333" spans="18:20">
      <c r="R3333" s="24" t="str">
        <f t="shared" si="207"/>
        <v/>
      </c>
      <c r="S3333" s="24" t="str">
        <f t="shared" si="208"/>
        <v/>
      </c>
      <c r="T3333" t="str">
        <f t="shared" si="206"/>
        <v/>
      </c>
    </row>
    <row r="3334" spans="18:20">
      <c r="R3334" s="24" t="str">
        <f t="shared" si="207"/>
        <v/>
      </c>
      <c r="S3334" s="24" t="str">
        <f t="shared" si="208"/>
        <v/>
      </c>
      <c r="T3334" t="str">
        <f t="shared" si="206"/>
        <v/>
      </c>
    </row>
    <row r="3335" spans="18:20">
      <c r="R3335" s="24" t="str">
        <f t="shared" si="207"/>
        <v/>
      </c>
      <c r="S3335" s="24" t="str">
        <f t="shared" si="208"/>
        <v/>
      </c>
      <c r="T3335" t="str">
        <f t="shared" si="206"/>
        <v/>
      </c>
    </row>
    <row r="3336" spans="18:20">
      <c r="R3336" s="24" t="str">
        <f t="shared" si="207"/>
        <v/>
      </c>
      <c r="S3336" s="24" t="str">
        <f t="shared" si="208"/>
        <v/>
      </c>
      <c r="T3336" t="str">
        <f t="shared" si="206"/>
        <v/>
      </c>
    </row>
    <row r="3337" spans="18:20">
      <c r="R3337" s="24" t="str">
        <f t="shared" si="207"/>
        <v/>
      </c>
      <c r="S3337" s="24" t="str">
        <f t="shared" si="208"/>
        <v/>
      </c>
      <c r="T3337" t="str">
        <f t="shared" si="206"/>
        <v/>
      </c>
    </row>
    <row r="3338" spans="18:20">
      <c r="R3338" s="24" t="str">
        <f t="shared" si="207"/>
        <v/>
      </c>
      <c r="S3338" s="24" t="str">
        <f t="shared" si="208"/>
        <v/>
      </c>
      <c r="T3338" t="str">
        <f t="shared" si="206"/>
        <v/>
      </c>
    </row>
    <row r="3339" spans="18:20">
      <c r="R3339" s="24" t="str">
        <f t="shared" si="207"/>
        <v/>
      </c>
      <c r="S3339" s="24" t="str">
        <f t="shared" si="208"/>
        <v/>
      </c>
      <c r="T3339" t="str">
        <f t="shared" si="206"/>
        <v/>
      </c>
    </row>
    <row r="3340" spans="18:20">
      <c r="R3340" s="24" t="str">
        <f t="shared" si="207"/>
        <v/>
      </c>
      <c r="S3340" s="24" t="str">
        <f t="shared" si="208"/>
        <v/>
      </c>
      <c r="T3340" t="str">
        <f t="shared" si="206"/>
        <v/>
      </c>
    </row>
    <row r="3341" spans="18:20">
      <c r="R3341" s="24" t="str">
        <f t="shared" si="207"/>
        <v/>
      </c>
      <c r="S3341" s="24" t="str">
        <f t="shared" si="208"/>
        <v/>
      </c>
      <c r="T3341" t="str">
        <f t="shared" si="206"/>
        <v/>
      </c>
    </row>
    <row r="3342" spans="18:20">
      <c r="R3342" s="24" t="str">
        <f t="shared" si="207"/>
        <v/>
      </c>
      <c r="S3342" s="24" t="str">
        <f t="shared" si="208"/>
        <v/>
      </c>
      <c r="T3342" t="str">
        <f t="shared" si="206"/>
        <v/>
      </c>
    </row>
    <row r="3343" spans="18:20">
      <c r="R3343" s="24" t="str">
        <f t="shared" si="207"/>
        <v/>
      </c>
      <c r="S3343" s="24" t="str">
        <f t="shared" si="208"/>
        <v/>
      </c>
      <c r="T3343" t="str">
        <f t="shared" ref="T3343:T3406" si="209">IF(OR(C3343="",I3343&lt;&gt;"ENTRADA"),"",TEXT(B3343,"AAMMDD")&amp;"-"&amp;TEXT(VALUE(SUBSTITUTE(A3343,"MOV-","")),"000"))</f>
        <v/>
      </c>
    </row>
    <row r="3344" spans="18:20">
      <c r="R3344" s="24" t="str">
        <f t="shared" ref="R3344:R3407" si="210">IF(H3344="","",H3344&amp;I3344)</f>
        <v/>
      </c>
      <c r="S3344" s="24" t="str">
        <f t="shared" ref="S3344:S3407" si="211">IF(C3344="","",C3344&amp;I3344)</f>
        <v/>
      </c>
      <c r="T3344" t="str">
        <f t="shared" si="209"/>
        <v/>
      </c>
    </row>
    <row r="3345" spans="18:20">
      <c r="R3345" s="24" t="str">
        <f t="shared" si="210"/>
        <v/>
      </c>
      <c r="S3345" s="24" t="str">
        <f t="shared" si="211"/>
        <v/>
      </c>
      <c r="T3345" t="str">
        <f t="shared" si="209"/>
        <v/>
      </c>
    </row>
    <row r="3346" spans="18:20">
      <c r="R3346" s="24" t="str">
        <f t="shared" si="210"/>
        <v/>
      </c>
      <c r="S3346" s="24" t="str">
        <f t="shared" si="211"/>
        <v/>
      </c>
      <c r="T3346" t="str">
        <f t="shared" si="209"/>
        <v/>
      </c>
    </row>
    <row r="3347" spans="18:20">
      <c r="R3347" s="24" t="str">
        <f t="shared" si="210"/>
        <v/>
      </c>
      <c r="S3347" s="24" t="str">
        <f t="shared" si="211"/>
        <v/>
      </c>
      <c r="T3347" t="str">
        <f t="shared" si="209"/>
        <v/>
      </c>
    </row>
    <row r="3348" spans="18:20">
      <c r="R3348" s="24" t="str">
        <f t="shared" si="210"/>
        <v/>
      </c>
      <c r="S3348" s="24" t="str">
        <f t="shared" si="211"/>
        <v/>
      </c>
      <c r="T3348" t="str">
        <f t="shared" si="209"/>
        <v/>
      </c>
    </row>
    <row r="3349" spans="18:20">
      <c r="R3349" s="24" t="str">
        <f t="shared" si="210"/>
        <v/>
      </c>
      <c r="S3349" s="24" t="str">
        <f t="shared" si="211"/>
        <v/>
      </c>
      <c r="T3349" t="str">
        <f t="shared" si="209"/>
        <v/>
      </c>
    </row>
    <row r="3350" spans="18:20">
      <c r="R3350" s="24" t="str">
        <f t="shared" si="210"/>
        <v/>
      </c>
      <c r="S3350" s="24" t="str">
        <f t="shared" si="211"/>
        <v/>
      </c>
      <c r="T3350" t="str">
        <f t="shared" si="209"/>
        <v/>
      </c>
    </row>
    <row r="3351" spans="18:20">
      <c r="R3351" s="24" t="str">
        <f t="shared" si="210"/>
        <v/>
      </c>
      <c r="S3351" s="24" t="str">
        <f t="shared" si="211"/>
        <v/>
      </c>
      <c r="T3351" t="str">
        <f t="shared" si="209"/>
        <v/>
      </c>
    </row>
    <row r="3352" spans="18:20">
      <c r="R3352" s="24" t="str">
        <f t="shared" si="210"/>
        <v/>
      </c>
      <c r="S3352" s="24" t="str">
        <f t="shared" si="211"/>
        <v/>
      </c>
      <c r="T3352" t="str">
        <f t="shared" si="209"/>
        <v/>
      </c>
    </row>
    <row r="3353" spans="18:20">
      <c r="R3353" s="24" t="str">
        <f t="shared" si="210"/>
        <v/>
      </c>
      <c r="S3353" s="24" t="str">
        <f t="shared" si="211"/>
        <v/>
      </c>
      <c r="T3353" t="str">
        <f t="shared" si="209"/>
        <v/>
      </c>
    </row>
    <row r="3354" spans="18:20">
      <c r="R3354" s="24" t="str">
        <f t="shared" si="210"/>
        <v/>
      </c>
      <c r="S3354" s="24" t="str">
        <f t="shared" si="211"/>
        <v/>
      </c>
      <c r="T3354" t="str">
        <f t="shared" si="209"/>
        <v/>
      </c>
    </row>
    <row r="3355" spans="18:20">
      <c r="R3355" s="24" t="str">
        <f t="shared" si="210"/>
        <v/>
      </c>
      <c r="S3355" s="24" t="str">
        <f t="shared" si="211"/>
        <v/>
      </c>
      <c r="T3355" t="str">
        <f t="shared" si="209"/>
        <v/>
      </c>
    </row>
    <row r="3356" spans="18:20">
      <c r="R3356" s="24" t="str">
        <f t="shared" si="210"/>
        <v/>
      </c>
      <c r="S3356" s="24" t="str">
        <f t="shared" si="211"/>
        <v/>
      </c>
      <c r="T3356" t="str">
        <f t="shared" si="209"/>
        <v/>
      </c>
    </row>
    <row r="3357" spans="18:20">
      <c r="R3357" s="24" t="str">
        <f t="shared" si="210"/>
        <v/>
      </c>
      <c r="S3357" s="24" t="str">
        <f t="shared" si="211"/>
        <v/>
      </c>
      <c r="T3357" t="str">
        <f t="shared" si="209"/>
        <v/>
      </c>
    </row>
    <row r="3358" spans="18:20">
      <c r="R3358" s="24" t="str">
        <f t="shared" si="210"/>
        <v/>
      </c>
      <c r="S3358" s="24" t="str">
        <f t="shared" si="211"/>
        <v/>
      </c>
      <c r="T3358" t="str">
        <f t="shared" si="209"/>
        <v/>
      </c>
    </row>
    <row r="3359" spans="18:20">
      <c r="R3359" s="24" t="str">
        <f t="shared" si="210"/>
        <v/>
      </c>
      <c r="S3359" s="24" t="str">
        <f t="shared" si="211"/>
        <v/>
      </c>
      <c r="T3359" t="str">
        <f t="shared" si="209"/>
        <v/>
      </c>
    </row>
    <row r="3360" spans="18:20">
      <c r="R3360" s="24" t="str">
        <f t="shared" si="210"/>
        <v/>
      </c>
      <c r="S3360" s="24" t="str">
        <f t="shared" si="211"/>
        <v/>
      </c>
      <c r="T3360" t="str">
        <f t="shared" si="209"/>
        <v/>
      </c>
    </row>
    <row r="3361" spans="18:20">
      <c r="R3361" s="24" t="str">
        <f t="shared" si="210"/>
        <v/>
      </c>
      <c r="S3361" s="24" t="str">
        <f t="shared" si="211"/>
        <v/>
      </c>
      <c r="T3361" t="str">
        <f t="shared" si="209"/>
        <v/>
      </c>
    </row>
    <row r="3362" spans="18:20">
      <c r="R3362" s="24" t="str">
        <f t="shared" si="210"/>
        <v/>
      </c>
      <c r="S3362" s="24" t="str">
        <f t="shared" si="211"/>
        <v/>
      </c>
      <c r="T3362" t="str">
        <f t="shared" si="209"/>
        <v/>
      </c>
    </row>
    <row r="3363" spans="18:20">
      <c r="R3363" s="24" t="str">
        <f t="shared" si="210"/>
        <v/>
      </c>
      <c r="S3363" s="24" t="str">
        <f t="shared" si="211"/>
        <v/>
      </c>
      <c r="T3363" t="str">
        <f t="shared" si="209"/>
        <v/>
      </c>
    </row>
    <row r="3364" spans="18:20">
      <c r="R3364" s="24" t="str">
        <f t="shared" si="210"/>
        <v/>
      </c>
      <c r="S3364" s="24" t="str">
        <f t="shared" si="211"/>
        <v/>
      </c>
      <c r="T3364" t="str">
        <f t="shared" si="209"/>
        <v/>
      </c>
    </row>
    <row r="3365" spans="18:20">
      <c r="R3365" s="24" t="str">
        <f t="shared" si="210"/>
        <v/>
      </c>
      <c r="S3365" s="24" t="str">
        <f t="shared" si="211"/>
        <v/>
      </c>
      <c r="T3365" t="str">
        <f t="shared" si="209"/>
        <v/>
      </c>
    </row>
    <row r="3366" spans="18:20">
      <c r="R3366" s="24" t="str">
        <f t="shared" si="210"/>
        <v/>
      </c>
      <c r="S3366" s="24" t="str">
        <f t="shared" si="211"/>
        <v/>
      </c>
      <c r="T3366" t="str">
        <f t="shared" si="209"/>
        <v/>
      </c>
    </row>
    <row r="3367" spans="18:20">
      <c r="R3367" s="24" t="str">
        <f t="shared" si="210"/>
        <v/>
      </c>
      <c r="S3367" s="24" t="str">
        <f t="shared" si="211"/>
        <v/>
      </c>
      <c r="T3367" t="str">
        <f t="shared" si="209"/>
        <v/>
      </c>
    </row>
    <row r="3368" spans="18:20">
      <c r="R3368" s="24" t="str">
        <f t="shared" si="210"/>
        <v/>
      </c>
      <c r="S3368" s="24" t="str">
        <f t="shared" si="211"/>
        <v/>
      </c>
      <c r="T3368" t="str">
        <f t="shared" si="209"/>
        <v/>
      </c>
    </row>
    <row r="3369" spans="18:20">
      <c r="R3369" s="24" t="str">
        <f t="shared" si="210"/>
        <v/>
      </c>
      <c r="S3369" s="24" t="str">
        <f t="shared" si="211"/>
        <v/>
      </c>
      <c r="T3369" t="str">
        <f t="shared" si="209"/>
        <v/>
      </c>
    </row>
    <row r="3370" spans="18:20">
      <c r="R3370" s="24" t="str">
        <f t="shared" si="210"/>
        <v/>
      </c>
      <c r="S3370" s="24" t="str">
        <f t="shared" si="211"/>
        <v/>
      </c>
      <c r="T3370" t="str">
        <f t="shared" si="209"/>
        <v/>
      </c>
    </row>
    <row r="3371" spans="18:20">
      <c r="R3371" s="24" t="str">
        <f t="shared" si="210"/>
        <v/>
      </c>
      <c r="S3371" s="24" t="str">
        <f t="shared" si="211"/>
        <v/>
      </c>
      <c r="T3371" t="str">
        <f t="shared" si="209"/>
        <v/>
      </c>
    </row>
    <row r="3372" spans="18:20">
      <c r="R3372" s="24" t="str">
        <f t="shared" si="210"/>
        <v/>
      </c>
      <c r="S3372" s="24" t="str">
        <f t="shared" si="211"/>
        <v/>
      </c>
      <c r="T3372" t="str">
        <f t="shared" si="209"/>
        <v/>
      </c>
    </row>
    <row r="3373" spans="18:20">
      <c r="R3373" s="24" t="str">
        <f t="shared" si="210"/>
        <v/>
      </c>
      <c r="S3373" s="24" t="str">
        <f t="shared" si="211"/>
        <v/>
      </c>
      <c r="T3373" t="str">
        <f t="shared" si="209"/>
        <v/>
      </c>
    </row>
    <row r="3374" spans="18:20">
      <c r="R3374" s="24" t="str">
        <f t="shared" si="210"/>
        <v/>
      </c>
      <c r="S3374" s="24" t="str">
        <f t="shared" si="211"/>
        <v/>
      </c>
      <c r="T3374" t="str">
        <f t="shared" si="209"/>
        <v/>
      </c>
    </row>
    <row r="3375" spans="18:20">
      <c r="R3375" s="24" t="str">
        <f t="shared" si="210"/>
        <v/>
      </c>
      <c r="S3375" s="24" t="str">
        <f t="shared" si="211"/>
        <v/>
      </c>
      <c r="T3375" t="str">
        <f t="shared" si="209"/>
        <v/>
      </c>
    </row>
    <row r="3376" spans="18:20">
      <c r="R3376" s="24" t="str">
        <f t="shared" si="210"/>
        <v/>
      </c>
      <c r="S3376" s="24" t="str">
        <f t="shared" si="211"/>
        <v/>
      </c>
      <c r="T3376" t="str">
        <f t="shared" si="209"/>
        <v/>
      </c>
    </row>
    <row r="3377" spans="18:20">
      <c r="R3377" s="24" t="str">
        <f t="shared" si="210"/>
        <v/>
      </c>
      <c r="S3377" s="24" t="str">
        <f t="shared" si="211"/>
        <v/>
      </c>
      <c r="T3377" t="str">
        <f t="shared" si="209"/>
        <v/>
      </c>
    </row>
    <row r="3378" spans="18:20">
      <c r="R3378" s="24" t="str">
        <f t="shared" si="210"/>
        <v/>
      </c>
      <c r="S3378" s="24" t="str">
        <f t="shared" si="211"/>
        <v/>
      </c>
      <c r="T3378" t="str">
        <f t="shared" si="209"/>
        <v/>
      </c>
    </row>
    <row r="3379" spans="18:20">
      <c r="R3379" s="24" t="str">
        <f t="shared" si="210"/>
        <v/>
      </c>
      <c r="S3379" s="24" t="str">
        <f t="shared" si="211"/>
        <v/>
      </c>
      <c r="T3379" t="str">
        <f t="shared" si="209"/>
        <v/>
      </c>
    </row>
    <row r="3380" spans="18:20">
      <c r="R3380" s="24" t="str">
        <f t="shared" si="210"/>
        <v/>
      </c>
      <c r="S3380" s="24" t="str">
        <f t="shared" si="211"/>
        <v/>
      </c>
      <c r="T3380" t="str">
        <f t="shared" si="209"/>
        <v/>
      </c>
    </row>
    <row r="3381" spans="18:20">
      <c r="R3381" s="24" t="str">
        <f t="shared" si="210"/>
        <v/>
      </c>
      <c r="S3381" s="24" t="str">
        <f t="shared" si="211"/>
        <v/>
      </c>
      <c r="T3381" t="str">
        <f t="shared" si="209"/>
        <v/>
      </c>
    </row>
    <row r="3382" spans="18:20">
      <c r="R3382" s="24" t="str">
        <f t="shared" si="210"/>
        <v/>
      </c>
      <c r="S3382" s="24" t="str">
        <f t="shared" si="211"/>
        <v/>
      </c>
      <c r="T3382" t="str">
        <f t="shared" si="209"/>
        <v/>
      </c>
    </row>
    <row r="3383" spans="18:20">
      <c r="R3383" s="24" t="str">
        <f t="shared" si="210"/>
        <v/>
      </c>
      <c r="S3383" s="24" t="str">
        <f t="shared" si="211"/>
        <v/>
      </c>
      <c r="T3383" t="str">
        <f t="shared" si="209"/>
        <v/>
      </c>
    </row>
    <row r="3384" spans="18:20">
      <c r="R3384" s="24" t="str">
        <f t="shared" si="210"/>
        <v/>
      </c>
      <c r="S3384" s="24" t="str">
        <f t="shared" si="211"/>
        <v/>
      </c>
      <c r="T3384" t="str">
        <f t="shared" si="209"/>
        <v/>
      </c>
    </row>
    <row r="3385" spans="18:20">
      <c r="R3385" s="24" t="str">
        <f t="shared" si="210"/>
        <v/>
      </c>
      <c r="S3385" s="24" t="str">
        <f t="shared" si="211"/>
        <v/>
      </c>
      <c r="T3385" t="str">
        <f t="shared" si="209"/>
        <v/>
      </c>
    </row>
    <row r="3386" spans="18:20">
      <c r="R3386" s="24" t="str">
        <f t="shared" si="210"/>
        <v/>
      </c>
      <c r="S3386" s="24" t="str">
        <f t="shared" si="211"/>
        <v/>
      </c>
      <c r="T3386" t="str">
        <f t="shared" si="209"/>
        <v/>
      </c>
    </row>
    <row r="3387" spans="18:20">
      <c r="R3387" s="24" t="str">
        <f t="shared" si="210"/>
        <v/>
      </c>
      <c r="S3387" s="24" t="str">
        <f t="shared" si="211"/>
        <v/>
      </c>
      <c r="T3387" t="str">
        <f t="shared" si="209"/>
        <v/>
      </c>
    </row>
    <row r="3388" spans="18:20">
      <c r="R3388" s="24" t="str">
        <f t="shared" si="210"/>
        <v/>
      </c>
      <c r="S3388" s="24" t="str">
        <f t="shared" si="211"/>
        <v/>
      </c>
      <c r="T3388" t="str">
        <f t="shared" si="209"/>
        <v/>
      </c>
    </row>
    <row r="3389" spans="18:20">
      <c r="R3389" s="24" t="str">
        <f t="shared" si="210"/>
        <v/>
      </c>
      <c r="S3389" s="24" t="str">
        <f t="shared" si="211"/>
        <v/>
      </c>
      <c r="T3389" t="str">
        <f t="shared" si="209"/>
        <v/>
      </c>
    </row>
    <row r="3390" spans="18:20">
      <c r="R3390" s="24" t="str">
        <f t="shared" si="210"/>
        <v/>
      </c>
      <c r="S3390" s="24" t="str">
        <f t="shared" si="211"/>
        <v/>
      </c>
      <c r="T3390" t="str">
        <f t="shared" si="209"/>
        <v/>
      </c>
    </row>
    <row r="3391" spans="18:20">
      <c r="R3391" s="24" t="str">
        <f t="shared" si="210"/>
        <v/>
      </c>
      <c r="S3391" s="24" t="str">
        <f t="shared" si="211"/>
        <v/>
      </c>
      <c r="T3391" t="str">
        <f t="shared" si="209"/>
        <v/>
      </c>
    </row>
    <row r="3392" spans="18:20">
      <c r="R3392" s="24" t="str">
        <f t="shared" si="210"/>
        <v/>
      </c>
      <c r="S3392" s="24" t="str">
        <f t="shared" si="211"/>
        <v/>
      </c>
      <c r="T3392" t="str">
        <f t="shared" si="209"/>
        <v/>
      </c>
    </row>
    <row r="3393" spans="18:20">
      <c r="R3393" s="24" t="str">
        <f t="shared" si="210"/>
        <v/>
      </c>
      <c r="S3393" s="24" t="str">
        <f t="shared" si="211"/>
        <v/>
      </c>
      <c r="T3393" t="str">
        <f t="shared" si="209"/>
        <v/>
      </c>
    </row>
    <row r="3394" spans="18:20">
      <c r="R3394" s="24" t="str">
        <f t="shared" si="210"/>
        <v/>
      </c>
      <c r="S3394" s="24" t="str">
        <f t="shared" si="211"/>
        <v/>
      </c>
      <c r="T3394" t="str">
        <f t="shared" si="209"/>
        <v/>
      </c>
    </row>
    <row r="3395" spans="18:20">
      <c r="R3395" s="24" t="str">
        <f t="shared" si="210"/>
        <v/>
      </c>
      <c r="S3395" s="24" t="str">
        <f t="shared" si="211"/>
        <v/>
      </c>
      <c r="T3395" t="str">
        <f t="shared" si="209"/>
        <v/>
      </c>
    </row>
    <row r="3396" spans="18:20">
      <c r="R3396" s="24" t="str">
        <f t="shared" si="210"/>
        <v/>
      </c>
      <c r="S3396" s="24" t="str">
        <f t="shared" si="211"/>
        <v/>
      </c>
      <c r="T3396" t="str">
        <f t="shared" si="209"/>
        <v/>
      </c>
    </row>
    <row r="3397" spans="18:20">
      <c r="R3397" s="24" t="str">
        <f t="shared" si="210"/>
        <v/>
      </c>
      <c r="S3397" s="24" t="str">
        <f t="shared" si="211"/>
        <v/>
      </c>
      <c r="T3397" t="str">
        <f t="shared" si="209"/>
        <v/>
      </c>
    </row>
    <row r="3398" spans="18:20">
      <c r="R3398" s="24" t="str">
        <f t="shared" si="210"/>
        <v/>
      </c>
      <c r="S3398" s="24" t="str">
        <f t="shared" si="211"/>
        <v/>
      </c>
      <c r="T3398" t="str">
        <f t="shared" si="209"/>
        <v/>
      </c>
    </row>
    <row r="3399" spans="18:20">
      <c r="R3399" s="24" t="str">
        <f t="shared" si="210"/>
        <v/>
      </c>
      <c r="S3399" s="24" t="str">
        <f t="shared" si="211"/>
        <v/>
      </c>
      <c r="T3399" t="str">
        <f t="shared" si="209"/>
        <v/>
      </c>
    </row>
    <row r="3400" spans="18:20">
      <c r="R3400" s="24" t="str">
        <f t="shared" si="210"/>
        <v/>
      </c>
      <c r="S3400" s="24" t="str">
        <f t="shared" si="211"/>
        <v/>
      </c>
      <c r="T3400" t="str">
        <f t="shared" si="209"/>
        <v/>
      </c>
    </row>
    <row r="3401" spans="18:20">
      <c r="R3401" s="24" t="str">
        <f t="shared" si="210"/>
        <v/>
      </c>
      <c r="S3401" s="24" t="str">
        <f t="shared" si="211"/>
        <v/>
      </c>
      <c r="T3401" t="str">
        <f t="shared" si="209"/>
        <v/>
      </c>
    </row>
    <row r="3402" spans="18:20">
      <c r="R3402" s="24" t="str">
        <f t="shared" si="210"/>
        <v/>
      </c>
      <c r="S3402" s="24" t="str">
        <f t="shared" si="211"/>
        <v/>
      </c>
      <c r="T3402" t="str">
        <f t="shared" si="209"/>
        <v/>
      </c>
    </row>
    <row r="3403" spans="18:20">
      <c r="R3403" s="24" t="str">
        <f t="shared" si="210"/>
        <v/>
      </c>
      <c r="S3403" s="24" t="str">
        <f t="shared" si="211"/>
        <v/>
      </c>
      <c r="T3403" t="str">
        <f t="shared" si="209"/>
        <v/>
      </c>
    </row>
    <row r="3404" spans="18:20">
      <c r="R3404" s="24" t="str">
        <f t="shared" si="210"/>
        <v/>
      </c>
      <c r="S3404" s="24" t="str">
        <f t="shared" si="211"/>
        <v/>
      </c>
      <c r="T3404" t="str">
        <f t="shared" si="209"/>
        <v/>
      </c>
    </row>
    <row r="3405" spans="18:20">
      <c r="R3405" s="24" t="str">
        <f t="shared" si="210"/>
        <v/>
      </c>
      <c r="S3405" s="24" t="str">
        <f t="shared" si="211"/>
        <v/>
      </c>
      <c r="T3405" t="str">
        <f t="shared" si="209"/>
        <v/>
      </c>
    </row>
    <row r="3406" spans="18:20">
      <c r="R3406" s="24" t="str">
        <f t="shared" si="210"/>
        <v/>
      </c>
      <c r="S3406" s="24" t="str">
        <f t="shared" si="211"/>
        <v/>
      </c>
      <c r="T3406" t="str">
        <f t="shared" si="209"/>
        <v/>
      </c>
    </row>
    <row r="3407" spans="18:20">
      <c r="R3407" s="24" t="str">
        <f t="shared" si="210"/>
        <v/>
      </c>
      <c r="S3407" s="24" t="str">
        <f t="shared" si="211"/>
        <v/>
      </c>
      <c r="T3407" t="str">
        <f t="shared" ref="T3407:T3470" si="212">IF(OR(C3407="",I3407&lt;&gt;"ENTRADA"),"",TEXT(B3407,"AAMMDD")&amp;"-"&amp;TEXT(VALUE(SUBSTITUTE(A3407,"MOV-","")),"000"))</f>
        <v/>
      </c>
    </row>
    <row r="3408" spans="18:20">
      <c r="R3408" s="24" t="str">
        <f t="shared" ref="R3408:R3471" si="213">IF(H3408="","",H3408&amp;I3408)</f>
        <v/>
      </c>
      <c r="S3408" s="24" t="str">
        <f t="shared" ref="S3408:S3471" si="214">IF(C3408="","",C3408&amp;I3408)</f>
        <v/>
      </c>
      <c r="T3408" t="str">
        <f t="shared" si="212"/>
        <v/>
      </c>
    </row>
    <row r="3409" spans="18:20">
      <c r="R3409" s="24" t="str">
        <f t="shared" si="213"/>
        <v/>
      </c>
      <c r="S3409" s="24" t="str">
        <f t="shared" si="214"/>
        <v/>
      </c>
      <c r="T3409" t="str">
        <f t="shared" si="212"/>
        <v/>
      </c>
    </row>
    <row r="3410" spans="18:20">
      <c r="R3410" s="24" t="str">
        <f t="shared" si="213"/>
        <v/>
      </c>
      <c r="S3410" s="24" t="str">
        <f t="shared" si="214"/>
        <v/>
      </c>
      <c r="T3410" t="str">
        <f t="shared" si="212"/>
        <v/>
      </c>
    </row>
    <row r="3411" spans="18:20">
      <c r="R3411" s="24" t="str">
        <f t="shared" si="213"/>
        <v/>
      </c>
      <c r="S3411" s="24" t="str">
        <f t="shared" si="214"/>
        <v/>
      </c>
      <c r="T3411" t="str">
        <f t="shared" si="212"/>
        <v/>
      </c>
    </row>
    <row r="3412" spans="18:20">
      <c r="R3412" s="24" t="str">
        <f t="shared" si="213"/>
        <v/>
      </c>
      <c r="S3412" s="24" t="str">
        <f t="shared" si="214"/>
        <v/>
      </c>
      <c r="T3412" t="str">
        <f t="shared" si="212"/>
        <v/>
      </c>
    </row>
    <row r="3413" spans="18:20">
      <c r="R3413" s="24" t="str">
        <f t="shared" si="213"/>
        <v/>
      </c>
      <c r="S3413" s="24" t="str">
        <f t="shared" si="214"/>
        <v/>
      </c>
      <c r="T3413" t="str">
        <f t="shared" si="212"/>
        <v/>
      </c>
    </row>
    <row r="3414" spans="18:20">
      <c r="R3414" s="24" t="str">
        <f t="shared" si="213"/>
        <v/>
      </c>
      <c r="S3414" s="24" t="str">
        <f t="shared" si="214"/>
        <v/>
      </c>
      <c r="T3414" t="str">
        <f t="shared" si="212"/>
        <v/>
      </c>
    </row>
    <row r="3415" spans="18:20">
      <c r="R3415" s="24" t="str">
        <f t="shared" si="213"/>
        <v/>
      </c>
      <c r="S3415" s="24" t="str">
        <f t="shared" si="214"/>
        <v/>
      </c>
      <c r="T3415" t="str">
        <f t="shared" si="212"/>
        <v/>
      </c>
    </row>
    <row r="3416" spans="18:20">
      <c r="R3416" s="24" t="str">
        <f t="shared" si="213"/>
        <v/>
      </c>
      <c r="S3416" s="24" t="str">
        <f t="shared" si="214"/>
        <v/>
      </c>
      <c r="T3416" t="str">
        <f t="shared" si="212"/>
        <v/>
      </c>
    </row>
    <row r="3417" spans="18:20">
      <c r="R3417" s="24" t="str">
        <f t="shared" si="213"/>
        <v/>
      </c>
      <c r="S3417" s="24" t="str">
        <f t="shared" si="214"/>
        <v/>
      </c>
      <c r="T3417" t="str">
        <f t="shared" si="212"/>
        <v/>
      </c>
    </row>
    <row r="3418" spans="18:20">
      <c r="R3418" s="24" t="str">
        <f t="shared" si="213"/>
        <v/>
      </c>
      <c r="S3418" s="24" t="str">
        <f t="shared" si="214"/>
        <v/>
      </c>
      <c r="T3418" t="str">
        <f t="shared" si="212"/>
        <v/>
      </c>
    </row>
    <row r="3419" spans="18:20">
      <c r="R3419" s="24" t="str">
        <f t="shared" si="213"/>
        <v/>
      </c>
      <c r="S3419" s="24" t="str">
        <f t="shared" si="214"/>
        <v/>
      </c>
      <c r="T3419" t="str">
        <f t="shared" si="212"/>
        <v/>
      </c>
    </row>
    <row r="3420" spans="18:20">
      <c r="R3420" s="24" t="str">
        <f t="shared" si="213"/>
        <v/>
      </c>
      <c r="S3420" s="24" t="str">
        <f t="shared" si="214"/>
        <v/>
      </c>
      <c r="T3420" t="str">
        <f t="shared" si="212"/>
        <v/>
      </c>
    </row>
    <row r="3421" spans="18:20">
      <c r="R3421" s="24" t="str">
        <f t="shared" si="213"/>
        <v/>
      </c>
      <c r="S3421" s="24" t="str">
        <f t="shared" si="214"/>
        <v/>
      </c>
      <c r="T3421" t="str">
        <f t="shared" si="212"/>
        <v/>
      </c>
    </row>
    <row r="3422" spans="18:20">
      <c r="R3422" s="24" t="str">
        <f t="shared" si="213"/>
        <v/>
      </c>
      <c r="S3422" s="24" t="str">
        <f t="shared" si="214"/>
        <v/>
      </c>
      <c r="T3422" t="str">
        <f t="shared" si="212"/>
        <v/>
      </c>
    </row>
    <row r="3423" spans="18:20">
      <c r="R3423" s="24" t="str">
        <f t="shared" si="213"/>
        <v/>
      </c>
      <c r="S3423" s="24" t="str">
        <f t="shared" si="214"/>
        <v/>
      </c>
      <c r="T3423" t="str">
        <f t="shared" si="212"/>
        <v/>
      </c>
    </row>
    <row r="3424" spans="18:20">
      <c r="R3424" s="24" t="str">
        <f t="shared" si="213"/>
        <v/>
      </c>
      <c r="S3424" s="24" t="str">
        <f t="shared" si="214"/>
        <v/>
      </c>
      <c r="T3424" t="str">
        <f t="shared" si="212"/>
        <v/>
      </c>
    </row>
    <row r="3425" spans="18:20">
      <c r="R3425" s="24" t="str">
        <f t="shared" si="213"/>
        <v/>
      </c>
      <c r="S3425" s="24" t="str">
        <f t="shared" si="214"/>
        <v/>
      </c>
      <c r="T3425" t="str">
        <f t="shared" si="212"/>
        <v/>
      </c>
    </row>
    <row r="3426" spans="18:20">
      <c r="R3426" s="24" t="str">
        <f t="shared" si="213"/>
        <v/>
      </c>
      <c r="S3426" s="24" t="str">
        <f t="shared" si="214"/>
        <v/>
      </c>
      <c r="T3426" t="str">
        <f t="shared" si="212"/>
        <v/>
      </c>
    </row>
    <row r="3427" spans="18:20">
      <c r="R3427" s="24" t="str">
        <f t="shared" si="213"/>
        <v/>
      </c>
      <c r="S3427" s="24" t="str">
        <f t="shared" si="214"/>
        <v/>
      </c>
      <c r="T3427" t="str">
        <f t="shared" si="212"/>
        <v/>
      </c>
    </row>
    <row r="3428" spans="18:20">
      <c r="R3428" s="24" t="str">
        <f t="shared" si="213"/>
        <v/>
      </c>
      <c r="S3428" s="24" t="str">
        <f t="shared" si="214"/>
        <v/>
      </c>
      <c r="T3428" t="str">
        <f t="shared" si="212"/>
        <v/>
      </c>
    </row>
    <row r="3429" spans="18:20">
      <c r="R3429" s="24" t="str">
        <f t="shared" si="213"/>
        <v/>
      </c>
      <c r="S3429" s="24" t="str">
        <f t="shared" si="214"/>
        <v/>
      </c>
      <c r="T3429" t="str">
        <f t="shared" si="212"/>
        <v/>
      </c>
    </row>
    <row r="3430" spans="18:20">
      <c r="R3430" s="24" t="str">
        <f t="shared" si="213"/>
        <v/>
      </c>
      <c r="S3430" s="24" t="str">
        <f t="shared" si="214"/>
        <v/>
      </c>
      <c r="T3430" t="str">
        <f t="shared" si="212"/>
        <v/>
      </c>
    </row>
    <row r="3431" spans="18:20">
      <c r="R3431" s="24" t="str">
        <f t="shared" si="213"/>
        <v/>
      </c>
      <c r="S3431" s="24" t="str">
        <f t="shared" si="214"/>
        <v/>
      </c>
      <c r="T3431" t="str">
        <f t="shared" si="212"/>
        <v/>
      </c>
    </row>
    <row r="3432" spans="18:20">
      <c r="R3432" s="24" t="str">
        <f t="shared" si="213"/>
        <v/>
      </c>
      <c r="S3432" s="24" t="str">
        <f t="shared" si="214"/>
        <v/>
      </c>
      <c r="T3432" t="str">
        <f t="shared" si="212"/>
        <v/>
      </c>
    </row>
    <row r="3433" spans="18:20">
      <c r="R3433" s="24" t="str">
        <f t="shared" si="213"/>
        <v/>
      </c>
      <c r="S3433" s="24" t="str">
        <f t="shared" si="214"/>
        <v/>
      </c>
      <c r="T3433" t="str">
        <f t="shared" si="212"/>
        <v/>
      </c>
    </row>
    <row r="3434" spans="18:20">
      <c r="R3434" s="24" t="str">
        <f t="shared" si="213"/>
        <v/>
      </c>
      <c r="S3434" s="24" t="str">
        <f t="shared" si="214"/>
        <v/>
      </c>
      <c r="T3434" t="str">
        <f t="shared" si="212"/>
        <v/>
      </c>
    </row>
    <row r="3435" spans="18:20">
      <c r="R3435" s="24" t="str">
        <f t="shared" si="213"/>
        <v/>
      </c>
      <c r="S3435" s="24" t="str">
        <f t="shared" si="214"/>
        <v/>
      </c>
      <c r="T3435" t="str">
        <f t="shared" si="212"/>
        <v/>
      </c>
    </row>
    <row r="3436" spans="18:20">
      <c r="R3436" s="24" t="str">
        <f t="shared" si="213"/>
        <v/>
      </c>
      <c r="S3436" s="24" t="str">
        <f t="shared" si="214"/>
        <v/>
      </c>
      <c r="T3436" t="str">
        <f t="shared" si="212"/>
        <v/>
      </c>
    </row>
    <row r="3437" spans="18:20">
      <c r="R3437" s="24" t="str">
        <f t="shared" si="213"/>
        <v/>
      </c>
      <c r="S3437" s="24" t="str">
        <f t="shared" si="214"/>
        <v/>
      </c>
      <c r="T3437" t="str">
        <f t="shared" si="212"/>
        <v/>
      </c>
    </row>
    <row r="3438" spans="18:20">
      <c r="R3438" s="24" t="str">
        <f t="shared" si="213"/>
        <v/>
      </c>
      <c r="S3438" s="24" t="str">
        <f t="shared" si="214"/>
        <v/>
      </c>
      <c r="T3438" t="str">
        <f t="shared" si="212"/>
        <v/>
      </c>
    </row>
    <row r="3439" spans="18:20">
      <c r="R3439" s="24" t="str">
        <f t="shared" si="213"/>
        <v/>
      </c>
      <c r="S3439" s="24" t="str">
        <f t="shared" si="214"/>
        <v/>
      </c>
      <c r="T3439" t="str">
        <f t="shared" si="212"/>
        <v/>
      </c>
    </row>
    <row r="3440" spans="18:20">
      <c r="R3440" s="24" t="str">
        <f t="shared" si="213"/>
        <v/>
      </c>
      <c r="S3440" s="24" t="str">
        <f t="shared" si="214"/>
        <v/>
      </c>
      <c r="T3440" t="str">
        <f t="shared" si="212"/>
        <v/>
      </c>
    </row>
    <row r="3441" spans="18:20">
      <c r="R3441" s="24" t="str">
        <f t="shared" si="213"/>
        <v/>
      </c>
      <c r="S3441" s="24" t="str">
        <f t="shared" si="214"/>
        <v/>
      </c>
      <c r="T3441" t="str">
        <f t="shared" si="212"/>
        <v/>
      </c>
    </row>
    <row r="3442" spans="18:20">
      <c r="R3442" s="24" t="str">
        <f t="shared" si="213"/>
        <v/>
      </c>
      <c r="S3442" s="24" t="str">
        <f t="shared" si="214"/>
        <v/>
      </c>
      <c r="T3442" t="str">
        <f t="shared" si="212"/>
        <v/>
      </c>
    </row>
    <row r="3443" spans="18:20">
      <c r="R3443" s="24" t="str">
        <f t="shared" si="213"/>
        <v/>
      </c>
      <c r="S3443" s="24" t="str">
        <f t="shared" si="214"/>
        <v/>
      </c>
      <c r="T3443" t="str">
        <f t="shared" si="212"/>
        <v/>
      </c>
    </row>
    <row r="3444" spans="18:20">
      <c r="R3444" s="24" t="str">
        <f t="shared" si="213"/>
        <v/>
      </c>
      <c r="S3444" s="24" t="str">
        <f t="shared" si="214"/>
        <v/>
      </c>
      <c r="T3444" t="str">
        <f t="shared" si="212"/>
        <v/>
      </c>
    </row>
    <row r="3445" spans="18:20">
      <c r="R3445" s="24" t="str">
        <f t="shared" si="213"/>
        <v/>
      </c>
      <c r="S3445" s="24" t="str">
        <f t="shared" si="214"/>
        <v/>
      </c>
      <c r="T3445" t="str">
        <f t="shared" si="212"/>
        <v/>
      </c>
    </row>
    <row r="3446" spans="18:20">
      <c r="R3446" s="24" t="str">
        <f t="shared" si="213"/>
        <v/>
      </c>
      <c r="S3446" s="24" t="str">
        <f t="shared" si="214"/>
        <v/>
      </c>
      <c r="T3446" t="str">
        <f t="shared" si="212"/>
        <v/>
      </c>
    </row>
    <row r="3447" spans="18:20">
      <c r="R3447" s="24" t="str">
        <f t="shared" si="213"/>
        <v/>
      </c>
      <c r="S3447" s="24" t="str">
        <f t="shared" si="214"/>
        <v/>
      </c>
      <c r="T3447" t="str">
        <f t="shared" si="212"/>
        <v/>
      </c>
    </row>
    <row r="3448" spans="18:20">
      <c r="R3448" s="24" t="str">
        <f t="shared" si="213"/>
        <v/>
      </c>
      <c r="S3448" s="24" t="str">
        <f t="shared" si="214"/>
        <v/>
      </c>
      <c r="T3448" t="str">
        <f t="shared" si="212"/>
        <v/>
      </c>
    </row>
    <row r="3449" spans="18:20">
      <c r="R3449" s="24" t="str">
        <f t="shared" si="213"/>
        <v/>
      </c>
      <c r="S3449" s="24" t="str">
        <f t="shared" si="214"/>
        <v/>
      </c>
      <c r="T3449" t="str">
        <f t="shared" si="212"/>
        <v/>
      </c>
    </row>
    <row r="3450" spans="18:20">
      <c r="R3450" s="24" t="str">
        <f t="shared" si="213"/>
        <v/>
      </c>
      <c r="S3450" s="24" t="str">
        <f t="shared" si="214"/>
        <v/>
      </c>
      <c r="T3450" t="str">
        <f t="shared" si="212"/>
        <v/>
      </c>
    </row>
    <row r="3451" spans="18:20">
      <c r="R3451" s="24" t="str">
        <f t="shared" si="213"/>
        <v/>
      </c>
      <c r="S3451" s="24" t="str">
        <f t="shared" si="214"/>
        <v/>
      </c>
      <c r="T3451" t="str">
        <f t="shared" si="212"/>
        <v/>
      </c>
    </row>
    <row r="3452" spans="18:20">
      <c r="R3452" s="24" t="str">
        <f t="shared" si="213"/>
        <v/>
      </c>
      <c r="S3452" s="24" t="str">
        <f t="shared" si="214"/>
        <v/>
      </c>
      <c r="T3452" t="str">
        <f t="shared" si="212"/>
        <v/>
      </c>
    </row>
    <row r="3453" spans="18:20">
      <c r="R3453" s="24" t="str">
        <f t="shared" si="213"/>
        <v/>
      </c>
      <c r="S3453" s="24" t="str">
        <f t="shared" si="214"/>
        <v/>
      </c>
      <c r="T3453" t="str">
        <f t="shared" si="212"/>
        <v/>
      </c>
    </row>
    <row r="3454" spans="18:20">
      <c r="R3454" s="24" t="str">
        <f t="shared" si="213"/>
        <v/>
      </c>
      <c r="S3454" s="24" t="str">
        <f t="shared" si="214"/>
        <v/>
      </c>
      <c r="T3454" t="str">
        <f t="shared" si="212"/>
        <v/>
      </c>
    </row>
    <row r="3455" spans="18:20">
      <c r="R3455" s="24" t="str">
        <f t="shared" si="213"/>
        <v/>
      </c>
      <c r="S3455" s="24" t="str">
        <f t="shared" si="214"/>
        <v/>
      </c>
      <c r="T3455" t="str">
        <f t="shared" si="212"/>
        <v/>
      </c>
    </row>
    <row r="3456" spans="18:20">
      <c r="R3456" s="24" t="str">
        <f t="shared" si="213"/>
        <v/>
      </c>
      <c r="S3456" s="24" t="str">
        <f t="shared" si="214"/>
        <v/>
      </c>
      <c r="T3456" t="str">
        <f t="shared" si="212"/>
        <v/>
      </c>
    </row>
    <row r="3457" spans="18:20">
      <c r="R3457" s="24" t="str">
        <f t="shared" si="213"/>
        <v/>
      </c>
      <c r="S3457" s="24" t="str">
        <f t="shared" si="214"/>
        <v/>
      </c>
      <c r="T3457" t="str">
        <f t="shared" si="212"/>
        <v/>
      </c>
    </row>
    <row r="3458" spans="18:20">
      <c r="R3458" s="24" t="str">
        <f t="shared" si="213"/>
        <v/>
      </c>
      <c r="S3458" s="24" t="str">
        <f t="shared" si="214"/>
        <v/>
      </c>
      <c r="T3458" t="str">
        <f t="shared" si="212"/>
        <v/>
      </c>
    </row>
    <row r="3459" spans="18:20">
      <c r="R3459" s="24" t="str">
        <f t="shared" si="213"/>
        <v/>
      </c>
      <c r="S3459" s="24" t="str">
        <f t="shared" si="214"/>
        <v/>
      </c>
      <c r="T3459" t="str">
        <f t="shared" si="212"/>
        <v/>
      </c>
    </row>
    <row r="3460" spans="18:20">
      <c r="R3460" s="24" t="str">
        <f t="shared" si="213"/>
        <v/>
      </c>
      <c r="S3460" s="24" t="str">
        <f t="shared" si="214"/>
        <v/>
      </c>
      <c r="T3460" t="str">
        <f t="shared" si="212"/>
        <v/>
      </c>
    </row>
    <row r="3461" spans="18:20">
      <c r="R3461" s="24" t="str">
        <f t="shared" si="213"/>
        <v/>
      </c>
      <c r="S3461" s="24" t="str">
        <f t="shared" si="214"/>
        <v/>
      </c>
      <c r="T3461" t="str">
        <f t="shared" si="212"/>
        <v/>
      </c>
    </row>
    <row r="3462" spans="18:20">
      <c r="R3462" s="24" t="str">
        <f t="shared" si="213"/>
        <v/>
      </c>
      <c r="S3462" s="24" t="str">
        <f t="shared" si="214"/>
        <v/>
      </c>
      <c r="T3462" t="str">
        <f t="shared" si="212"/>
        <v/>
      </c>
    </row>
    <row r="3463" spans="18:20">
      <c r="R3463" s="24" t="str">
        <f t="shared" si="213"/>
        <v/>
      </c>
      <c r="S3463" s="24" t="str">
        <f t="shared" si="214"/>
        <v/>
      </c>
      <c r="T3463" t="str">
        <f t="shared" si="212"/>
        <v/>
      </c>
    </row>
    <row r="3464" spans="18:20">
      <c r="R3464" s="24" t="str">
        <f t="shared" si="213"/>
        <v/>
      </c>
      <c r="S3464" s="24" t="str">
        <f t="shared" si="214"/>
        <v/>
      </c>
      <c r="T3464" t="str">
        <f t="shared" si="212"/>
        <v/>
      </c>
    </row>
    <row r="3465" spans="18:20">
      <c r="R3465" s="24" t="str">
        <f t="shared" si="213"/>
        <v/>
      </c>
      <c r="S3465" s="24" t="str">
        <f t="shared" si="214"/>
        <v/>
      </c>
      <c r="T3465" t="str">
        <f t="shared" si="212"/>
        <v/>
      </c>
    </row>
    <row r="3466" spans="18:20">
      <c r="R3466" s="24" t="str">
        <f t="shared" si="213"/>
        <v/>
      </c>
      <c r="S3466" s="24" t="str">
        <f t="shared" si="214"/>
        <v/>
      </c>
      <c r="T3466" t="str">
        <f t="shared" si="212"/>
        <v/>
      </c>
    </row>
    <row r="3467" spans="18:20">
      <c r="R3467" s="24" t="str">
        <f t="shared" si="213"/>
        <v/>
      </c>
      <c r="S3467" s="24" t="str">
        <f t="shared" si="214"/>
        <v/>
      </c>
      <c r="T3467" t="str">
        <f t="shared" si="212"/>
        <v/>
      </c>
    </row>
    <row r="3468" spans="18:20">
      <c r="R3468" s="24" t="str">
        <f t="shared" si="213"/>
        <v/>
      </c>
      <c r="S3468" s="24" t="str">
        <f t="shared" si="214"/>
        <v/>
      </c>
      <c r="T3468" t="str">
        <f t="shared" si="212"/>
        <v/>
      </c>
    </row>
    <row r="3469" spans="18:20">
      <c r="R3469" s="24" t="str">
        <f t="shared" si="213"/>
        <v/>
      </c>
      <c r="S3469" s="24" t="str">
        <f t="shared" si="214"/>
        <v/>
      </c>
      <c r="T3469" t="str">
        <f t="shared" si="212"/>
        <v/>
      </c>
    </row>
    <row r="3470" spans="18:20">
      <c r="R3470" s="24" t="str">
        <f t="shared" si="213"/>
        <v/>
      </c>
      <c r="S3470" s="24" t="str">
        <f t="shared" si="214"/>
        <v/>
      </c>
      <c r="T3470" t="str">
        <f t="shared" si="212"/>
        <v/>
      </c>
    </row>
    <row r="3471" spans="18:20">
      <c r="R3471" s="24" t="str">
        <f t="shared" si="213"/>
        <v/>
      </c>
      <c r="S3471" s="24" t="str">
        <f t="shared" si="214"/>
        <v/>
      </c>
      <c r="T3471" t="str">
        <f t="shared" ref="T3471:T3534" si="215">IF(OR(C3471="",I3471&lt;&gt;"ENTRADA"),"",TEXT(B3471,"AAMMDD")&amp;"-"&amp;TEXT(VALUE(SUBSTITUTE(A3471,"MOV-","")),"000"))</f>
        <v/>
      </c>
    </row>
    <row r="3472" spans="18:20">
      <c r="R3472" s="24" t="str">
        <f t="shared" ref="R3472:R3535" si="216">IF(H3472="","",H3472&amp;I3472)</f>
        <v/>
      </c>
      <c r="S3472" s="24" t="str">
        <f t="shared" ref="S3472:S3535" si="217">IF(C3472="","",C3472&amp;I3472)</f>
        <v/>
      </c>
      <c r="T3472" t="str">
        <f t="shared" si="215"/>
        <v/>
      </c>
    </row>
    <row r="3473" spans="18:20">
      <c r="R3473" s="24" t="str">
        <f t="shared" si="216"/>
        <v/>
      </c>
      <c r="S3473" s="24" t="str">
        <f t="shared" si="217"/>
        <v/>
      </c>
      <c r="T3473" t="str">
        <f t="shared" si="215"/>
        <v/>
      </c>
    </row>
    <row r="3474" spans="18:20">
      <c r="R3474" s="24" t="str">
        <f t="shared" si="216"/>
        <v/>
      </c>
      <c r="S3474" s="24" t="str">
        <f t="shared" si="217"/>
        <v/>
      </c>
      <c r="T3474" t="str">
        <f t="shared" si="215"/>
        <v/>
      </c>
    </row>
    <row r="3475" spans="18:20">
      <c r="R3475" s="24" t="str">
        <f t="shared" si="216"/>
        <v/>
      </c>
      <c r="S3475" s="24" t="str">
        <f t="shared" si="217"/>
        <v/>
      </c>
      <c r="T3475" t="str">
        <f t="shared" si="215"/>
        <v/>
      </c>
    </row>
    <row r="3476" spans="18:20">
      <c r="R3476" s="24" t="str">
        <f t="shared" si="216"/>
        <v/>
      </c>
      <c r="S3476" s="24" t="str">
        <f t="shared" si="217"/>
        <v/>
      </c>
      <c r="T3476" t="str">
        <f t="shared" si="215"/>
        <v/>
      </c>
    </row>
    <row r="3477" spans="18:20">
      <c r="R3477" s="24" t="str">
        <f t="shared" si="216"/>
        <v/>
      </c>
      <c r="S3477" s="24" t="str">
        <f t="shared" si="217"/>
        <v/>
      </c>
      <c r="T3477" t="str">
        <f t="shared" si="215"/>
        <v/>
      </c>
    </row>
    <row r="3478" spans="18:20">
      <c r="R3478" s="24" t="str">
        <f t="shared" si="216"/>
        <v/>
      </c>
      <c r="S3478" s="24" t="str">
        <f t="shared" si="217"/>
        <v/>
      </c>
      <c r="T3478" t="str">
        <f t="shared" si="215"/>
        <v/>
      </c>
    </row>
    <row r="3479" spans="18:20">
      <c r="R3479" s="24" t="str">
        <f t="shared" si="216"/>
        <v/>
      </c>
      <c r="S3479" s="24" t="str">
        <f t="shared" si="217"/>
        <v/>
      </c>
      <c r="T3479" t="str">
        <f t="shared" si="215"/>
        <v/>
      </c>
    </row>
    <row r="3480" spans="18:20">
      <c r="R3480" s="24" t="str">
        <f t="shared" si="216"/>
        <v/>
      </c>
      <c r="S3480" s="24" t="str">
        <f t="shared" si="217"/>
        <v/>
      </c>
      <c r="T3480" t="str">
        <f t="shared" si="215"/>
        <v/>
      </c>
    </row>
    <row r="3481" spans="18:20">
      <c r="R3481" s="24" t="str">
        <f t="shared" si="216"/>
        <v/>
      </c>
      <c r="S3481" s="24" t="str">
        <f t="shared" si="217"/>
        <v/>
      </c>
      <c r="T3481" t="str">
        <f t="shared" si="215"/>
        <v/>
      </c>
    </row>
    <row r="3482" spans="18:20">
      <c r="R3482" s="24" t="str">
        <f t="shared" si="216"/>
        <v/>
      </c>
      <c r="S3482" s="24" t="str">
        <f t="shared" si="217"/>
        <v/>
      </c>
      <c r="T3482" t="str">
        <f t="shared" si="215"/>
        <v/>
      </c>
    </row>
    <row r="3483" spans="18:20">
      <c r="R3483" s="24" t="str">
        <f t="shared" si="216"/>
        <v/>
      </c>
      <c r="S3483" s="24" t="str">
        <f t="shared" si="217"/>
        <v/>
      </c>
      <c r="T3483" t="str">
        <f t="shared" si="215"/>
        <v/>
      </c>
    </row>
    <row r="3484" spans="18:20">
      <c r="R3484" s="24" t="str">
        <f t="shared" si="216"/>
        <v/>
      </c>
      <c r="S3484" s="24" t="str">
        <f t="shared" si="217"/>
        <v/>
      </c>
      <c r="T3484" t="str">
        <f t="shared" si="215"/>
        <v/>
      </c>
    </row>
    <row r="3485" spans="18:20">
      <c r="R3485" s="24" t="str">
        <f t="shared" si="216"/>
        <v/>
      </c>
      <c r="S3485" s="24" t="str">
        <f t="shared" si="217"/>
        <v/>
      </c>
      <c r="T3485" t="str">
        <f t="shared" si="215"/>
        <v/>
      </c>
    </row>
    <row r="3486" spans="18:20">
      <c r="R3486" s="24" t="str">
        <f t="shared" si="216"/>
        <v/>
      </c>
      <c r="S3486" s="24" t="str">
        <f t="shared" si="217"/>
        <v/>
      </c>
      <c r="T3486" t="str">
        <f t="shared" si="215"/>
        <v/>
      </c>
    </row>
    <row r="3487" spans="18:20">
      <c r="R3487" s="24" t="str">
        <f t="shared" si="216"/>
        <v/>
      </c>
      <c r="S3487" s="24" t="str">
        <f t="shared" si="217"/>
        <v/>
      </c>
      <c r="T3487" t="str">
        <f t="shared" si="215"/>
        <v/>
      </c>
    </row>
    <row r="3488" spans="18:20">
      <c r="R3488" s="24" t="str">
        <f t="shared" si="216"/>
        <v/>
      </c>
      <c r="S3488" s="24" t="str">
        <f t="shared" si="217"/>
        <v/>
      </c>
      <c r="T3488" t="str">
        <f t="shared" si="215"/>
        <v/>
      </c>
    </row>
    <row r="3489" spans="18:20">
      <c r="R3489" s="24" t="str">
        <f t="shared" si="216"/>
        <v/>
      </c>
      <c r="S3489" s="24" t="str">
        <f t="shared" si="217"/>
        <v/>
      </c>
      <c r="T3489" t="str">
        <f t="shared" si="215"/>
        <v/>
      </c>
    </row>
    <row r="3490" spans="18:20">
      <c r="R3490" s="24" t="str">
        <f t="shared" si="216"/>
        <v/>
      </c>
      <c r="S3490" s="24" t="str">
        <f t="shared" si="217"/>
        <v/>
      </c>
      <c r="T3490" t="str">
        <f t="shared" si="215"/>
        <v/>
      </c>
    </row>
    <row r="3491" spans="18:20">
      <c r="R3491" s="24" t="str">
        <f t="shared" si="216"/>
        <v/>
      </c>
      <c r="S3491" s="24" t="str">
        <f t="shared" si="217"/>
        <v/>
      </c>
      <c r="T3491" t="str">
        <f t="shared" si="215"/>
        <v/>
      </c>
    </row>
    <row r="3492" spans="18:20">
      <c r="R3492" s="24" t="str">
        <f t="shared" si="216"/>
        <v/>
      </c>
      <c r="S3492" s="24" t="str">
        <f t="shared" si="217"/>
        <v/>
      </c>
      <c r="T3492" t="str">
        <f t="shared" si="215"/>
        <v/>
      </c>
    </row>
    <row r="3493" spans="18:20">
      <c r="R3493" s="24" t="str">
        <f t="shared" si="216"/>
        <v/>
      </c>
      <c r="S3493" s="24" t="str">
        <f t="shared" si="217"/>
        <v/>
      </c>
      <c r="T3493" t="str">
        <f t="shared" si="215"/>
        <v/>
      </c>
    </row>
    <row r="3494" spans="18:20">
      <c r="R3494" s="24" t="str">
        <f t="shared" si="216"/>
        <v/>
      </c>
      <c r="S3494" s="24" t="str">
        <f t="shared" si="217"/>
        <v/>
      </c>
      <c r="T3494" t="str">
        <f t="shared" si="215"/>
        <v/>
      </c>
    </row>
    <row r="3495" spans="18:20">
      <c r="R3495" s="24" t="str">
        <f t="shared" si="216"/>
        <v/>
      </c>
      <c r="S3495" s="24" t="str">
        <f t="shared" si="217"/>
        <v/>
      </c>
      <c r="T3495" t="str">
        <f t="shared" si="215"/>
        <v/>
      </c>
    </row>
    <row r="3496" spans="18:20">
      <c r="R3496" s="24" t="str">
        <f t="shared" si="216"/>
        <v/>
      </c>
      <c r="S3496" s="24" t="str">
        <f t="shared" si="217"/>
        <v/>
      </c>
      <c r="T3496" t="str">
        <f t="shared" si="215"/>
        <v/>
      </c>
    </row>
    <row r="3497" spans="18:20">
      <c r="R3497" s="24" t="str">
        <f t="shared" si="216"/>
        <v/>
      </c>
      <c r="S3497" s="24" t="str">
        <f t="shared" si="217"/>
        <v/>
      </c>
      <c r="T3497" t="str">
        <f t="shared" si="215"/>
        <v/>
      </c>
    </row>
    <row r="3498" spans="18:20">
      <c r="R3498" s="24" t="str">
        <f t="shared" si="216"/>
        <v/>
      </c>
      <c r="S3498" s="24" t="str">
        <f t="shared" si="217"/>
        <v/>
      </c>
      <c r="T3498" t="str">
        <f t="shared" si="215"/>
        <v/>
      </c>
    </row>
    <row r="3499" spans="18:20">
      <c r="R3499" s="24" t="str">
        <f t="shared" si="216"/>
        <v/>
      </c>
      <c r="S3499" s="24" t="str">
        <f t="shared" si="217"/>
        <v/>
      </c>
      <c r="T3499" t="str">
        <f t="shared" si="215"/>
        <v/>
      </c>
    </row>
    <row r="3500" spans="18:20">
      <c r="R3500" s="24" t="str">
        <f t="shared" si="216"/>
        <v/>
      </c>
      <c r="S3500" s="24" t="str">
        <f t="shared" si="217"/>
        <v/>
      </c>
      <c r="T3500" t="str">
        <f t="shared" si="215"/>
        <v/>
      </c>
    </row>
    <row r="3501" spans="18:20">
      <c r="R3501" s="24" t="str">
        <f t="shared" si="216"/>
        <v/>
      </c>
      <c r="S3501" s="24" t="str">
        <f t="shared" si="217"/>
        <v/>
      </c>
      <c r="T3501" t="str">
        <f t="shared" si="215"/>
        <v/>
      </c>
    </row>
    <row r="3502" spans="18:20">
      <c r="R3502" s="24" t="str">
        <f t="shared" si="216"/>
        <v/>
      </c>
      <c r="S3502" s="24" t="str">
        <f t="shared" si="217"/>
        <v/>
      </c>
      <c r="T3502" t="str">
        <f t="shared" si="215"/>
        <v/>
      </c>
    </row>
    <row r="3503" spans="18:20">
      <c r="R3503" s="24" t="str">
        <f t="shared" si="216"/>
        <v/>
      </c>
      <c r="S3503" s="24" t="str">
        <f t="shared" si="217"/>
        <v/>
      </c>
      <c r="T3503" t="str">
        <f t="shared" si="215"/>
        <v/>
      </c>
    </row>
    <row r="3504" spans="18:20">
      <c r="R3504" s="24" t="str">
        <f t="shared" si="216"/>
        <v/>
      </c>
      <c r="S3504" s="24" t="str">
        <f t="shared" si="217"/>
        <v/>
      </c>
      <c r="T3504" t="str">
        <f t="shared" si="215"/>
        <v/>
      </c>
    </row>
    <row r="3505" spans="18:20">
      <c r="R3505" s="24" t="str">
        <f t="shared" si="216"/>
        <v/>
      </c>
      <c r="S3505" s="24" t="str">
        <f t="shared" si="217"/>
        <v/>
      </c>
      <c r="T3505" t="str">
        <f t="shared" si="215"/>
        <v/>
      </c>
    </row>
    <row r="3506" spans="18:20">
      <c r="R3506" s="24" t="str">
        <f t="shared" si="216"/>
        <v/>
      </c>
      <c r="S3506" s="24" t="str">
        <f t="shared" si="217"/>
        <v/>
      </c>
      <c r="T3506" t="str">
        <f t="shared" si="215"/>
        <v/>
      </c>
    </row>
    <row r="3507" spans="18:20">
      <c r="R3507" s="24" t="str">
        <f t="shared" si="216"/>
        <v/>
      </c>
      <c r="S3507" s="24" t="str">
        <f t="shared" si="217"/>
        <v/>
      </c>
      <c r="T3507" t="str">
        <f t="shared" si="215"/>
        <v/>
      </c>
    </row>
    <row r="3508" spans="18:20">
      <c r="R3508" s="24" t="str">
        <f t="shared" si="216"/>
        <v/>
      </c>
      <c r="S3508" s="24" t="str">
        <f t="shared" si="217"/>
        <v/>
      </c>
      <c r="T3508" t="str">
        <f t="shared" si="215"/>
        <v/>
      </c>
    </row>
    <row r="3509" spans="18:20">
      <c r="R3509" s="24" t="str">
        <f t="shared" si="216"/>
        <v/>
      </c>
      <c r="S3509" s="24" t="str">
        <f t="shared" si="217"/>
        <v/>
      </c>
      <c r="T3509" t="str">
        <f t="shared" si="215"/>
        <v/>
      </c>
    </row>
    <row r="3510" spans="18:20">
      <c r="R3510" s="24" t="str">
        <f t="shared" si="216"/>
        <v/>
      </c>
      <c r="S3510" s="24" t="str">
        <f t="shared" si="217"/>
        <v/>
      </c>
      <c r="T3510" t="str">
        <f t="shared" si="215"/>
        <v/>
      </c>
    </row>
    <row r="3511" spans="18:20">
      <c r="R3511" s="24" t="str">
        <f t="shared" si="216"/>
        <v/>
      </c>
      <c r="S3511" s="24" t="str">
        <f t="shared" si="217"/>
        <v/>
      </c>
      <c r="T3511" t="str">
        <f t="shared" si="215"/>
        <v/>
      </c>
    </row>
    <row r="3512" spans="18:20">
      <c r="R3512" s="24" t="str">
        <f t="shared" si="216"/>
        <v/>
      </c>
      <c r="S3512" s="24" t="str">
        <f t="shared" si="217"/>
        <v/>
      </c>
      <c r="T3512" t="str">
        <f t="shared" si="215"/>
        <v/>
      </c>
    </row>
    <row r="3513" spans="18:20">
      <c r="R3513" s="24" t="str">
        <f t="shared" si="216"/>
        <v/>
      </c>
      <c r="S3513" s="24" t="str">
        <f t="shared" si="217"/>
        <v/>
      </c>
      <c r="T3513" t="str">
        <f t="shared" si="215"/>
        <v/>
      </c>
    </row>
    <row r="3514" spans="18:20">
      <c r="R3514" s="24" t="str">
        <f t="shared" si="216"/>
        <v/>
      </c>
      <c r="S3514" s="24" t="str">
        <f t="shared" si="217"/>
        <v/>
      </c>
      <c r="T3514" t="str">
        <f t="shared" si="215"/>
        <v/>
      </c>
    </row>
    <row r="3515" spans="18:20">
      <c r="R3515" s="24" t="str">
        <f t="shared" si="216"/>
        <v/>
      </c>
      <c r="S3515" s="24" t="str">
        <f t="shared" si="217"/>
        <v/>
      </c>
      <c r="T3515" t="str">
        <f t="shared" si="215"/>
        <v/>
      </c>
    </row>
    <row r="3516" spans="18:20">
      <c r="R3516" s="24" t="str">
        <f t="shared" si="216"/>
        <v/>
      </c>
      <c r="S3516" s="24" t="str">
        <f t="shared" si="217"/>
        <v/>
      </c>
      <c r="T3516" t="str">
        <f t="shared" si="215"/>
        <v/>
      </c>
    </row>
    <row r="3517" spans="18:20">
      <c r="R3517" s="24" t="str">
        <f t="shared" si="216"/>
        <v/>
      </c>
      <c r="S3517" s="24" t="str">
        <f t="shared" si="217"/>
        <v/>
      </c>
      <c r="T3517" t="str">
        <f t="shared" si="215"/>
        <v/>
      </c>
    </row>
    <row r="3518" spans="18:20">
      <c r="R3518" s="24" t="str">
        <f t="shared" si="216"/>
        <v/>
      </c>
      <c r="S3518" s="24" t="str">
        <f t="shared" si="217"/>
        <v/>
      </c>
      <c r="T3518" t="str">
        <f t="shared" si="215"/>
        <v/>
      </c>
    </row>
    <row r="3519" spans="18:20">
      <c r="R3519" s="24" t="str">
        <f t="shared" si="216"/>
        <v/>
      </c>
      <c r="S3519" s="24" t="str">
        <f t="shared" si="217"/>
        <v/>
      </c>
      <c r="T3519" t="str">
        <f t="shared" si="215"/>
        <v/>
      </c>
    </row>
    <row r="3520" spans="18:20">
      <c r="R3520" s="24" t="str">
        <f t="shared" si="216"/>
        <v/>
      </c>
      <c r="S3520" s="24" t="str">
        <f t="shared" si="217"/>
        <v/>
      </c>
      <c r="T3520" t="str">
        <f t="shared" si="215"/>
        <v/>
      </c>
    </row>
    <row r="3521" spans="18:20">
      <c r="R3521" s="24" t="str">
        <f t="shared" si="216"/>
        <v/>
      </c>
      <c r="S3521" s="24" t="str">
        <f t="shared" si="217"/>
        <v/>
      </c>
      <c r="T3521" t="str">
        <f t="shared" si="215"/>
        <v/>
      </c>
    </row>
    <row r="3522" spans="18:20">
      <c r="R3522" s="24" t="str">
        <f t="shared" si="216"/>
        <v/>
      </c>
      <c r="S3522" s="24" t="str">
        <f t="shared" si="217"/>
        <v/>
      </c>
      <c r="T3522" t="str">
        <f t="shared" si="215"/>
        <v/>
      </c>
    </row>
    <row r="3523" spans="18:20">
      <c r="R3523" s="24" t="str">
        <f t="shared" si="216"/>
        <v/>
      </c>
      <c r="S3523" s="24" t="str">
        <f t="shared" si="217"/>
        <v/>
      </c>
      <c r="T3523" t="str">
        <f t="shared" si="215"/>
        <v/>
      </c>
    </row>
    <row r="3524" spans="18:20">
      <c r="R3524" s="24" t="str">
        <f t="shared" si="216"/>
        <v/>
      </c>
      <c r="S3524" s="24" t="str">
        <f t="shared" si="217"/>
        <v/>
      </c>
      <c r="T3524" t="str">
        <f t="shared" si="215"/>
        <v/>
      </c>
    </row>
    <row r="3525" spans="18:20">
      <c r="R3525" s="24" t="str">
        <f t="shared" si="216"/>
        <v/>
      </c>
      <c r="S3525" s="24" t="str">
        <f t="shared" si="217"/>
        <v/>
      </c>
      <c r="T3525" t="str">
        <f t="shared" si="215"/>
        <v/>
      </c>
    </row>
    <row r="3526" spans="18:20">
      <c r="R3526" s="24" t="str">
        <f t="shared" si="216"/>
        <v/>
      </c>
      <c r="S3526" s="24" t="str">
        <f t="shared" si="217"/>
        <v/>
      </c>
      <c r="T3526" t="str">
        <f t="shared" si="215"/>
        <v/>
      </c>
    </row>
    <row r="3527" spans="18:20">
      <c r="R3527" s="24" t="str">
        <f t="shared" si="216"/>
        <v/>
      </c>
      <c r="S3527" s="24" t="str">
        <f t="shared" si="217"/>
        <v/>
      </c>
      <c r="T3527" t="str">
        <f t="shared" si="215"/>
        <v/>
      </c>
    </row>
    <row r="3528" spans="18:20">
      <c r="R3528" s="24" t="str">
        <f t="shared" si="216"/>
        <v/>
      </c>
      <c r="S3528" s="24" t="str">
        <f t="shared" si="217"/>
        <v/>
      </c>
      <c r="T3528" t="str">
        <f t="shared" si="215"/>
        <v/>
      </c>
    </row>
    <row r="3529" spans="18:20">
      <c r="R3529" s="24" t="str">
        <f t="shared" si="216"/>
        <v/>
      </c>
      <c r="S3529" s="24" t="str">
        <f t="shared" si="217"/>
        <v/>
      </c>
      <c r="T3529" t="str">
        <f t="shared" si="215"/>
        <v/>
      </c>
    </row>
    <row r="3530" spans="18:20">
      <c r="R3530" s="24" t="str">
        <f t="shared" si="216"/>
        <v/>
      </c>
      <c r="S3530" s="24" t="str">
        <f t="shared" si="217"/>
        <v/>
      </c>
      <c r="T3530" t="str">
        <f t="shared" si="215"/>
        <v/>
      </c>
    </row>
    <row r="3531" spans="18:20">
      <c r="R3531" s="24" t="str">
        <f t="shared" si="216"/>
        <v/>
      </c>
      <c r="S3531" s="24" t="str">
        <f t="shared" si="217"/>
        <v/>
      </c>
      <c r="T3531" t="str">
        <f t="shared" si="215"/>
        <v/>
      </c>
    </row>
    <row r="3532" spans="18:20">
      <c r="R3532" s="24" t="str">
        <f t="shared" si="216"/>
        <v/>
      </c>
      <c r="S3532" s="24" t="str">
        <f t="shared" si="217"/>
        <v/>
      </c>
      <c r="T3532" t="str">
        <f t="shared" si="215"/>
        <v/>
      </c>
    </row>
    <row r="3533" spans="18:20">
      <c r="R3533" s="24" t="str">
        <f t="shared" si="216"/>
        <v/>
      </c>
      <c r="S3533" s="24" t="str">
        <f t="shared" si="217"/>
        <v/>
      </c>
      <c r="T3533" t="str">
        <f t="shared" si="215"/>
        <v/>
      </c>
    </row>
    <row r="3534" spans="18:20">
      <c r="R3534" s="24" t="str">
        <f t="shared" si="216"/>
        <v/>
      </c>
      <c r="S3534" s="24" t="str">
        <f t="shared" si="217"/>
        <v/>
      </c>
      <c r="T3534" t="str">
        <f t="shared" si="215"/>
        <v/>
      </c>
    </row>
    <row r="3535" spans="18:20">
      <c r="R3535" s="24" t="str">
        <f t="shared" si="216"/>
        <v/>
      </c>
      <c r="S3535" s="24" t="str">
        <f t="shared" si="217"/>
        <v/>
      </c>
      <c r="T3535" t="str">
        <f t="shared" ref="T3535:T3598" si="218">IF(OR(C3535="",I3535&lt;&gt;"ENTRADA"),"",TEXT(B3535,"AAMMDD")&amp;"-"&amp;TEXT(VALUE(SUBSTITUTE(A3535,"MOV-","")),"000"))</f>
        <v/>
      </c>
    </row>
    <row r="3536" spans="18:20">
      <c r="R3536" s="24" t="str">
        <f t="shared" ref="R3536:R3599" si="219">IF(H3536="","",H3536&amp;I3536)</f>
        <v/>
      </c>
      <c r="S3536" s="24" t="str">
        <f t="shared" ref="S3536:S3599" si="220">IF(C3536="","",C3536&amp;I3536)</f>
        <v/>
      </c>
      <c r="T3536" t="str">
        <f t="shared" si="218"/>
        <v/>
      </c>
    </row>
    <row r="3537" spans="18:20">
      <c r="R3537" s="24" t="str">
        <f t="shared" si="219"/>
        <v/>
      </c>
      <c r="S3537" s="24" t="str">
        <f t="shared" si="220"/>
        <v/>
      </c>
      <c r="T3537" t="str">
        <f t="shared" si="218"/>
        <v/>
      </c>
    </row>
    <row r="3538" spans="18:20">
      <c r="R3538" s="24" t="str">
        <f t="shared" si="219"/>
        <v/>
      </c>
      <c r="S3538" s="24" t="str">
        <f t="shared" si="220"/>
        <v/>
      </c>
      <c r="T3538" t="str">
        <f t="shared" si="218"/>
        <v/>
      </c>
    </row>
    <row r="3539" spans="18:20">
      <c r="R3539" s="24" t="str">
        <f t="shared" si="219"/>
        <v/>
      </c>
      <c r="S3539" s="24" t="str">
        <f t="shared" si="220"/>
        <v/>
      </c>
      <c r="T3539" t="str">
        <f t="shared" si="218"/>
        <v/>
      </c>
    </row>
    <row r="3540" spans="18:20">
      <c r="R3540" s="24" t="str">
        <f t="shared" si="219"/>
        <v/>
      </c>
      <c r="S3540" s="24" t="str">
        <f t="shared" si="220"/>
        <v/>
      </c>
      <c r="T3540" t="str">
        <f t="shared" si="218"/>
        <v/>
      </c>
    </row>
    <row r="3541" spans="18:20">
      <c r="R3541" s="24" t="str">
        <f t="shared" si="219"/>
        <v/>
      </c>
      <c r="S3541" s="24" t="str">
        <f t="shared" si="220"/>
        <v/>
      </c>
      <c r="T3541" t="str">
        <f t="shared" si="218"/>
        <v/>
      </c>
    </row>
    <row r="3542" spans="18:20">
      <c r="R3542" s="24" t="str">
        <f t="shared" si="219"/>
        <v/>
      </c>
      <c r="S3542" s="24" t="str">
        <f t="shared" si="220"/>
        <v/>
      </c>
      <c r="T3542" t="str">
        <f t="shared" si="218"/>
        <v/>
      </c>
    </row>
    <row r="3543" spans="18:20">
      <c r="R3543" s="24" t="str">
        <f t="shared" si="219"/>
        <v/>
      </c>
      <c r="S3543" s="24" t="str">
        <f t="shared" si="220"/>
        <v/>
      </c>
      <c r="T3543" t="str">
        <f t="shared" si="218"/>
        <v/>
      </c>
    </row>
    <row r="3544" spans="18:20">
      <c r="R3544" s="24" t="str">
        <f t="shared" si="219"/>
        <v/>
      </c>
      <c r="S3544" s="24" t="str">
        <f t="shared" si="220"/>
        <v/>
      </c>
      <c r="T3544" t="str">
        <f t="shared" si="218"/>
        <v/>
      </c>
    </row>
    <row r="3545" spans="18:20">
      <c r="R3545" s="24" t="str">
        <f t="shared" si="219"/>
        <v/>
      </c>
      <c r="S3545" s="24" t="str">
        <f t="shared" si="220"/>
        <v/>
      </c>
      <c r="T3545" t="str">
        <f t="shared" si="218"/>
        <v/>
      </c>
    </row>
    <row r="3546" spans="18:20">
      <c r="R3546" s="24" t="str">
        <f t="shared" si="219"/>
        <v/>
      </c>
      <c r="S3546" s="24" t="str">
        <f t="shared" si="220"/>
        <v/>
      </c>
      <c r="T3546" t="str">
        <f t="shared" si="218"/>
        <v/>
      </c>
    </row>
    <row r="3547" spans="18:20">
      <c r="R3547" s="24" t="str">
        <f t="shared" si="219"/>
        <v/>
      </c>
      <c r="S3547" s="24" t="str">
        <f t="shared" si="220"/>
        <v/>
      </c>
      <c r="T3547" t="str">
        <f t="shared" si="218"/>
        <v/>
      </c>
    </row>
    <row r="3548" spans="18:20">
      <c r="R3548" s="24" t="str">
        <f t="shared" si="219"/>
        <v/>
      </c>
      <c r="S3548" s="24" t="str">
        <f t="shared" si="220"/>
        <v/>
      </c>
      <c r="T3548" t="str">
        <f t="shared" si="218"/>
        <v/>
      </c>
    </row>
    <row r="3549" spans="18:20">
      <c r="R3549" s="24" t="str">
        <f t="shared" si="219"/>
        <v/>
      </c>
      <c r="S3549" s="24" t="str">
        <f t="shared" si="220"/>
        <v/>
      </c>
      <c r="T3549" t="str">
        <f t="shared" si="218"/>
        <v/>
      </c>
    </row>
    <row r="3550" spans="18:20">
      <c r="R3550" s="24" t="str">
        <f t="shared" si="219"/>
        <v/>
      </c>
      <c r="S3550" s="24" t="str">
        <f t="shared" si="220"/>
        <v/>
      </c>
      <c r="T3550" t="str">
        <f t="shared" si="218"/>
        <v/>
      </c>
    </row>
    <row r="3551" spans="18:20">
      <c r="R3551" s="24" t="str">
        <f t="shared" si="219"/>
        <v/>
      </c>
      <c r="S3551" s="24" t="str">
        <f t="shared" si="220"/>
        <v/>
      </c>
      <c r="T3551" t="str">
        <f t="shared" si="218"/>
        <v/>
      </c>
    </row>
    <row r="3552" spans="18:20">
      <c r="R3552" s="24" t="str">
        <f t="shared" si="219"/>
        <v/>
      </c>
      <c r="S3552" s="24" t="str">
        <f t="shared" si="220"/>
        <v/>
      </c>
      <c r="T3552" t="str">
        <f t="shared" si="218"/>
        <v/>
      </c>
    </row>
    <row r="3553" spans="18:20">
      <c r="R3553" s="24" t="str">
        <f t="shared" si="219"/>
        <v/>
      </c>
      <c r="S3553" s="24" t="str">
        <f t="shared" si="220"/>
        <v/>
      </c>
      <c r="T3553" t="str">
        <f t="shared" si="218"/>
        <v/>
      </c>
    </row>
    <row r="3554" spans="18:20">
      <c r="R3554" s="24" t="str">
        <f t="shared" si="219"/>
        <v/>
      </c>
      <c r="S3554" s="24" t="str">
        <f t="shared" si="220"/>
        <v/>
      </c>
      <c r="T3554" t="str">
        <f t="shared" si="218"/>
        <v/>
      </c>
    </row>
    <row r="3555" spans="18:20">
      <c r="R3555" s="24" t="str">
        <f t="shared" si="219"/>
        <v/>
      </c>
      <c r="S3555" s="24" t="str">
        <f t="shared" si="220"/>
        <v/>
      </c>
      <c r="T3555" t="str">
        <f t="shared" si="218"/>
        <v/>
      </c>
    </row>
    <row r="3556" spans="18:20">
      <c r="R3556" s="24" t="str">
        <f t="shared" si="219"/>
        <v/>
      </c>
      <c r="S3556" s="24" t="str">
        <f t="shared" si="220"/>
        <v/>
      </c>
      <c r="T3556" t="str">
        <f t="shared" si="218"/>
        <v/>
      </c>
    </row>
    <row r="3557" spans="18:20">
      <c r="R3557" s="24" t="str">
        <f t="shared" si="219"/>
        <v/>
      </c>
      <c r="S3557" s="24" t="str">
        <f t="shared" si="220"/>
        <v/>
      </c>
      <c r="T3557" t="str">
        <f t="shared" si="218"/>
        <v/>
      </c>
    </row>
    <row r="3558" spans="18:20">
      <c r="R3558" s="24" t="str">
        <f t="shared" si="219"/>
        <v/>
      </c>
      <c r="S3558" s="24" t="str">
        <f t="shared" si="220"/>
        <v/>
      </c>
      <c r="T3558" t="str">
        <f t="shared" si="218"/>
        <v/>
      </c>
    </row>
    <row r="3559" spans="18:20">
      <c r="R3559" s="24" t="str">
        <f t="shared" si="219"/>
        <v/>
      </c>
      <c r="S3559" s="24" t="str">
        <f t="shared" si="220"/>
        <v/>
      </c>
      <c r="T3559" t="str">
        <f t="shared" si="218"/>
        <v/>
      </c>
    </row>
    <row r="3560" spans="18:20">
      <c r="R3560" s="24" t="str">
        <f t="shared" si="219"/>
        <v/>
      </c>
      <c r="S3560" s="24" t="str">
        <f t="shared" si="220"/>
        <v/>
      </c>
      <c r="T3560" t="str">
        <f t="shared" si="218"/>
        <v/>
      </c>
    </row>
    <row r="3561" spans="18:20">
      <c r="R3561" s="24" t="str">
        <f t="shared" si="219"/>
        <v/>
      </c>
      <c r="S3561" s="24" t="str">
        <f t="shared" si="220"/>
        <v/>
      </c>
      <c r="T3561" t="str">
        <f t="shared" si="218"/>
        <v/>
      </c>
    </row>
    <row r="3562" spans="18:20">
      <c r="R3562" s="24" t="str">
        <f t="shared" si="219"/>
        <v/>
      </c>
      <c r="S3562" s="24" t="str">
        <f t="shared" si="220"/>
        <v/>
      </c>
      <c r="T3562" t="str">
        <f t="shared" si="218"/>
        <v/>
      </c>
    </row>
    <row r="3563" spans="18:20">
      <c r="R3563" s="24" t="str">
        <f t="shared" si="219"/>
        <v/>
      </c>
      <c r="S3563" s="24" t="str">
        <f t="shared" si="220"/>
        <v/>
      </c>
      <c r="T3563" t="str">
        <f t="shared" si="218"/>
        <v/>
      </c>
    </row>
    <row r="3564" spans="18:20">
      <c r="R3564" s="24" t="str">
        <f t="shared" si="219"/>
        <v/>
      </c>
      <c r="S3564" s="24" t="str">
        <f t="shared" si="220"/>
        <v/>
      </c>
      <c r="T3564" t="str">
        <f t="shared" si="218"/>
        <v/>
      </c>
    </row>
    <row r="3565" spans="18:20">
      <c r="R3565" s="24" t="str">
        <f t="shared" si="219"/>
        <v/>
      </c>
      <c r="S3565" s="24" t="str">
        <f t="shared" si="220"/>
        <v/>
      </c>
      <c r="T3565" t="str">
        <f t="shared" si="218"/>
        <v/>
      </c>
    </row>
    <row r="3566" spans="18:20">
      <c r="R3566" s="24" t="str">
        <f t="shared" si="219"/>
        <v/>
      </c>
      <c r="S3566" s="24" t="str">
        <f t="shared" si="220"/>
        <v/>
      </c>
      <c r="T3566" t="str">
        <f t="shared" si="218"/>
        <v/>
      </c>
    </row>
    <row r="3567" spans="18:20">
      <c r="R3567" s="24" t="str">
        <f t="shared" si="219"/>
        <v/>
      </c>
      <c r="S3567" s="24" t="str">
        <f t="shared" si="220"/>
        <v/>
      </c>
      <c r="T3567" t="str">
        <f t="shared" si="218"/>
        <v/>
      </c>
    </row>
    <row r="3568" spans="18:20">
      <c r="R3568" s="24" t="str">
        <f t="shared" si="219"/>
        <v/>
      </c>
      <c r="S3568" s="24" t="str">
        <f t="shared" si="220"/>
        <v/>
      </c>
      <c r="T3568" t="str">
        <f t="shared" si="218"/>
        <v/>
      </c>
    </row>
    <row r="3569" spans="18:20">
      <c r="R3569" s="24" t="str">
        <f t="shared" si="219"/>
        <v/>
      </c>
      <c r="S3569" s="24" t="str">
        <f t="shared" si="220"/>
        <v/>
      </c>
      <c r="T3569" t="str">
        <f t="shared" si="218"/>
        <v/>
      </c>
    </row>
    <row r="3570" spans="18:20">
      <c r="R3570" s="24" t="str">
        <f t="shared" si="219"/>
        <v/>
      </c>
      <c r="S3570" s="24" t="str">
        <f t="shared" si="220"/>
        <v/>
      </c>
      <c r="T3570" t="str">
        <f t="shared" si="218"/>
        <v/>
      </c>
    </row>
    <row r="3571" spans="18:20">
      <c r="R3571" s="24" t="str">
        <f t="shared" si="219"/>
        <v/>
      </c>
      <c r="S3571" s="24" t="str">
        <f t="shared" si="220"/>
        <v/>
      </c>
      <c r="T3571" t="str">
        <f t="shared" si="218"/>
        <v/>
      </c>
    </row>
    <row r="3572" spans="18:20">
      <c r="R3572" s="24" t="str">
        <f t="shared" si="219"/>
        <v/>
      </c>
      <c r="S3572" s="24" t="str">
        <f t="shared" si="220"/>
        <v/>
      </c>
      <c r="T3572" t="str">
        <f t="shared" si="218"/>
        <v/>
      </c>
    </row>
    <row r="3573" spans="18:20">
      <c r="R3573" s="24" t="str">
        <f t="shared" si="219"/>
        <v/>
      </c>
      <c r="S3573" s="24" t="str">
        <f t="shared" si="220"/>
        <v/>
      </c>
      <c r="T3573" t="str">
        <f t="shared" si="218"/>
        <v/>
      </c>
    </row>
    <row r="3574" spans="18:20">
      <c r="R3574" s="24" t="str">
        <f t="shared" si="219"/>
        <v/>
      </c>
      <c r="S3574" s="24" t="str">
        <f t="shared" si="220"/>
        <v/>
      </c>
      <c r="T3574" t="str">
        <f t="shared" si="218"/>
        <v/>
      </c>
    </row>
    <row r="3575" spans="18:20">
      <c r="R3575" s="24" t="str">
        <f t="shared" si="219"/>
        <v/>
      </c>
      <c r="S3575" s="24" t="str">
        <f t="shared" si="220"/>
        <v/>
      </c>
      <c r="T3575" t="str">
        <f t="shared" si="218"/>
        <v/>
      </c>
    </row>
    <row r="3576" spans="18:20">
      <c r="R3576" s="24" t="str">
        <f t="shared" si="219"/>
        <v/>
      </c>
      <c r="S3576" s="24" t="str">
        <f t="shared" si="220"/>
        <v/>
      </c>
      <c r="T3576" t="str">
        <f t="shared" si="218"/>
        <v/>
      </c>
    </row>
    <row r="3577" spans="18:20">
      <c r="R3577" s="24" t="str">
        <f t="shared" si="219"/>
        <v/>
      </c>
      <c r="S3577" s="24" t="str">
        <f t="shared" si="220"/>
        <v/>
      </c>
      <c r="T3577" t="str">
        <f t="shared" si="218"/>
        <v/>
      </c>
    </row>
    <row r="3578" spans="18:20">
      <c r="R3578" s="24" t="str">
        <f t="shared" si="219"/>
        <v/>
      </c>
      <c r="S3578" s="24" t="str">
        <f t="shared" si="220"/>
        <v/>
      </c>
      <c r="T3578" t="str">
        <f t="shared" si="218"/>
        <v/>
      </c>
    </row>
    <row r="3579" spans="18:20">
      <c r="R3579" s="24" t="str">
        <f t="shared" si="219"/>
        <v/>
      </c>
      <c r="S3579" s="24" t="str">
        <f t="shared" si="220"/>
        <v/>
      </c>
      <c r="T3579" t="str">
        <f t="shared" si="218"/>
        <v/>
      </c>
    </row>
    <row r="3580" spans="18:20">
      <c r="R3580" s="24" t="str">
        <f t="shared" si="219"/>
        <v/>
      </c>
      <c r="S3580" s="24" t="str">
        <f t="shared" si="220"/>
        <v/>
      </c>
      <c r="T3580" t="str">
        <f t="shared" si="218"/>
        <v/>
      </c>
    </row>
    <row r="3581" spans="18:20">
      <c r="R3581" s="24" t="str">
        <f t="shared" si="219"/>
        <v/>
      </c>
      <c r="S3581" s="24" t="str">
        <f t="shared" si="220"/>
        <v/>
      </c>
      <c r="T3581" t="str">
        <f t="shared" si="218"/>
        <v/>
      </c>
    </row>
    <row r="3582" spans="18:20">
      <c r="R3582" s="24" t="str">
        <f t="shared" si="219"/>
        <v/>
      </c>
      <c r="S3582" s="24" t="str">
        <f t="shared" si="220"/>
        <v/>
      </c>
      <c r="T3582" t="str">
        <f t="shared" si="218"/>
        <v/>
      </c>
    </row>
    <row r="3583" spans="18:20">
      <c r="R3583" s="24" t="str">
        <f t="shared" si="219"/>
        <v/>
      </c>
      <c r="S3583" s="24" t="str">
        <f t="shared" si="220"/>
        <v/>
      </c>
      <c r="T3583" t="str">
        <f t="shared" si="218"/>
        <v/>
      </c>
    </row>
    <row r="3584" spans="18:20">
      <c r="R3584" s="24" t="str">
        <f t="shared" si="219"/>
        <v/>
      </c>
      <c r="S3584" s="24" t="str">
        <f t="shared" si="220"/>
        <v/>
      </c>
      <c r="T3584" t="str">
        <f t="shared" si="218"/>
        <v/>
      </c>
    </row>
    <row r="3585" spans="18:20">
      <c r="R3585" s="24" t="str">
        <f t="shared" si="219"/>
        <v/>
      </c>
      <c r="S3585" s="24" t="str">
        <f t="shared" si="220"/>
        <v/>
      </c>
      <c r="T3585" t="str">
        <f t="shared" si="218"/>
        <v/>
      </c>
    </row>
    <row r="3586" spans="18:20">
      <c r="R3586" s="24" t="str">
        <f t="shared" si="219"/>
        <v/>
      </c>
      <c r="S3586" s="24" t="str">
        <f t="shared" si="220"/>
        <v/>
      </c>
      <c r="T3586" t="str">
        <f t="shared" si="218"/>
        <v/>
      </c>
    </row>
    <row r="3587" spans="18:20">
      <c r="R3587" s="24" t="str">
        <f t="shared" si="219"/>
        <v/>
      </c>
      <c r="S3587" s="24" t="str">
        <f t="shared" si="220"/>
        <v/>
      </c>
      <c r="T3587" t="str">
        <f t="shared" si="218"/>
        <v/>
      </c>
    </row>
    <row r="3588" spans="18:20">
      <c r="R3588" s="24" t="str">
        <f t="shared" si="219"/>
        <v/>
      </c>
      <c r="S3588" s="24" t="str">
        <f t="shared" si="220"/>
        <v/>
      </c>
      <c r="T3588" t="str">
        <f t="shared" si="218"/>
        <v/>
      </c>
    </row>
    <row r="3589" spans="18:20">
      <c r="R3589" s="24" t="str">
        <f t="shared" si="219"/>
        <v/>
      </c>
      <c r="S3589" s="24" t="str">
        <f t="shared" si="220"/>
        <v/>
      </c>
      <c r="T3589" t="str">
        <f t="shared" si="218"/>
        <v/>
      </c>
    </row>
    <row r="3590" spans="18:20">
      <c r="R3590" s="24" t="str">
        <f t="shared" si="219"/>
        <v/>
      </c>
      <c r="S3590" s="24" t="str">
        <f t="shared" si="220"/>
        <v/>
      </c>
      <c r="T3590" t="str">
        <f t="shared" si="218"/>
        <v/>
      </c>
    </row>
    <row r="3591" spans="18:20">
      <c r="R3591" s="24" t="str">
        <f t="shared" si="219"/>
        <v/>
      </c>
      <c r="S3591" s="24" t="str">
        <f t="shared" si="220"/>
        <v/>
      </c>
      <c r="T3591" t="str">
        <f t="shared" si="218"/>
        <v/>
      </c>
    </row>
    <row r="3592" spans="18:20">
      <c r="R3592" s="24" t="str">
        <f t="shared" si="219"/>
        <v/>
      </c>
      <c r="S3592" s="24" t="str">
        <f t="shared" si="220"/>
        <v/>
      </c>
      <c r="T3592" t="str">
        <f t="shared" si="218"/>
        <v/>
      </c>
    </row>
    <row r="3593" spans="18:20">
      <c r="R3593" s="24" t="str">
        <f t="shared" si="219"/>
        <v/>
      </c>
      <c r="S3593" s="24" t="str">
        <f t="shared" si="220"/>
        <v/>
      </c>
      <c r="T3593" t="str">
        <f t="shared" si="218"/>
        <v/>
      </c>
    </row>
    <row r="3594" spans="18:20">
      <c r="R3594" s="24" t="str">
        <f t="shared" si="219"/>
        <v/>
      </c>
      <c r="S3594" s="24" t="str">
        <f t="shared" si="220"/>
        <v/>
      </c>
      <c r="T3594" t="str">
        <f t="shared" si="218"/>
        <v/>
      </c>
    </row>
    <row r="3595" spans="18:20">
      <c r="R3595" s="24" t="str">
        <f t="shared" si="219"/>
        <v/>
      </c>
      <c r="S3595" s="24" t="str">
        <f t="shared" si="220"/>
        <v/>
      </c>
      <c r="T3595" t="str">
        <f t="shared" si="218"/>
        <v/>
      </c>
    </row>
    <row r="3596" spans="18:20">
      <c r="R3596" s="24" t="str">
        <f t="shared" si="219"/>
        <v/>
      </c>
      <c r="S3596" s="24" t="str">
        <f t="shared" si="220"/>
        <v/>
      </c>
      <c r="T3596" t="str">
        <f t="shared" si="218"/>
        <v/>
      </c>
    </row>
    <row r="3597" spans="18:20">
      <c r="R3597" s="24" t="str">
        <f t="shared" si="219"/>
        <v/>
      </c>
      <c r="S3597" s="24" t="str">
        <f t="shared" si="220"/>
        <v/>
      </c>
      <c r="T3597" t="str">
        <f t="shared" si="218"/>
        <v/>
      </c>
    </row>
    <row r="3598" spans="18:20">
      <c r="R3598" s="24" t="str">
        <f t="shared" si="219"/>
        <v/>
      </c>
      <c r="S3598" s="24" t="str">
        <f t="shared" si="220"/>
        <v/>
      </c>
      <c r="T3598" t="str">
        <f t="shared" si="218"/>
        <v/>
      </c>
    </row>
    <row r="3599" spans="18:20">
      <c r="R3599" s="24" t="str">
        <f t="shared" si="219"/>
        <v/>
      </c>
      <c r="S3599" s="24" t="str">
        <f t="shared" si="220"/>
        <v/>
      </c>
      <c r="T3599" t="str">
        <f t="shared" ref="T3599:T3662" si="221">IF(OR(C3599="",I3599&lt;&gt;"ENTRADA"),"",TEXT(B3599,"AAMMDD")&amp;"-"&amp;TEXT(VALUE(SUBSTITUTE(A3599,"MOV-","")),"000"))</f>
        <v/>
      </c>
    </row>
    <row r="3600" spans="18:20">
      <c r="R3600" s="24" t="str">
        <f t="shared" ref="R3600:R3663" si="222">IF(H3600="","",H3600&amp;I3600)</f>
        <v/>
      </c>
      <c r="S3600" s="24" t="str">
        <f t="shared" ref="S3600:S3663" si="223">IF(C3600="","",C3600&amp;I3600)</f>
        <v/>
      </c>
      <c r="T3600" t="str">
        <f t="shared" si="221"/>
        <v/>
      </c>
    </row>
    <row r="3601" spans="18:20">
      <c r="R3601" s="24" t="str">
        <f t="shared" si="222"/>
        <v/>
      </c>
      <c r="S3601" s="24" t="str">
        <f t="shared" si="223"/>
        <v/>
      </c>
      <c r="T3601" t="str">
        <f t="shared" si="221"/>
        <v/>
      </c>
    </row>
    <row r="3602" spans="18:20">
      <c r="R3602" s="24" t="str">
        <f t="shared" si="222"/>
        <v/>
      </c>
      <c r="S3602" s="24" t="str">
        <f t="shared" si="223"/>
        <v/>
      </c>
      <c r="T3602" t="str">
        <f t="shared" si="221"/>
        <v/>
      </c>
    </row>
    <row r="3603" spans="18:20">
      <c r="R3603" s="24" t="str">
        <f t="shared" si="222"/>
        <v/>
      </c>
      <c r="S3603" s="24" t="str">
        <f t="shared" si="223"/>
        <v/>
      </c>
      <c r="T3603" t="str">
        <f t="shared" si="221"/>
        <v/>
      </c>
    </row>
    <row r="3604" spans="18:20">
      <c r="R3604" s="24" t="str">
        <f t="shared" si="222"/>
        <v/>
      </c>
      <c r="S3604" s="24" t="str">
        <f t="shared" si="223"/>
        <v/>
      </c>
      <c r="T3604" t="str">
        <f t="shared" si="221"/>
        <v/>
      </c>
    </row>
    <row r="3605" spans="18:20">
      <c r="R3605" s="24" t="str">
        <f t="shared" si="222"/>
        <v/>
      </c>
      <c r="S3605" s="24" t="str">
        <f t="shared" si="223"/>
        <v/>
      </c>
      <c r="T3605" t="str">
        <f t="shared" si="221"/>
        <v/>
      </c>
    </row>
    <row r="3606" spans="18:20">
      <c r="R3606" s="24" t="str">
        <f t="shared" si="222"/>
        <v/>
      </c>
      <c r="S3606" s="24" t="str">
        <f t="shared" si="223"/>
        <v/>
      </c>
      <c r="T3606" t="str">
        <f t="shared" si="221"/>
        <v/>
      </c>
    </row>
    <row r="3607" spans="18:20">
      <c r="R3607" s="24" t="str">
        <f t="shared" si="222"/>
        <v/>
      </c>
      <c r="S3607" s="24" t="str">
        <f t="shared" si="223"/>
        <v/>
      </c>
      <c r="T3607" t="str">
        <f t="shared" si="221"/>
        <v/>
      </c>
    </row>
    <row r="3608" spans="18:20">
      <c r="R3608" s="24" t="str">
        <f t="shared" si="222"/>
        <v/>
      </c>
      <c r="S3608" s="24" t="str">
        <f t="shared" si="223"/>
        <v/>
      </c>
      <c r="T3608" t="str">
        <f t="shared" si="221"/>
        <v/>
      </c>
    </row>
    <row r="3609" spans="18:20">
      <c r="R3609" s="24" t="str">
        <f t="shared" si="222"/>
        <v/>
      </c>
      <c r="S3609" s="24" t="str">
        <f t="shared" si="223"/>
        <v/>
      </c>
      <c r="T3609" t="str">
        <f t="shared" si="221"/>
        <v/>
      </c>
    </row>
    <row r="3610" spans="18:20">
      <c r="R3610" s="24" t="str">
        <f t="shared" si="222"/>
        <v/>
      </c>
      <c r="S3610" s="24" t="str">
        <f t="shared" si="223"/>
        <v/>
      </c>
      <c r="T3610" t="str">
        <f t="shared" si="221"/>
        <v/>
      </c>
    </row>
    <row r="3611" spans="18:20">
      <c r="R3611" s="24" t="str">
        <f t="shared" si="222"/>
        <v/>
      </c>
      <c r="S3611" s="24" t="str">
        <f t="shared" si="223"/>
        <v/>
      </c>
      <c r="T3611" t="str">
        <f t="shared" si="221"/>
        <v/>
      </c>
    </row>
    <row r="3612" spans="18:20">
      <c r="R3612" s="24" t="str">
        <f t="shared" si="222"/>
        <v/>
      </c>
      <c r="S3612" s="24" t="str">
        <f t="shared" si="223"/>
        <v/>
      </c>
      <c r="T3612" t="str">
        <f t="shared" si="221"/>
        <v/>
      </c>
    </row>
    <row r="3613" spans="18:20">
      <c r="R3613" s="24" t="str">
        <f t="shared" si="222"/>
        <v/>
      </c>
      <c r="S3613" s="24" t="str">
        <f t="shared" si="223"/>
        <v/>
      </c>
      <c r="T3613" t="str">
        <f t="shared" si="221"/>
        <v/>
      </c>
    </row>
    <row r="3614" spans="18:20">
      <c r="R3614" s="24" t="str">
        <f t="shared" si="222"/>
        <v/>
      </c>
      <c r="S3614" s="24" t="str">
        <f t="shared" si="223"/>
        <v/>
      </c>
      <c r="T3614" t="str">
        <f t="shared" si="221"/>
        <v/>
      </c>
    </row>
    <row r="3615" spans="18:20">
      <c r="R3615" s="24" t="str">
        <f t="shared" si="222"/>
        <v/>
      </c>
      <c r="S3615" s="24" t="str">
        <f t="shared" si="223"/>
        <v/>
      </c>
      <c r="T3615" t="str">
        <f t="shared" si="221"/>
        <v/>
      </c>
    </row>
    <row r="3616" spans="18:20">
      <c r="R3616" s="24" t="str">
        <f t="shared" si="222"/>
        <v/>
      </c>
      <c r="S3616" s="24" t="str">
        <f t="shared" si="223"/>
        <v/>
      </c>
      <c r="T3616" t="str">
        <f t="shared" si="221"/>
        <v/>
      </c>
    </row>
    <row r="3617" spans="18:20">
      <c r="R3617" s="24" t="str">
        <f t="shared" si="222"/>
        <v/>
      </c>
      <c r="S3617" s="24" t="str">
        <f t="shared" si="223"/>
        <v/>
      </c>
      <c r="T3617" t="str">
        <f t="shared" si="221"/>
        <v/>
      </c>
    </row>
    <row r="3618" spans="18:20">
      <c r="R3618" s="24" t="str">
        <f t="shared" si="222"/>
        <v/>
      </c>
      <c r="S3618" s="24" t="str">
        <f t="shared" si="223"/>
        <v/>
      </c>
      <c r="T3618" t="str">
        <f t="shared" si="221"/>
        <v/>
      </c>
    </row>
    <row r="3619" spans="18:20">
      <c r="R3619" s="24" t="str">
        <f t="shared" si="222"/>
        <v/>
      </c>
      <c r="S3619" s="24" t="str">
        <f t="shared" si="223"/>
        <v/>
      </c>
      <c r="T3619" t="str">
        <f t="shared" si="221"/>
        <v/>
      </c>
    </row>
    <row r="3620" spans="18:20">
      <c r="R3620" s="24" t="str">
        <f t="shared" si="222"/>
        <v/>
      </c>
      <c r="S3620" s="24" t="str">
        <f t="shared" si="223"/>
        <v/>
      </c>
      <c r="T3620" t="str">
        <f t="shared" si="221"/>
        <v/>
      </c>
    </row>
    <row r="3621" spans="18:20">
      <c r="R3621" s="24" t="str">
        <f t="shared" si="222"/>
        <v/>
      </c>
      <c r="S3621" s="24" t="str">
        <f t="shared" si="223"/>
        <v/>
      </c>
      <c r="T3621" t="str">
        <f t="shared" si="221"/>
        <v/>
      </c>
    </row>
    <row r="3622" spans="18:20">
      <c r="R3622" s="24" t="str">
        <f t="shared" si="222"/>
        <v/>
      </c>
      <c r="S3622" s="24" t="str">
        <f t="shared" si="223"/>
        <v/>
      </c>
      <c r="T3622" t="str">
        <f t="shared" si="221"/>
        <v/>
      </c>
    </row>
    <row r="3623" spans="18:20">
      <c r="R3623" s="24" t="str">
        <f t="shared" si="222"/>
        <v/>
      </c>
      <c r="S3623" s="24" t="str">
        <f t="shared" si="223"/>
        <v/>
      </c>
      <c r="T3623" t="str">
        <f t="shared" si="221"/>
        <v/>
      </c>
    </row>
    <row r="3624" spans="18:20">
      <c r="R3624" s="24" t="str">
        <f t="shared" si="222"/>
        <v/>
      </c>
      <c r="S3624" s="24" t="str">
        <f t="shared" si="223"/>
        <v/>
      </c>
      <c r="T3624" t="str">
        <f t="shared" si="221"/>
        <v/>
      </c>
    </row>
    <row r="3625" spans="18:20">
      <c r="R3625" s="24" t="str">
        <f t="shared" si="222"/>
        <v/>
      </c>
      <c r="S3625" s="24" t="str">
        <f t="shared" si="223"/>
        <v/>
      </c>
      <c r="T3625" t="str">
        <f t="shared" si="221"/>
        <v/>
      </c>
    </row>
    <row r="3626" spans="18:20">
      <c r="R3626" s="24" t="str">
        <f t="shared" si="222"/>
        <v/>
      </c>
      <c r="S3626" s="24" t="str">
        <f t="shared" si="223"/>
        <v/>
      </c>
      <c r="T3626" t="str">
        <f t="shared" si="221"/>
        <v/>
      </c>
    </row>
    <row r="3627" spans="18:20">
      <c r="R3627" s="24" t="str">
        <f t="shared" si="222"/>
        <v/>
      </c>
      <c r="S3627" s="24" t="str">
        <f t="shared" si="223"/>
        <v/>
      </c>
      <c r="T3627" t="str">
        <f t="shared" si="221"/>
        <v/>
      </c>
    </row>
    <row r="3628" spans="18:20">
      <c r="R3628" s="24" t="str">
        <f t="shared" si="222"/>
        <v/>
      </c>
      <c r="S3628" s="24" t="str">
        <f t="shared" si="223"/>
        <v/>
      </c>
      <c r="T3628" t="str">
        <f t="shared" si="221"/>
        <v/>
      </c>
    </row>
    <row r="3629" spans="18:20">
      <c r="R3629" s="24" t="str">
        <f t="shared" si="222"/>
        <v/>
      </c>
      <c r="S3629" s="24" t="str">
        <f t="shared" si="223"/>
        <v/>
      </c>
      <c r="T3629" t="str">
        <f t="shared" si="221"/>
        <v/>
      </c>
    </row>
    <row r="3630" spans="18:20">
      <c r="R3630" s="24" t="str">
        <f t="shared" si="222"/>
        <v/>
      </c>
      <c r="S3630" s="24" t="str">
        <f t="shared" si="223"/>
        <v/>
      </c>
      <c r="T3630" t="str">
        <f t="shared" si="221"/>
        <v/>
      </c>
    </row>
    <row r="3631" spans="18:20">
      <c r="R3631" s="24" t="str">
        <f t="shared" si="222"/>
        <v/>
      </c>
      <c r="S3631" s="24" t="str">
        <f t="shared" si="223"/>
        <v/>
      </c>
      <c r="T3631" t="str">
        <f t="shared" si="221"/>
        <v/>
      </c>
    </row>
    <row r="3632" spans="18:20">
      <c r="R3632" s="24" t="str">
        <f t="shared" si="222"/>
        <v/>
      </c>
      <c r="S3632" s="24" t="str">
        <f t="shared" si="223"/>
        <v/>
      </c>
      <c r="T3632" t="str">
        <f t="shared" si="221"/>
        <v/>
      </c>
    </row>
    <row r="3633" spans="18:20">
      <c r="R3633" s="24" t="str">
        <f t="shared" si="222"/>
        <v/>
      </c>
      <c r="S3633" s="24" t="str">
        <f t="shared" si="223"/>
        <v/>
      </c>
      <c r="T3633" t="str">
        <f t="shared" si="221"/>
        <v/>
      </c>
    </row>
    <row r="3634" spans="18:20">
      <c r="R3634" s="24" t="str">
        <f t="shared" si="222"/>
        <v/>
      </c>
      <c r="S3634" s="24" t="str">
        <f t="shared" si="223"/>
        <v/>
      </c>
      <c r="T3634" t="str">
        <f t="shared" si="221"/>
        <v/>
      </c>
    </row>
    <row r="3635" spans="18:20">
      <c r="R3635" s="24" t="str">
        <f t="shared" si="222"/>
        <v/>
      </c>
      <c r="S3635" s="24" t="str">
        <f t="shared" si="223"/>
        <v/>
      </c>
      <c r="T3635" t="str">
        <f t="shared" si="221"/>
        <v/>
      </c>
    </row>
    <row r="3636" spans="18:20">
      <c r="R3636" s="24" t="str">
        <f t="shared" si="222"/>
        <v/>
      </c>
      <c r="S3636" s="24" t="str">
        <f t="shared" si="223"/>
        <v/>
      </c>
      <c r="T3636" t="str">
        <f t="shared" si="221"/>
        <v/>
      </c>
    </row>
    <row r="3637" spans="18:20">
      <c r="R3637" s="24" t="str">
        <f t="shared" si="222"/>
        <v/>
      </c>
      <c r="S3637" s="24" t="str">
        <f t="shared" si="223"/>
        <v/>
      </c>
      <c r="T3637" t="str">
        <f t="shared" si="221"/>
        <v/>
      </c>
    </row>
    <row r="3638" spans="18:20">
      <c r="R3638" s="24" t="str">
        <f t="shared" si="222"/>
        <v/>
      </c>
      <c r="S3638" s="24" t="str">
        <f t="shared" si="223"/>
        <v/>
      </c>
      <c r="T3638" t="str">
        <f t="shared" si="221"/>
        <v/>
      </c>
    </row>
    <row r="3639" spans="18:20">
      <c r="R3639" s="24" t="str">
        <f t="shared" si="222"/>
        <v/>
      </c>
      <c r="S3639" s="24" t="str">
        <f t="shared" si="223"/>
        <v/>
      </c>
      <c r="T3639" t="str">
        <f t="shared" si="221"/>
        <v/>
      </c>
    </row>
    <row r="3640" spans="18:20">
      <c r="R3640" s="24" t="str">
        <f t="shared" si="222"/>
        <v/>
      </c>
      <c r="S3640" s="24" t="str">
        <f t="shared" si="223"/>
        <v/>
      </c>
      <c r="T3640" t="str">
        <f t="shared" si="221"/>
        <v/>
      </c>
    </row>
    <row r="3641" spans="18:20">
      <c r="R3641" s="24" t="str">
        <f t="shared" si="222"/>
        <v/>
      </c>
      <c r="S3641" s="24" t="str">
        <f t="shared" si="223"/>
        <v/>
      </c>
      <c r="T3641" t="str">
        <f t="shared" si="221"/>
        <v/>
      </c>
    </row>
    <row r="3642" spans="18:20">
      <c r="R3642" s="24" t="str">
        <f t="shared" si="222"/>
        <v/>
      </c>
      <c r="S3642" s="24" t="str">
        <f t="shared" si="223"/>
        <v/>
      </c>
      <c r="T3642" t="str">
        <f t="shared" si="221"/>
        <v/>
      </c>
    </row>
    <row r="3643" spans="18:20">
      <c r="R3643" s="24" t="str">
        <f t="shared" si="222"/>
        <v/>
      </c>
      <c r="S3643" s="24" t="str">
        <f t="shared" si="223"/>
        <v/>
      </c>
      <c r="T3643" t="str">
        <f t="shared" si="221"/>
        <v/>
      </c>
    </row>
    <row r="3644" spans="18:20">
      <c r="R3644" s="24" t="str">
        <f t="shared" si="222"/>
        <v/>
      </c>
      <c r="S3644" s="24" t="str">
        <f t="shared" si="223"/>
        <v/>
      </c>
      <c r="T3644" t="str">
        <f t="shared" si="221"/>
        <v/>
      </c>
    </row>
    <row r="3645" spans="18:20">
      <c r="R3645" s="24" t="str">
        <f t="shared" si="222"/>
        <v/>
      </c>
      <c r="S3645" s="24" t="str">
        <f t="shared" si="223"/>
        <v/>
      </c>
      <c r="T3645" t="str">
        <f t="shared" si="221"/>
        <v/>
      </c>
    </row>
    <row r="3646" spans="18:20">
      <c r="R3646" s="24" t="str">
        <f t="shared" si="222"/>
        <v/>
      </c>
      <c r="S3646" s="24" t="str">
        <f t="shared" si="223"/>
        <v/>
      </c>
      <c r="T3646" t="str">
        <f t="shared" si="221"/>
        <v/>
      </c>
    </row>
    <row r="3647" spans="18:20">
      <c r="R3647" s="24" t="str">
        <f t="shared" si="222"/>
        <v/>
      </c>
      <c r="S3647" s="24" t="str">
        <f t="shared" si="223"/>
        <v/>
      </c>
      <c r="T3647" t="str">
        <f t="shared" si="221"/>
        <v/>
      </c>
    </row>
    <row r="3648" spans="18:20">
      <c r="R3648" s="24" t="str">
        <f t="shared" si="222"/>
        <v/>
      </c>
      <c r="S3648" s="24" t="str">
        <f t="shared" si="223"/>
        <v/>
      </c>
      <c r="T3648" t="str">
        <f t="shared" si="221"/>
        <v/>
      </c>
    </row>
    <row r="3649" spans="18:20">
      <c r="R3649" s="24" t="str">
        <f t="shared" si="222"/>
        <v/>
      </c>
      <c r="S3649" s="24" t="str">
        <f t="shared" si="223"/>
        <v/>
      </c>
      <c r="T3649" t="str">
        <f t="shared" si="221"/>
        <v/>
      </c>
    </row>
    <row r="3650" spans="18:20">
      <c r="R3650" s="24" t="str">
        <f t="shared" si="222"/>
        <v/>
      </c>
      <c r="S3650" s="24" t="str">
        <f t="shared" si="223"/>
        <v/>
      </c>
      <c r="T3650" t="str">
        <f t="shared" si="221"/>
        <v/>
      </c>
    </row>
    <row r="3651" spans="18:20">
      <c r="R3651" s="24" t="str">
        <f t="shared" si="222"/>
        <v/>
      </c>
      <c r="S3651" s="24" t="str">
        <f t="shared" si="223"/>
        <v/>
      </c>
      <c r="T3651" t="str">
        <f t="shared" si="221"/>
        <v/>
      </c>
    </row>
    <row r="3652" spans="18:20">
      <c r="R3652" s="24" t="str">
        <f t="shared" si="222"/>
        <v/>
      </c>
      <c r="S3652" s="24" t="str">
        <f t="shared" si="223"/>
        <v/>
      </c>
      <c r="T3652" t="str">
        <f t="shared" si="221"/>
        <v/>
      </c>
    </row>
    <row r="3653" spans="18:20">
      <c r="R3653" s="24" t="str">
        <f t="shared" si="222"/>
        <v/>
      </c>
      <c r="S3653" s="24" t="str">
        <f t="shared" si="223"/>
        <v/>
      </c>
      <c r="T3653" t="str">
        <f t="shared" si="221"/>
        <v/>
      </c>
    </row>
    <row r="3654" spans="18:20">
      <c r="R3654" s="24" t="str">
        <f t="shared" si="222"/>
        <v/>
      </c>
      <c r="S3654" s="24" t="str">
        <f t="shared" si="223"/>
        <v/>
      </c>
      <c r="T3654" t="str">
        <f t="shared" si="221"/>
        <v/>
      </c>
    </row>
    <row r="3655" spans="18:20">
      <c r="R3655" s="24" t="str">
        <f t="shared" si="222"/>
        <v/>
      </c>
      <c r="S3655" s="24" t="str">
        <f t="shared" si="223"/>
        <v/>
      </c>
      <c r="T3655" t="str">
        <f t="shared" si="221"/>
        <v/>
      </c>
    </row>
    <row r="3656" spans="18:20">
      <c r="R3656" s="24" t="str">
        <f t="shared" si="222"/>
        <v/>
      </c>
      <c r="S3656" s="24" t="str">
        <f t="shared" si="223"/>
        <v/>
      </c>
      <c r="T3656" t="str">
        <f t="shared" si="221"/>
        <v/>
      </c>
    </row>
    <row r="3657" spans="18:20">
      <c r="R3657" s="24" t="str">
        <f t="shared" si="222"/>
        <v/>
      </c>
      <c r="S3657" s="24" t="str">
        <f t="shared" si="223"/>
        <v/>
      </c>
      <c r="T3657" t="str">
        <f t="shared" si="221"/>
        <v/>
      </c>
    </row>
    <row r="3658" spans="18:20">
      <c r="R3658" s="24" t="str">
        <f t="shared" si="222"/>
        <v/>
      </c>
      <c r="S3658" s="24" t="str">
        <f t="shared" si="223"/>
        <v/>
      </c>
      <c r="T3658" t="str">
        <f t="shared" si="221"/>
        <v/>
      </c>
    </row>
    <row r="3659" spans="18:20">
      <c r="R3659" s="24" t="str">
        <f t="shared" si="222"/>
        <v/>
      </c>
      <c r="S3659" s="24" t="str">
        <f t="shared" si="223"/>
        <v/>
      </c>
      <c r="T3659" t="str">
        <f t="shared" si="221"/>
        <v/>
      </c>
    </row>
    <row r="3660" spans="18:20">
      <c r="R3660" s="24" t="str">
        <f t="shared" si="222"/>
        <v/>
      </c>
      <c r="S3660" s="24" t="str">
        <f t="shared" si="223"/>
        <v/>
      </c>
      <c r="T3660" t="str">
        <f t="shared" si="221"/>
        <v/>
      </c>
    </row>
    <row r="3661" spans="18:20">
      <c r="R3661" s="24" t="str">
        <f t="shared" si="222"/>
        <v/>
      </c>
      <c r="S3661" s="24" t="str">
        <f t="shared" si="223"/>
        <v/>
      </c>
      <c r="T3661" t="str">
        <f t="shared" si="221"/>
        <v/>
      </c>
    </row>
    <row r="3662" spans="18:20">
      <c r="R3662" s="24" t="str">
        <f t="shared" si="222"/>
        <v/>
      </c>
      <c r="S3662" s="24" t="str">
        <f t="shared" si="223"/>
        <v/>
      </c>
      <c r="T3662" t="str">
        <f t="shared" si="221"/>
        <v/>
      </c>
    </row>
    <row r="3663" spans="18:20">
      <c r="R3663" s="24" t="str">
        <f t="shared" si="222"/>
        <v/>
      </c>
      <c r="S3663" s="24" t="str">
        <f t="shared" si="223"/>
        <v/>
      </c>
      <c r="T3663" t="str">
        <f t="shared" ref="T3663:T3726" si="224">IF(OR(C3663="",I3663&lt;&gt;"ENTRADA"),"",TEXT(B3663,"AAMMDD")&amp;"-"&amp;TEXT(VALUE(SUBSTITUTE(A3663,"MOV-","")),"000"))</f>
        <v/>
      </c>
    </row>
    <row r="3664" spans="18:20">
      <c r="R3664" s="24" t="str">
        <f t="shared" ref="R3664:R3727" si="225">IF(H3664="","",H3664&amp;I3664)</f>
        <v/>
      </c>
      <c r="S3664" s="24" t="str">
        <f t="shared" ref="S3664:S3727" si="226">IF(C3664="","",C3664&amp;I3664)</f>
        <v/>
      </c>
      <c r="T3664" t="str">
        <f t="shared" si="224"/>
        <v/>
      </c>
    </row>
    <row r="3665" spans="18:20">
      <c r="R3665" s="24" t="str">
        <f t="shared" si="225"/>
        <v/>
      </c>
      <c r="S3665" s="24" t="str">
        <f t="shared" si="226"/>
        <v/>
      </c>
      <c r="T3665" t="str">
        <f t="shared" si="224"/>
        <v/>
      </c>
    </row>
    <row r="3666" spans="18:20">
      <c r="R3666" s="24" t="str">
        <f t="shared" si="225"/>
        <v/>
      </c>
      <c r="S3666" s="24" t="str">
        <f t="shared" si="226"/>
        <v/>
      </c>
      <c r="T3666" t="str">
        <f t="shared" si="224"/>
        <v/>
      </c>
    </row>
    <row r="3667" spans="18:20">
      <c r="R3667" s="24" t="str">
        <f t="shared" si="225"/>
        <v/>
      </c>
      <c r="S3667" s="24" t="str">
        <f t="shared" si="226"/>
        <v/>
      </c>
      <c r="T3667" t="str">
        <f t="shared" si="224"/>
        <v/>
      </c>
    </row>
    <row r="3668" spans="18:20">
      <c r="R3668" s="24" t="str">
        <f t="shared" si="225"/>
        <v/>
      </c>
      <c r="S3668" s="24" t="str">
        <f t="shared" si="226"/>
        <v/>
      </c>
      <c r="T3668" t="str">
        <f t="shared" si="224"/>
        <v/>
      </c>
    </row>
    <row r="3669" spans="18:20">
      <c r="R3669" s="24" t="str">
        <f t="shared" si="225"/>
        <v/>
      </c>
      <c r="S3669" s="24" t="str">
        <f t="shared" si="226"/>
        <v/>
      </c>
      <c r="T3669" t="str">
        <f t="shared" si="224"/>
        <v/>
      </c>
    </row>
    <row r="3670" spans="18:20">
      <c r="R3670" s="24" t="str">
        <f t="shared" si="225"/>
        <v/>
      </c>
      <c r="S3670" s="24" t="str">
        <f t="shared" si="226"/>
        <v/>
      </c>
      <c r="T3670" t="str">
        <f t="shared" si="224"/>
        <v/>
      </c>
    </row>
    <row r="3671" spans="18:20">
      <c r="R3671" s="24" t="str">
        <f t="shared" si="225"/>
        <v/>
      </c>
      <c r="S3671" s="24" t="str">
        <f t="shared" si="226"/>
        <v/>
      </c>
      <c r="T3671" t="str">
        <f t="shared" si="224"/>
        <v/>
      </c>
    </row>
    <row r="3672" spans="18:20">
      <c r="R3672" s="24" t="str">
        <f t="shared" si="225"/>
        <v/>
      </c>
      <c r="S3672" s="24" t="str">
        <f t="shared" si="226"/>
        <v/>
      </c>
      <c r="T3672" t="str">
        <f t="shared" si="224"/>
        <v/>
      </c>
    </row>
    <row r="3673" spans="18:20">
      <c r="R3673" s="24" t="str">
        <f t="shared" si="225"/>
        <v/>
      </c>
      <c r="S3673" s="24" t="str">
        <f t="shared" si="226"/>
        <v/>
      </c>
      <c r="T3673" t="str">
        <f t="shared" si="224"/>
        <v/>
      </c>
    </row>
    <row r="3674" spans="18:20">
      <c r="R3674" s="24" t="str">
        <f t="shared" si="225"/>
        <v/>
      </c>
      <c r="S3674" s="24" t="str">
        <f t="shared" si="226"/>
        <v/>
      </c>
      <c r="T3674" t="str">
        <f t="shared" si="224"/>
        <v/>
      </c>
    </row>
    <row r="3675" spans="18:20">
      <c r="R3675" s="24" t="str">
        <f t="shared" si="225"/>
        <v/>
      </c>
      <c r="S3675" s="24" t="str">
        <f t="shared" si="226"/>
        <v/>
      </c>
      <c r="T3675" t="str">
        <f t="shared" si="224"/>
        <v/>
      </c>
    </row>
    <row r="3676" spans="18:20">
      <c r="R3676" s="24" t="str">
        <f t="shared" si="225"/>
        <v/>
      </c>
      <c r="S3676" s="24" t="str">
        <f t="shared" si="226"/>
        <v/>
      </c>
      <c r="T3676" t="str">
        <f t="shared" si="224"/>
        <v/>
      </c>
    </row>
    <row r="3677" spans="18:20">
      <c r="R3677" s="24" t="str">
        <f t="shared" si="225"/>
        <v/>
      </c>
      <c r="S3677" s="24" t="str">
        <f t="shared" si="226"/>
        <v/>
      </c>
      <c r="T3677" t="str">
        <f t="shared" si="224"/>
        <v/>
      </c>
    </row>
    <row r="3678" spans="18:20">
      <c r="R3678" s="24" t="str">
        <f t="shared" si="225"/>
        <v/>
      </c>
      <c r="S3678" s="24" t="str">
        <f t="shared" si="226"/>
        <v/>
      </c>
      <c r="T3678" t="str">
        <f t="shared" si="224"/>
        <v/>
      </c>
    </row>
    <row r="3679" spans="18:20">
      <c r="R3679" s="24" t="str">
        <f t="shared" si="225"/>
        <v/>
      </c>
      <c r="S3679" s="24" t="str">
        <f t="shared" si="226"/>
        <v/>
      </c>
      <c r="T3679" t="str">
        <f t="shared" si="224"/>
        <v/>
      </c>
    </row>
    <row r="3680" spans="18:20">
      <c r="R3680" s="24" t="str">
        <f t="shared" si="225"/>
        <v/>
      </c>
      <c r="S3680" s="24" t="str">
        <f t="shared" si="226"/>
        <v/>
      </c>
      <c r="T3680" t="str">
        <f t="shared" si="224"/>
        <v/>
      </c>
    </row>
    <row r="3681" spans="18:20">
      <c r="R3681" s="24" t="str">
        <f t="shared" si="225"/>
        <v/>
      </c>
      <c r="S3681" s="24" t="str">
        <f t="shared" si="226"/>
        <v/>
      </c>
      <c r="T3681" t="str">
        <f t="shared" si="224"/>
        <v/>
      </c>
    </row>
    <row r="3682" spans="18:20">
      <c r="R3682" s="24" t="str">
        <f t="shared" si="225"/>
        <v/>
      </c>
      <c r="S3682" s="24" t="str">
        <f t="shared" si="226"/>
        <v/>
      </c>
      <c r="T3682" t="str">
        <f t="shared" si="224"/>
        <v/>
      </c>
    </row>
    <row r="3683" spans="18:20">
      <c r="R3683" s="24" t="str">
        <f t="shared" si="225"/>
        <v/>
      </c>
      <c r="S3683" s="24" t="str">
        <f t="shared" si="226"/>
        <v/>
      </c>
      <c r="T3683" t="str">
        <f t="shared" si="224"/>
        <v/>
      </c>
    </row>
    <row r="3684" spans="18:20">
      <c r="R3684" s="24" t="str">
        <f t="shared" si="225"/>
        <v/>
      </c>
      <c r="S3684" s="24" t="str">
        <f t="shared" si="226"/>
        <v/>
      </c>
      <c r="T3684" t="str">
        <f t="shared" si="224"/>
        <v/>
      </c>
    </row>
    <row r="3685" spans="18:20">
      <c r="R3685" s="24" t="str">
        <f t="shared" si="225"/>
        <v/>
      </c>
      <c r="S3685" s="24" t="str">
        <f t="shared" si="226"/>
        <v/>
      </c>
      <c r="T3685" t="str">
        <f t="shared" si="224"/>
        <v/>
      </c>
    </row>
    <row r="3686" spans="18:20">
      <c r="R3686" s="24" t="str">
        <f t="shared" si="225"/>
        <v/>
      </c>
      <c r="S3686" s="24" t="str">
        <f t="shared" si="226"/>
        <v/>
      </c>
      <c r="T3686" t="str">
        <f t="shared" si="224"/>
        <v/>
      </c>
    </row>
    <row r="3687" spans="18:20">
      <c r="R3687" s="24" t="str">
        <f t="shared" si="225"/>
        <v/>
      </c>
      <c r="S3687" s="24" t="str">
        <f t="shared" si="226"/>
        <v/>
      </c>
      <c r="T3687" t="str">
        <f t="shared" si="224"/>
        <v/>
      </c>
    </row>
    <row r="3688" spans="18:20">
      <c r="R3688" s="24" t="str">
        <f t="shared" si="225"/>
        <v/>
      </c>
      <c r="S3688" s="24" t="str">
        <f t="shared" si="226"/>
        <v/>
      </c>
      <c r="T3688" t="str">
        <f t="shared" si="224"/>
        <v/>
      </c>
    </row>
    <row r="3689" spans="18:20">
      <c r="R3689" s="24" t="str">
        <f t="shared" si="225"/>
        <v/>
      </c>
      <c r="S3689" s="24" t="str">
        <f t="shared" si="226"/>
        <v/>
      </c>
      <c r="T3689" t="str">
        <f t="shared" si="224"/>
        <v/>
      </c>
    </row>
    <row r="3690" spans="18:20">
      <c r="R3690" s="24" t="str">
        <f t="shared" si="225"/>
        <v/>
      </c>
      <c r="S3690" s="24" t="str">
        <f t="shared" si="226"/>
        <v/>
      </c>
      <c r="T3690" t="str">
        <f t="shared" si="224"/>
        <v/>
      </c>
    </row>
    <row r="3691" spans="18:20">
      <c r="R3691" s="24" t="str">
        <f t="shared" si="225"/>
        <v/>
      </c>
      <c r="S3691" s="24" t="str">
        <f t="shared" si="226"/>
        <v/>
      </c>
      <c r="T3691" t="str">
        <f t="shared" si="224"/>
        <v/>
      </c>
    </row>
    <row r="3692" spans="18:20">
      <c r="R3692" s="24" t="str">
        <f t="shared" si="225"/>
        <v/>
      </c>
      <c r="S3692" s="24" t="str">
        <f t="shared" si="226"/>
        <v/>
      </c>
      <c r="T3692" t="str">
        <f t="shared" si="224"/>
        <v/>
      </c>
    </row>
    <row r="3693" spans="18:20">
      <c r="R3693" s="24" t="str">
        <f t="shared" si="225"/>
        <v/>
      </c>
      <c r="S3693" s="24" t="str">
        <f t="shared" si="226"/>
        <v/>
      </c>
      <c r="T3693" t="str">
        <f t="shared" si="224"/>
        <v/>
      </c>
    </row>
    <row r="3694" spans="18:20">
      <c r="R3694" s="24" t="str">
        <f t="shared" si="225"/>
        <v/>
      </c>
      <c r="S3694" s="24" t="str">
        <f t="shared" si="226"/>
        <v/>
      </c>
      <c r="T3694" t="str">
        <f t="shared" si="224"/>
        <v/>
      </c>
    </row>
    <row r="3695" spans="18:20">
      <c r="R3695" s="24" t="str">
        <f t="shared" si="225"/>
        <v/>
      </c>
      <c r="S3695" s="24" t="str">
        <f t="shared" si="226"/>
        <v/>
      </c>
      <c r="T3695" t="str">
        <f t="shared" si="224"/>
        <v/>
      </c>
    </row>
    <row r="3696" spans="18:20">
      <c r="R3696" s="24" t="str">
        <f t="shared" si="225"/>
        <v/>
      </c>
      <c r="S3696" s="24" t="str">
        <f t="shared" si="226"/>
        <v/>
      </c>
      <c r="T3696" t="str">
        <f t="shared" si="224"/>
        <v/>
      </c>
    </row>
    <row r="3697" spans="18:20">
      <c r="R3697" s="24" t="str">
        <f t="shared" si="225"/>
        <v/>
      </c>
      <c r="S3697" s="24" t="str">
        <f t="shared" si="226"/>
        <v/>
      </c>
      <c r="T3697" t="str">
        <f t="shared" si="224"/>
        <v/>
      </c>
    </row>
    <row r="3698" spans="18:20">
      <c r="R3698" s="24" t="str">
        <f t="shared" si="225"/>
        <v/>
      </c>
      <c r="S3698" s="24" t="str">
        <f t="shared" si="226"/>
        <v/>
      </c>
      <c r="T3698" t="str">
        <f t="shared" si="224"/>
        <v/>
      </c>
    </row>
    <row r="3699" spans="18:20">
      <c r="R3699" s="24" t="str">
        <f t="shared" si="225"/>
        <v/>
      </c>
      <c r="S3699" s="24" t="str">
        <f t="shared" si="226"/>
        <v/>
      </c>
      <c r="T3699" t="str">
        <f t="shared" si="224"/>
        <v/>
      </c>
    </row>
    <row r="3700" spans="18:20">
      <c r="R3700" s="24" t="str">
        <f t="shared" si="225"/>
        <v/>
      </c>
      <c r="S3700" s="24" t="str">
        <f t="shared" si="226"/>
        <v/>
      </c>
      <c r="T3700" t="str">
        <f t="shared" si="224"/>
        <v/>
      </c>
    </row>
    <row r="3701" spans="18:20">
      <c r="R3701" s="24" t="str">
        <f t="shared" si="225"/>
        <v/>
      </c>
      <c r="S3701" s="24" t="str">
        <f t="shared" si="226"/>
        <v/>
      </c>
      <c r="T3701" t="str">
        <f t="shared" si="224"/>
        <v/>
      </c>
    </row>
    <row r="3702" spans="18:20">
      <c r="R3702" s="24" t="str">
        <f t="shared" si="225"/>
        <v/>
      </c>
      <c r="S3702" s="24" t="str">
        <f t="shared" si="226"/>
        <v/>
      </c>
      <c r="T3702" t="str">
        <f t="shared" si="224"/>
        <v/>
      </c>
    </row>
    <row r="3703" spans="18:20">
      <c r="R3703" s="24" t="str">
        <f t="shared" si="225"/>
        <v/>
      </c>
      <c r="S3703" s="24" t="str">
        <f t="shared" si="226"/>
        <v/>
      </c>
      <c r="T3703" t="str">
        <f t="shared" si="224"/>
        <v/>
      </c>
    </row>
    <row r="3704" spans="18:20">
      <c r="R3704" s="24" t="str">
        <f t="shared" si="225"/>
        <v/>
      </c>
      <c r="S3704" s="24" t="str">
        <f t="shared" si="226"/>
        <v/>
      </c>
      <c r="T3704" t="str">
        <f t="shared" si="224"/>
        <v/>
      </c>
    </row>
    <row r="3705" spans="18:20">
      <c r="R3705" s="24" t="str">
        <f t="shared" si="225"/>
        <v/>
      </c>
      <c r="S3705" s="24" t="str">
        <f t="shared" si="226"/>
        <v/>
      </c>
      <c r="T3705" t="str">
        <f t="shared" si="224"/>
        <v/>
      </c>
    </row>
    <row r="3706" spans="18:20">
      <c r="R3706" s="24" t="str">
        <f t="shared" si="225"/>
        <v/>
      </c>
      <c r="S3706" s="24" t="str">
        <f t="shared" si="226"/>
        <v/>
      </c>
      <c r="T3706" t="str">
        <f t="shared" si="224"/>
        <v/>
      </c>
    </row>
    <row r="3707" spans="18:20">
      <c r="R3707" s="24" t="str">
        <f t="shared" si="225"/>
        <v/>
      </c>
      <c r="S3707" s="24" t="str">
        <f t="shared" si="226"/>
        <v/>
      </c>
      <c r="T3707" t="str">
        <f t="shared" si="224"/>
        <v/>
      </c>
    </row>
    <row r="3708" spans="18:20">
      <c r="R3708" s="24" t="str">
        <f t="shared" si="225"/>
        <v/>
      </c>
      <c r="S3708" s="24" t="str">
        <f t="shared" si="226"/>
        <v/>
      </c>
      <c r="T3708" t="str">
        <f t="shared" si="224"/>
        <v/>
      </c>
    </row>
    <row r="3709" spans="18:20">
      <c r="R3709" s="24" t="str">
        <f t="shared" si="225"/>
        <v/>
      </c>
      <c r="S3709" s="24" t="str">
        <f t="shared" si="226"/>
        <v/>
      </c>
      <c r="T3709" t="str">
        <f t="shared" si="224"/>
        <v/>
      </c>
    </row>
    <row r="3710" spans="18:20">
      <c r="R3710" s="24" t="str">
        <f t="shared" si="225"/>
        <v/>
      </c>
      <c r="S3710" s="24" t="str">
        <f t="shared" si="226"/>
        <v/>
      </c>
      <c r="T3710" t="str">
        <f t="shared" si="224"/>
        <v/>
      </c>
    </row>
    <row r="3711" spans="18:20">
      <c r="R3711" s="24" t="str">
        <f t="shared" si="225"/>
        <v/>
      </c>
      <c r="S3711" s="24" t="str">
        <f t="shared" si="226"/>
        <v/>
      </c>
      <c r="T3711" t="str">
        <f t="shared" si="224"/>
        <v/>
      </c>
    </row>
    <row r="3712" spans="18:20">
      <c r="R3712" s="24" t="str">
        <f t="shared" si="225"/>
        <v/>
      </c>
      <c r="S3712" s="24" t="str">
        <f t="shared" si="226"/>
        <v/>
      </c>
      <c r="T3712" t="str">
        <f t="shared" si="224"/>
        <v/>
      </c>
    </row>
    <row r="3713" spans="18:20">
      <c r="R3713" s="24" t="str">
        <f t="shared" si="225"/>
        <v/>
      </c>
      <c r="S3713" s="24" t="str">
        <f t="shared" si="226"/>
        <v/>
      </c>
      <c r="T3713" t="str">
        <f t="shared" si="224"/>
        <v/>
      </c>
    </row>
    <row r="3714" spans="18:20">
      <c r="R3714" s="24" t="str">
        <f t="shared" si="225"/>
        <v/>
      </c>
      <c r="S3714" s="24" t="str">
        <f t="shared" si="226"/>
        <v/>
      </c>
      <c r="T3714" t="str">
        <f t="shared" si="224"/>
        <v/>
      </c>
    </row>
    <row r="3715" spans="18:20">
      <c r="R3715" s="24" t="str">
        <f t="shared" si="225"/>
        <v/>
      </c>
      <c r="S3715" s="24" t="str">
        <f t="shared" si="226"/>
        <v/>
      </c>
      <c r="T3715" t="str">
        <f t="shared" si="224"/>
        <v/>
      </c>
    </row>
    <row r="3716" spans="18:20">
      <c r="R3716" s="24" t="str">
        <f t="shared" si="225"/>
        <v/>
      </c>
      <c r="S3716" s="24" t="str">
        <f t="shared" si="226"/>
        <v/>
      </c>
      <c r="T3716" t="str">
        <f t="shared" si="224"/>
        <v/>
      </c>
    </row>
    <row r="3717" spans="18:20">
      <c r="R3717" s="24" t="str">
        <f t="shared" si="225"/>
        <v/>
      </c>
      <c r="S3717" s="24" t="str">
        <f t="shared" si="226"/>
        <v/>
      </c>
      <c r="T3717" t="str">
        <f t="shared" si="224"/>
        <v/>
      </c>
    </row>
    <row r="3718" spans="18:20">
      <c r="R3718" s="24" t="str">
        <f t="shared" si="225"/>
        <v/>
      </c>
      <c r="S3718" s="24" t="str">
        <f t="shared" si="226"/>
        <v/>
      </c>
      <c r="T3718" t="str">
        <f t="shared" si="224"/>
        <v/>
      </c>
    </row>
    <row r="3719" spans="18:20">
      <c r="R3719" s="24" t="str">
        <f t="shared" si="225"/>
        <v/>
      </c>
      <c r="S3719" s="24" t="str">
        <f t="shared" si="226"/>
        <v/>
      </c>
      <c r="T3719" t="str">
        <f t="shared" si="224"/>
        <v/>
      </c>
    </row>
    <row r="3720" spans="18:20">
      <c r="R3720" s="24" t="str">
        <f t="shared" si="225"/>
        <v/>
      </c>
      <c r="S3720" s="24" t="str">
        <f t="shared" si="226"/>
        <v/>
      </c>
      <c r="T3720" t="str">
        <f t="shared" si="224"/>
        <v/>
      </c>
    </row>
    <row r="3721" spans="18:20">
      <c r="R3721" s="24" t="str">
        <f t="shared" si="225"/>
        <v/>
      </c>
      <c r="S3721" s="24" t="str">
        <f t="shared" si="226"/>
        <v/>
      </c>
      <c r="T3721" t="str">
        <f t="shared" si="224"/>
        <v/>
      </c>
    </row>
    <row r="3722" spans="18:20">
      <c r="R3722" s="24" t="str">
        <f t="shared" si="225"/>
        <v/>
      </c>
      <c r="S3722" s="24" t="str">
        <f t="shared" si="226"/>
        <v/>
      </c>
      <c r="T3722" t="str">
        <f t="shared" si="224"/>
        <v/>
      </c>
    </row>
    <row r="3723" spans="18:20">
      <c r="R3723" s="24" t="str">
        <f t="shared" si="225"/>
        <v/>
      </c>
      <c r="S3723" s="24" t="str">
        <f t="shared" si="226"/>
        <v/>
      </c>
      <c r="T3723" t="str">
        <f t="shared" si="224"/>
        <v/>
      </c>
    </row>
    <row r="3724" spans="18:20">
      <c r="R3724" s="24" t="str">
        <f t="shared" si="225"/>
        <v/>
      </c>
      <c r="S3724" s="24" t="str">
        <f t="shared" si="226"/>
        <v/>
      </c>
      <c r="T3724" t="str">
        <f t="shared" si="224"/>
        <v/>
      </c>
    </row>
    <row r="3725" spans="18:20">
      <c r="R3725" s="24" t="str">
        <f t="shared" si="225"/>
        <v/>
      </c>
      <c r="S3725" s="24" t="str">
        <f t="shared" si="226"/>
        <v/>
      </c>
      <c r="T3725" t="str">
        <f t="shared" si="224"/>
        <v/>
      </c>
    </row>
    <row r="3726" spans="18:20">
      <c r="R3726" s="24" t="str">
        <f t="shared" si="225"/>
        <v/>
      </c>
      <c r="S3726" s="24" t="str">
        <f t="shared" si="226"/>
        <v/>
      </c>
      <c r="T3726" t="str">
        <f t="shared" si="224"/>
        <v/>
      </c>
    </row>
    <row r="3727" spans="18:20">
      <c r="R3727" s="24" t="str">
        <f t="shared" si="225"/>
        <v/>
      </c>
      <c r="S3727" s="24" t="str">
        <f t="shared" si="226"/>
        <v/>
      </c>
      <c r="T3727" t="str">
        <f t="shared" ref="T3727:T3790" si="227">IF(OR(C3727="",I3727&lt;&gt;"ENTRADA"),"",TEXT(B3727,"AAMMDD")&amp;"-"&amp;TEXT(VALUE(SUBSTITUTE(A3727,"MOV-","")),"000"))</f>
        <v/>
      </c>
    </row>
    <row r="3728" spans="18:20">
      <c r="R3728" s="24" t="str">
        <f t="shared" ref="R3728:R3791" si="228">IF(H3728="","",H3728&amp;I3728)</f>
        <v/>
      </c>
      <c r="S3728" s="24" t="str">
        <f t="shared" ref="S3728:S3791" si="229">IF(C3728="","",C3728&amp;I3728)</f>
        <v/>
      </c>
      <c r="T3728" t="str">
        <f t="shared" si="227"/>
        <v/>
      </c>
    </row>
    <row r="3729" spans="18:20">
      <c r="R3729" s="24" t="str">
        <f t="shared" si="228"/>
        <v/>
      </c>
      <c r="S3729" s="24" t="str">
        <f t="shared" si="229"/>
        <v/>
      </c>
      <c r="T3729" t="str">
        <f t="shared" si="227"/>
        <v/>
      </c>
    </row>
    <row r="3730" spans="18:20">
      <c r="R3730" s="24" t="str">
        <f t="shared" si="228"/>
        <v/>
      </c>
      <c r="S3730" s="24" t="str">
        <f t="shared" si="229"/>
        <v/>
      </c>
      <c r="T3730" t="str">
        <f t="shared" si="227"/>
        <v/>
      </c>
    </row>
    <row r="3731" spans="18:20">
      <c r="R3731" s="24" t="str">
        <f t="shared" si="228"/>
        <v/>
      </c>
      <c r="S3731" s="24" t="str">
        <f t="shared" si="229"/>
        <v/>
      </c>
      <c r="T3731" t="str">
        <f t="shared" si="227"/>
        <v/>
      </c>
    </row>
    <row r="3732" spans="18:20">
      <c r="R3732" s="24" t="str">
        <f t="shared" si="228"/>
        <v/>
      </c>
      <c r="S3732" s="24" t="str">
        <f t="shared" si="229"/>
        <v/>
      </c>
      <c r="T3732" t="str">
        <f t="shared" si="227"/>
        <v/>
      </c>
    </row>
    <row r="3733" spans="18:20">
      <c r="R3733" s="24" t="str">
        <f t="shared" si="228"/>
        <v/>
      </c>
      <c r="S3733" s="24" t="str">
        <f t="shared" si="229"/>
        <v/>
      </c>
      <c r="T3733" t="str">
        <f t="shared" si="227"/>
        <v/>
      </c>
    </row>
    <row r="3734" spans="18:20">
      <c r="R3734" s="24" t="str">
        <f t="shared" si="228"/>
        <v/>
      </c>
      <c r="S3734" s="24" t="str">
        <f t="shared" si="229"/>
        <v/>
      </c>
      <c r="T3734" t="str">
        <f t="shared" si="227"/>
        <v/>
      </c>
    </row>
    <row r="3735" spans="18:20">
      <c r="R3735" s="24" t="str">
        <f t="shared" si="228"/>
        <v/>
      </c>
      <c r="S3735" s="24" t="str">
        <f t="shared" si="229"/>
        <v/>
      </c>
      <c r="T3735" t="str">
        <f t="shared" si="227"/>
        <v/>
      </c>
    </row>
    <row r="3736" spans="18:20">
      <c r="R3736" s="24" t="str">
        <f t="shared" si="228"/>
        <v/>
      </c>
      <c r="S3736" s="24" t="str">
        <f t="shared" si="229"/>
        <v/>
      </c>
      <c r="T3736" t="str">
        <f t="shared" si="227"/>
        <v/>
      </c>
    </row>
    <row r="3737" spans="18:20">
      <c r="R3737" s="24" t="str">
        <f t="shared" si="228"/>
        <v/>
      </c>
      <c r="S3737" s="24" t="str">
        <f t="shared" si="229"/>
        <v/>
      </c>
      <c r="T3737" t="str">
        <f t="shared" si="227"/>
        <v/>
      </c>
    </row>
    <row r="3738" spans="18:20">
      <c r="R3738" s="24" t="str">
        <f t="shared" si="228"/>
        <v/>
      </c>
      <c r="S3738" s="24" t="str">
        <f t="shared" si="229"/>
        <v/>
      </c>
      <c r="T3738" t="str">
        <f t="shared" si="227"/>
        <v/>
      </c>
    </row>
    <row r="3739" spans="18:20">
      <c r="R3739" s="24" t="str">
        <f t="shared" si="228"/>
        <v/>
      </c>
      <c r="S3739" s="24" t="str">
        <f t="shared" si="229"/>
        <v/>
      </c>
      <c r="T3739" t="str">
        <f t="shared" si="227"/>
        <v/>
      </c>
    </row>
    <row r="3740" spans="18:20">
      <c r="R3740" s="24" t="str">
        <f t="shared" si="228"/>
        <v/>
      </c>
      <c r="S3740" s="24" t="str">
        <f t="shared" si="229"/>
        <v/>
      </c>
      <c r="T3740" t="str">
        <f t="shared" si="227"/>
        <v/>
      </c>
    </row>
    <row r="3741" spans="18:20">
      <c r="R3741" s="24" t="str">
        <f t="shared" si="228"/>
        <v/>
      </c>
      <c r="S3741" s="24" t="str">
        <f t="shared" si="229"/>
        <v/>
      </c>
      <c r="T3741" t="str">
        <f t="shared" si="227"/>
        <v/>
      </c>
    </row>
    <row r="3742" spans="18:20">
      <c r="R3742" s="24" t="str">
        <f t="shared" si="228"/>
        <v/>
      </c>
      <c r="S3742" s="24" t="str">
        <f t="shared" si="229"/>
        <v/>
      </c>
      <c r="T3742" t="str">
        <f t="shared" si="227"/>
        <v/>
      </c>
    </row>
    <row r="3743" spans="18:20">
      <c r="R3743" s="24" t="str">
        <f t="shared" si="228"/>
        <v/>
      </c>
      <c r="S3743" s="24" t="str">
        <f t="shared" si="229"/>
        <v/>
      </c>
      <c r="T3743" t="str">
        <f t="shared" si="227"/>
        <v/>
      </c>
    </row>
    <row r="3744" spans="18:20">
      <c r="R3744" s="24" t="str">
        <f t="shared" si="228"/>
        <v/>
      </c>
      <c r="S3744" s="24" t="str">
        <f t="shared" si="229"/>
        <v/>
      </c>
      <c r="T3744" t="str">
        <f t="shared" si="227"/>
        <v/>
      </c>
    </row>
    <row r="3745" spans="18:20">
      <c r="R3745" s="24" t="str">
        <f t="shared" si="228"/>
        <v/>
      </c>
      <c r="S3745" s="24" t="str">
        <f t="shared" si="229"/>
        <v/>
      </c>
      <c r="T3745" t="str">
        <f t="shared" si="227"/>
        <v/>
      </c>
    </row>
    <row r="3746" spans="18:20">
      <c r="R3746" s="24" t="str">
        <f t="shared" si="228"/>
        <v/>
      </c>
      <c r="S3746" s="24" t="str">
        <f t="shared" si="229"/>
        <v/>
      </c>
      <c r="T3746" t="str">
        <f t="shared" si="227"/>
        <v/>
      </c>
    </row>
    <row r="3747" spans="18:20">
      <c r="R3747" s="24" t="str">
        <f t="shared" si="228"/>
        <v/>
      </c>
      <c r="S3747" s="24" t="str">
        <f t="shared" si="229"/>
        <v/>
      </c>
      <c r="T3747" t="str">
        <f t="shared" si="227"/>
        <v/>
      </c>
    </row>
    <row r="3748" spans="18:20">
      <c r="R3748" s="24" t="str">
        <f t="shared" si="228"/>
        <v/>
      </c>
      <c r="S3748" s="24" t="str">
        <f t="shared" si="229"/>
        <v/>
      </c>
      <c r="T3748" t="str">
        <f t="shared" si="227"/>
        <v/>
      </c>
    </row>
    <row r="3749" spans="18:20">
      <c r="R3749" s="24" t="str">
        <f t="shared" si="228"/>
        <v/>
      </c>
      <c r="S3749" s="24" t="str">
        <f t="shared" si="229"/>
        <v/>
      </c>
      <c r="T3749" t="str">
        <f t="shared" si="227"/>
        <v/>
      </c>
    </row>
    <row r="3750" spans="18:20">
      <c r="R3750" s="24" t="str">
        <f t="shared" si="228"/>
        <v/>
      </c>
      <c r="S3750" s="24" t="str">
        <f t="shared" si="229"/>
        <v/>
      </c>
      <c r="T3750" t="str">
        <f t="shared" si="227"/>
        <v/>
      </c>
    </row>
    <row r="3751" spans="18:20">
      <c r="R3751" s="24" t="str">
        <f t="shared" si="228"/>
        <v/>
      </c>
      <c r="S3751" s="24" t="str">
        <f t="shared" si="229"/>
        <v/>
      </c>
      <c r="T3751" t="str">
        <f t="shared" si="227"/>
        <v/>
      </c>
    </row>
    <row r="3752" spans="18:20">
      <c r="R3752" s="24" t="str">
        <f t="shared" si="228"/>
        <v/>
      </c>
      <c r="S3752" s="24" t="str">
        <f t="shared" si="229"/>
        <v/>
      </c>
      <c r="T3752" t="str">
        <f t="shared" si="227"/>
        <v/>
      </c>
    </row>
    <row r="3753" spans="18:20">
      <c r="R3753" s="24" t="str">
        <f t="shared" si="228"/>
        <v/>
      </c>
      <c r="S3753" s="24" t="str">
        <f t="shared" si="229"/>
        <v/>
      </c>
      <c r="T3753" t="str">
        <f t="shared" si="227"/>
        <v/>
      </c>
    </row>
    <row r="3754" spans="18:20">
      <c r="R3754" s="24" t="str">
        <f t="shared" si="228"/>
        <v/>
      </c>
      <c r="S3754" s="24" t="str">
        <f t="shared" si="229"/>
        <v/>
      </c>
      <c r="T3754" t="str">
        <f t="shared" si="227"/>
        <v/>
      </c>
    </row>
    <row r="3755" spans="18:20">
      <c r="R3755" s="24" t="str">
        <f t="shared" si="228"/>
        <v/>
      </c>
      <c r="S3755" s="24" t="str">
        <f t="shared" si="229"/>
        <v/>
      </c>
      <c r="T3755" t="str">
        <f t="shared" si="227"/>
        <v/>
      </c>
    </row>
    <row r="3756" spans="18:20">
      <c r="R3756" s="24" t="str">
        <f t="shared" si="228"/>
        <v/>
      </c>
      <c r="S3756" s="24" t="str">
        <f t="shared" si="229"/>
        <v/>
      </c>
      <c r="T3756" t="str">
        <f t="shared" si="227"/>
        <v/>
      </c>
    </row>
    <row r="3757" spans="18:20">
      <c r="R3757" s="24" t="str">
        <f t="shared" si="228"/>
        <v/>
      </c>
      <c r="S3757" s="24" t="str">
        <f t="shared" si="229"/>
        <v/>
      </c>
      <c r="T3757" t="str">
        <f t="shared" si="227"/>
        <v/>
      </c>
    </row>
    <row r="3758" spans="18:20">
      <c r="R3758" s="24" t="str">
        <f t="shared" si="228"/>
        <v/>
      </c>
      <c r="S3758" s="24" t="str">
        <f t="shared" si="229"/>
        <v/>
      </c>
      <c r="T3758" t="str">
        <f t="shared" si="227"/>
        <v/>
      </c>
    </row>
    <row r="3759" spans="18:20">
      <c r="R3759" s="24" t="str">
        <f t="shared" si="228"/>
        <v/>
      </c>
      <c r="S3759" s="24" t="str">
        <f t="shared" si="229"/>
        <v/>
      </c>
      <c r="T3759" t="str">
        <f t="shared" si="227"/>
        <v/>
      </c>
    </row>
    <row r="3760" spans="18:20">
      <c r="R3760" s="24" t="str">
        <f t="shared" si="228"/>
        <v/>
      </c>
      <c r="S3760" s="24" t="str">
        <f t="shared" si="229"/>
        <v/>
      </c>
      <c r="T3760" t="str">
        <f t="shared" si="227"/>
        <v/>
      </c>
    </row>
    <row r="3761" spans="18:20">
      <c r="R3761" s="24" t="str">
        <f t="shared" si="228"/>
        <v/>
      </c>
      <c r="S3761" s="24" t="str">
        <f t="shared" si="229"/>
        <v/>
      </c>
      <c r="T3761" t="str">
        <f t="shared" si="227"/>
        <v/>
      </c>
    </row>
    <row r="3762" spans="18:20">
      <c r="R3762" s="24" t="str">
        <f t="shared" si="228"/>
        <v/>
      </c>
      <c r="S3762" s="24" t="str">
        <f t="shared" si="229"/>
        <v/>
      </c>
      <c r="T3762" t="str">
        <f t="shared" si="227"/>
        <v/>
      </c>
    </row>
    <row r="3763" spans="18:20">
      <c r="R3763" s="24" t="str">
        <f t="shared" si="228"/>
        <v/>
      </c>
      <c r="S3763" s="24" t="str">
        <f t="shared" si="229"/>
        <v/>
      </c>
      <c r="T3763" t="str">
        <f t="shared" si="227"/>
        <v/>
      </c>
    </row>
    <row r="3764" spans="18:20">
      <c r="R3764" s="24" t="str">
        <f t="shared" si="228"/>
        <v/>
      </c>
      <c r="S3764" s="24" t="str">
        <f t="shared" si="229"/>
        <v/>
      </c>
      <c r="T3764" t="str">
        <f t="shared" si="227"/>
        <v/>
      </c>
    </row>
    <row r="3765" spans="18:20">
      <c r="R3765" s="24" t="str">
        <f t="shared" si="228"/>
        <v/>
      </c>
      <c r="S3765" s="24" t="str">
        <f t="shared" si="229"/>
        <v/>
      </c>
      <c r="T3765" t="str">
        <f t="shared" si="227"/>
        <v/>
      </c>
    </row>
    <row r="3766" spans="18:20">
      <c r="R3766" s="24" t="str">
        <f t="shared" si="228"/>
        <v/>
      </c>
      <c r="S3766" s="24" t="str">
        <f t="shared" si="229"/>
        <v/>
      </c>
      <c r="T3766" t="str">
        <f t="shared" si="227"/>
        <v/>
      </c>
    </row>
    <row r="3767" spans="18:20">
      <c r="R3767" s="24" t="str">
        <f t="shared" si="228"/>
        <v/>
      </c>
      <c r="S3767" s="24" t="str">
        <f t="shared" si="229"/>
        <v/>
      </c>
      <c r="T3767" t="str">
        <f t="shared" si="227"/>
        <v/>
      </c>
    </row>
    <row r="3768" spans="18:20">
      <c r="R3768" s="24" t="str">
        <f t="shared" si="228"/>
        <v/>
      </c>
      <c r="S3768" s="24" t="str">
        <f t="shared" si="229"/>
        <v/>
      </c>
      <c r="T3768" t="str">
        <f t="shared" si="227"/>
        <v/>
      </c>
    </row>
    <row r="3769" spans="18:20">
      <c r="R3769" s="24" t="str">
        <f t="shared" si="228"/>
        <v/>
      </c>
      <c r="S3769" s="24" t="str">
        <f t="shared" si="229"/>
        <v/>
      </c>
      <c r="T3769" t="str">
        <f t="shared" si="227"/>
        <v/>
      </c>
    </row>
    <row r="3770" spans="18:20">
      <c r="R3770" s="24" t="str">
        <f t="shared" si="228"/>
        <v/>
      </c>
      <c r="S3770" s="24" t="str">
        <f t="shared" si="229"/>
        <v/>
      </c>
      <c r="T3770" t="str">
        <f t="shared" si="227"/>
        <v/>
      </c>
    </row>
    <row r="3771" spans="18:20">
      <c r="R3771" s="24" t="str">
        <f t="shared" si="228"/>
        <v/>
      </c>
      <c r="S3771" s="24" t="str">
        <f t="shared" si="229"/>
        <v/>
      </c>
      <c r="T3771" t="str">
        <f t="shared" si="227"/>
        <v/>
      </c>
    </row>
    <row r="3772" spans="18:20">
      <c r="R3772" s="24" t="str">
        <f t="shared" si="228"/>
        <v/>
      </c>
      <c r="S3772" s="24" t="str">
        <f t="shared" si="229"/>
        <v/>
      </c>
      <c r="T3772" t="str">
        <f t="shared" si="227"/>
        <v/>
      </c>
    </row>
    <row r="3773" spans="18:20">
      <c r="R3773" s="24" t="str">
        <f t="shared" si="228"/>
        <v/>
      </c>
      <c r="S3773" s="24" t="str">
        <f t="shared" si="229"/>
        <v/>
      </c>
      <c r="T3773" t="str">
        <f t="shared" si="227"/>
        <v/>
      </c>
    </row>
    <row r="3774" spans="18:20">
      <c r="R3774" s="24" t="str">
        <f t="shared" si="228"/>
        <v/>
      </c>
      <c r="S3774" s="24" t="str">
        <f t="shared" si="229"/>
        <v/>
      </c>
      <c r="T3774" t="str">
        <f t="shared" si="227"/>
        <v/>
      </c>
    </row>
    <row r="3775" spans="18:20">
      <c r="R3775" s="24" t="str">
        <f t="shared" si="228"/>
        <v/>
      </c>
      <c r="S3775" s="24" t="str">
        <f t="shared" si="229"/>
        <v/>
      </c>
      <c r="T3775" t="str">
        <f t="shared" si="227"/>
        <v/>
      </c>
    </row>
    <row r="3776" spans="18:20">
      <c r="R3776" s="24" t="str">
        <f t="shared" si="228"/>
        <v/>
      </c>
      <c r="S3776" s="24" t="str">
        <f t="shared" si="229"/>
        <v/>
      </c>
      <c r="T3776" t="str">
        <f t="shared" si="227"/>
        <v/>
      </c>
    </row>
    <row r="3777" spans="18:20">
      <c r="R3777" s="24" t="str">
        <f t="shared" si="228"/>
        <v/>
      </c>
      <c r="S3777" s="24" t="str">
        <f t="shared" si="229"/>
        <v/>
      </c>
      <c r="T3777" t="str">
        <f t="shared" si="227"/>
        <v/>
      </c>
    </row>
    <row r="3778" spans="18:20">
      <c r="R3778" s="24" t="str">
        <f t="shared" si="228"/>
        <v/>
      </c>
      <c r="S3778" s="24" t="str">
        <f t="shared" si="229"/>
        <v/>
      </c>
      <c r="T3778" t="str">
        <f t="shared" si="227"/>
        <v/>
      </c>
    </row>
    <row r="3779" spans="18:20">
      <c r="R3779" s="24" t="str">
        <f t="shared" si="228"/>
        <v/>
      </c>
      <c r="S3779" s="24" t="str">
        <f t="shared" si="229"/>
        <v/>
      </c>
      <c r="T3779" t="str">
        <f t="shared" si="227"/>
        <v/>
      </c>
    </row>
    <row r="3780" spans="18:20">
      <c r="R3780" s="24" t="str">
        <f t="shared" si="228"/>
        <v/>
      </c>
      <c r="S3780" s="24" t="str">
        <f t="shared" si="229"/>
        <v/>
      </c>
      <c r="T3780" t="str">
        <f t="shared" si="227"/>
        <v/>
      </c>
    </row>
    <row r="3781" spans="18:20">
      <c r="R3781" s="24" t="str">
        <f t="shared" si="228"/>
        <v/>
      </c>
      <c r="S3781" s="24" t="str">
        <f t="shared" si="229"/>
        <v/>
      </c>
      <c r="T3781" t="str">
        <f t="shared" si="227"/>
        <v/>
      </c>
    </row>
    <row r="3782" spans="18:20">
      <c r="R3782" s="24" t="str">
        <f t="shared" si="228"/>
        <v/>
      </c>
      <c r="S3782" s="24" t="str">
        <f t="shared" si="229"/>
        <v/>
      </c>
      <c r="T3782" t="str">
        <f t="shared" si="227"/>
        <v/>
      </c>
    </row>
    <row r="3783" spans="18:20">
      <c r="R3783" s="24" t="str">
        <f t="shared" si="228"/>
        <v/>
      </c>
      <c r="S3783" s="24" t="str">
        <f t="shared" si="229"/>
        <v/>
      </c>
      <c r="T3783" t="str">
        <f t="shared" si="227"/>
        <v/>
      </c>
    </row>
    <row r="3784" spans="18:20">
      <c r="R3784" s="24" t="str">
        <f t="shared" si="228"/>
        <v/>
      </c>
      <c r="S3784" s="24" t="str">
        <f t="shared" si="229"/>
        <v/>
      </c>
      <c r="T3784" t="str">
        <f t="shared" si="227"/>
        <v/>
      </c>
    </row>
    <row r="3785" spans="18:20">
      <c r="R3785" s="24" t="str">
        <f t="shared" si="228"/>
        <v/>
      </c>
      <c r="S3785" s="24" t="str">
        <f t="shared" si="229"/>
        <v/>
      </c>
      <c r="T3785" t="str">
        <f t="shared" si="227"/>
        <v/>
      </c>
    </row>
    <row r="3786" spans="18:20">
      <c r="R3786" s="24" t="str">
        <f t="shared" si="228"/>
        <v/>
      </c>
      <c r="S3786" s="24" t="str">
        <f t="shared" si="229"/>
        <v/>
      </c>
      <c r="T3786" t="str">
        <f t="shared" si="227"/>
        <v/>
      </c>
    </row>
    <row r="3787" spans="18:20">
      <c r="R3787" s="24" t="str">
        <f t="shared" si="228"/>
        <v/>
      </c>
      <c r="S3787" s="24" t="str">
        <f t="shared" si="229"/>
        <v/>
      </c>
      <c r="T3787" t="str">
        <f t="shared" si="227"/>
        <v/>
      </c>
    </row>
    <row r="3788" spans="18:20">
      <c r="R3788" s="24" t="str">
        <f t="shared" si="228"/>
        <v/>
      </c>
      <c r="S3788" s="24" t="str">
        <f t="shared" si="229"/>
        <v/>
      </c>
      <c r="T3788" t="str">
        <f t="shared" si="227"/>
        <v/>
      </c>
    </row>
    <row r="3789" spans="18:20">
      <c r="R3789" s="24" t="str">
        <f t="shared" si="228"/>
        <v/>
      </c>
      <c r="S3789" s="24" t="str">
        <f t="shared" si="229"/>
        <v/>
      </c>
      <c r="T3789" t="str">
        <f t="shared" si="227"/>
        <v/>
      </c>
    </row>
    <row r="3790" spans="18:20">
      <c r="R3790" s="24" t="str">
        <f t="shared" si="228"/>
        <v/>
      </c>
      <c r="S3790" s="24" t="str">
        <f t="shared" si="229"/>
        <v/>
      </c>
      <c r="T3790" t="str">
        <f t="shared" si="227"/>
        <v/>
      </c>
    </row>
    <row r="3791" spans="18:20">
      <c r="R3791" s="24" t="str">
        <f t="shared" si="228"/>
        <v/>
      </c>
      <c r="S3791" s="24" t="str">
        <f t="shared" si="229"/>
        <v/>
      </c>
      <c r="T3791" t="str">
        <f t="shared" ref="T3791:T3854" si="230">IF(OR(C3791="",I3791&lt;&gt;"ENTRADA"),"",TEXT(B3791,"AAMMDD")&amp;"-"&amp;TEXT(VALUE(SUBSTITUTE(A3791,"MOV-","")),"000"))</f>
        <v/>
      </c>
    </row>
    <row r="3792" spans="18:20">
      <c r="R3792" s="24" t="str">
        <f t="shared" ref="R3792:R3855" si="231">IF(H3792="","",H3792&amp;I3792)</f>
        <v/>
      </c>
      <c r="S3792" s="24" t="str">
        <f t="shared" ref="S3792:S3855" si="232">IF(C3792="","",C3792&amp;I3792)</f>
        <v/>
      </c>
      <c r="T3792" t="str">
        <f t="shared" si="230"/>
        <v/>
      </c>
    </row>
    <row r="3793" spans="18:20">
      <c r="R3793" s="24" t="str">
        <f t="shared" si="231"/>
        <v/>
      </c>
      <c r="S3793" s="24" t="str">
        <f t="shared" si="232"/>
        <v/>
      </c>
      <c r="T3793" t="str">
        <f t="shared" si="230"/>
        <v/>
      </c>
    </row>
    <row r="3794" spans="18:20">
      <c r="R3794" s="24" t="str">
        <f t="shared" si="231"/>
        <v/>
      </c>
      <c r="S3794" s="24" t="str">
        <f t="shared" si="232"/>
        <v/>
      </c>
      <c r="T3794" t="str">
        <f t="shared" si="230"/>
        <v/>
      </c>
    </row>
    <row r="3795" spans="18:20">
      <c r="R3795" s="24" t="str">
        <f t="shared" si="231"/>
        <v/>
      </c>
      <c r="S3795" s="24" t="str">
        <f t="shared" si="232"/>
        <v/>
      </c>
      <c r="T3795" t="str">
        <f t="shared" si="230"/>
        <v/>
      </c>
    </row>
    <row r="3796" spans="18:20">
      <c r="R3796" s="24" t="str">
        <f t="shared" si="231"/>
        <v/>
      </c>
      <c r="S3796" s="24" t="str">
        <f t="shared" si="232"/>
        <v/>
      </c>
      <c r="T3796" t="str">
        <f t="shared" si="230"/>
        <v/>
      </c>
    </row>
    <row r="3797" spans="18:20">
      <c r="R3797" s="24" t="str">
        <f t="shared" si="231"/>
        <v/>
      </c>
      <c r="S3797" s="24" t="str">
        <f t="shared" si="232"/>
        <v/>
      </c>
      <c r="T3797" t="str">
        <f t="shared" si="230"/>
        <v/>
      </c>
    </row>
    <row r="3798" spans="18:20">
      <c r="R3798" s="24" t="str">
        <f t="shared" si="231"/>
        <v/>
      </c>
      <c r="S3798" s="24" t="str">
        <f t="shared" si="232"/>
        <v/>
      </c>
      <c r="T3798" t="str">
        <f t="shared" si="230"/>
        <v/>
      </c>
    </row>
    <row r="3799" spans="18:20">
      <c r="R3799" s="24" t="str">
        <f t="shared" si="231"/>
        <v/>
      </c>
      <c r="S3799" s="24" t="str">
        <f t="shared" si="232"/>
        <v/>
      </c>
      <c r="T3799" t="str">
        <f t="shared" si="230"/>
        <v/>
      </c>
    </row>
    <row r="3800" spans="18:20">
      <c r="R3800" s="24" t="str">
        <f t="shared" si="231"/>
        <v/>
      </c>
      <c r="S3800" s="24" t="str">
        <f t="shared" si="232"/>
        <v/>
      </c>
      <c r="T3800" t="str">
        <f t="shared" si="230"/>
        <v/>
      </c>
    </row>
    <row r="3801" spans="18:20">
      <c r="R3801" s="24" t="str">
        <f t="shared" si="231"/>
        <v/>
      </c>
      <c r="S3801" s="24" t="str">
        <f t="shared" si="232"/>
        <v/>
      </c>
      <c r="T3801" t="str">
        <f t="shared" si="230"/>
        <v/>
      </c>
    </row>
    <row r="3802" spans="18:20">
      <c r="R3802" s="24" t="str">
        <f t="shared" si="231"/>
        <v/>
      </c>
      <c r="S3802" s="24" t="str">
        <f t="shared" si="232"/>
        <v/>
      </c>
      <c r="T3802" t="str">
        <f t="shared" si="230"/>
        <v/>
      </c>
    </row>
    <row r="3803" spans="18:20">
      <c r="R3803" s="24" t="str">
        <f t="shared" si="231"/>
        <v/>
      </c>
      <c r="S3803" s="24" t="str">
        <f t="shared" si="232"/>
        <v/>
      </c>
      <c r="T3803" t="str">
        <f t="shared" si="230"/>
        <v/>
      </c>
    </row>
    <row r="3804" spans="18:20">
      <c r="R3804" s="24" t="str">
        <f t="shared" si="231"/>
        <v/>
      </c>
      <c r="S3804" s="24" t="str">
        <f t="shared" si="232"/>
        <v/>
      </c>
      <c r="T3804" t="str">
        <f t="shared" si="230"/>
        <v/>
      </c>
    </row>
    <row r="3805" spans="18:20">
      <c r="R3805" s="24" t="str">
        <f t="shared" si="231"/>
        <v/>
      </c>
      <c r="S3805" s="24" t="str">
        <f t="shared" si="232"/>
        <v/>
      </c>
      <c r="T3805" t="str">
        <f t="shared" si="230"/>
        <v/>
      </c>
    </row>
    <row r="3806" spans="18:20">
      <c r="R3806" s="24" t="str">
        <f t="shared" si="231"/>
        <v/>
      </c>
      <c r="S3806" s="24" t="str">
        <f t="shared" si="232"/>
        <v/>
      </c>
      <c r="T3806" t="str">
        <f t="shared" si="230"/>
        <v/>
      </c>
    </row>
    <row r="3807" spans="18:20">
      <c r="R3807" s="24" t="str">
        <f t="shared" si="231"/>
        <v/>
      </c>
      <c r="S3807" s="24" t="str">
        <f t="shared" si="232"/>
        <v/>
      </c>
      <c r="T3807" t="str">
        <f t="shared" si="230"/>
        <v/>
      </c>
    </row>
    <row r="3808" spans="18:20">
      <c r="R3808" s="24" t="str">
        <f t="shared" si="231"/>
        <v/>
      </c>
      <c r="S3808" s="24" t="str">
        <f t="shared" si="232"/>
        <v/>
      </c>
      <c r="T3808" t="str">
        <f t="shared" si="230"/>
        <v/>
      </c>
    </row>
    <row r="3809" spans="18:20">
      <c r="R3809" s="24" t="str">
        <f t="shared" si="231"/>
        <v/>
      </c>
      <c r="S3809" s="24" t="str">
        <f t="shared" si="232"/>
        <v/>
      </c>
      <c r="T3809" t="str">
        <f t="shared" si="230"/>
        <v/>
      </c>
    </row>
    <row r="3810" spans="18:20">
      <c r="R3810" s="24" t="str">
        <f t="shared" si="231"/>
        <v/>
      </c>
      <c r="S3810" s="24" t="str">
        <f t="shared" si="232"/>
        <v/>
      </c>
      <c r="T3810" t="str">
        <f t="shared" si="230"/>
        <v/>
      </c>
    </row>
    <row r="3811" spans="18:20">
      <c r="R3811" s="24" t="str">
        <f t="shared" si="231"/>
        <v/>
      </c>
      <c r="S3811" s="24" t="str">
        <f t="shared" si="232"/>
        <v/>
      </c>
      <c r="T3811" t="str">
        <f t="shared" si="230"/>
        <v/>
      </c>
    </row>
    <row r="3812" spans="18:20">
      <c r="R3812" s="24" t="str">
        <f t="shared" si="231"/>
        <v/>
      </c>
      <c r="S3812" s="24" t="str">
        <f t="shared" si="232"/>
        <v/>
      </c>
      <c r="T3812" t="str">
        <f t="shared" si="230"/>
        <v/>
      </c>
    </row>
    <row r="3813" spans="18:20">
      <c r="R3813" s="24" t="str">
        <f t="shared" si="231"/>
        <v/>
      </c>
      <c r="S3813" s="24" t="str">
        <f t="shared" si="232"/>
        <v/>
      </c>
      <c r="T3813" t="str">
        <f t="shared" si="230"/>
        <v/>
      </c>
    </row>
    <row r="3814" spans="18:20">
      <c r="R3814" s="24" t="str">
        <f t="shared" si="231"/>
        <v/>
      </c>
      <c r="S3814" s="24" t="str">
        <f t="shared" si="232"/>
        <v/>
      </c>
      <c r="T3814" t="str">
        <f t="shared" si="230"/>
        <v/>
      </c>
    </row>
    <row r="3815" spans="18:20">
      <c r="R3815" s="24" t="str">
        <f t="shared" si="231"/>
        <v/>
      </c>
      <c r="S3815" s="24" t="str">
        <f t="shared" si="232"/>
        <v/>
      </c>
      <c r="T3815" t="str">
        <f t="shared" si="230"/>
        <v/>
      </c>
    </row>
    <row r="3816" spans="18:20">
      <c r="R3816" s="24" t="str">
        <f t="shared" si="231"/>
        <v/>
      </c>
      <c r="S3816" s="24" t="str">
        <f t="shared" si="232"/>
        <v/>
      </c>
      <c r="T3816" t="str">
        <f t="shared" si="230"/>
        <v/>
      </c>
    </row>
    <row r="3817" spans="18:20">
      <c r="R3817" s="24" t="str">
        <f t="shared" si="231"/>
        <v/>
      </c>
      <c r="S3817" s="24" t="str">
        <f t="shared" si="232"/>
        <v/>
      </c>
      <c r="T3817" t="str">
        <f t="shared" si="230"/>
        <v/>
      </c>
    </row>
    <row r="3818" spans="18:20">
      <c r="R3818" s="24" t="str">
        <f t="shared" si="231"/>
        <v/>
      </c>
      <c r="S3818" s="24" t="str">
        <f t="shared" si="232"/>
        <v/>
      </c>
      <c r="T3818" t="str">
        <f t="shared" si="230"/>
        <v/>
      </c>
    </row>
    <row r="3819" spans="18:20">
      <c r="R3819" s="24" t="str">
        <f t="shared" si="231"/>
        <v/>
      </c>
      <c r="S3819" s="24" t="str">
        <f t="shared" si="232"/>
        <v/>
      </c>
      <c r="T3819" t="str">
        <f t="shared" si="230"/>
        <v/>
      </c>
    </row>
    <row r="3820" spans="18:20">
      <c r="R3820" s="24" t="str">
        <f t="shared" si="231"/>
        <v/>
      </c>
      <c r="S3820" s="24" t="str">
        <f t="shared" si="232"/>
        <v/>
      </c>
      <c r="T3820" t="str">
        <f t="shared" si="230"/>
        <v/>
      </c>
    </row>
    <row r="3821" spans="18:20">
      <c r="R3821" s="24" t="str">
        <f t="shared" si="231"/>
        <v/>
      </c>
      <c r="S3821" s="24" t="str">
        <f t="shared" si="232"/>
        <v/>
      </c>
      <c r="T3821" t="str">
        <f t="shared" si="230"/>
        <v/>
      </c>
    </row>
    <row r="3822" spans="18:20">
      <c r="R3822" s="24" t="str">
        <f t="shared" si="231"/>
        <v/>
      </c>
      <c r="S3822" s="24" t="str">
        <f t="shared" si="232"/>
        <v/>
      </c>
      <c r="T3822" t="str">
        <f t="shared" si="230"/>
        <v/>
      </c>
    </row>
    <row r="3823" spans="18:20">
      <c r="R3823" s="24" t="str">
        <f t="shared" si="231"/>
        <v/>
      </c>
      <c r="S3823" s="24" t="str">
        <f t="shared" si="232"/>
        <v/>
      </c>
      <c r="T3823" t="str">
        <f t="shared" si="230"/>
        <v/>
      </c>
    </row>
    <row r="3824" spans="18:20">
      <c r="R3824" s="24" t="str">
        <f t="shared" si="231"/>
        <v/>
      </c>
      <c r="S3824" s="24" t="str">
        <f t="shared" si="232"/>
        <v/>
      </c>
      <c r="T3824" t="str">
        <f t="shared" si="230"/>
        <v/>
      </c>
    </row>
    <row r="3825" spans="18:20">
      <c r="R3825" s="24" t="str">
        <f t="shared" si="231"/>
        <v/>
      </c>
      <c r="S3825" s="24" t="str">
        <f t="shared" si="232"/>
        <v/>
      </c>
      <c r="T3825" t="str">
        <f t="shared" si="230"/>
        <v/>
      </c>
    </row>
    <row r="3826" spans="18:20">
      <c r="R3826" s="24" t="str">
        <f t="shared" si="231"/>
        <v/>
      </c>
      <c r="S3826" s="24" t="str">
        <f t="shared" si="232"/>
        <v/>
      </c>
      <c r="T3826" t="str">
        <f t="shared" si="230"/>
        <v/>
      </c>
    </row>
    <row r="3827" spans="18:20">
      <c r="R3827" s="24" t="str">
        <f t="shared" si="231"/>
        <v/>
      </c>
      <c r="S3827" s="24" t="str">
        <f t="shared" si="232"/>
        <v/>
      </c>
      <c r="T3827" t="str">
        <f t="shared" si="230"/>
        <v/>
      </c>
    </row>
    <row r="3828" spans="18:20">
      <c r="R3828" s="24" t="str">
        <f t="shared" si="231"/>
        <v/>
      </c>
      <c r="S3828" s="24" t="str">
        <f t="shared" si="232"/>
        <v/>
      </c>
      <c r="T3828" t="str">
        <f t="shared" si="230"/>
        <v/>
      </c>
    </row>
    <row r="3829" spans="18:20">
      <c r="R3829" s="24" t="str">
        <f t="shared" si="231"/>
        <v/>
      </c>
      <c r="S3829" s="24" t="str">
        <f t="shared" si="232"/>
        <v/>
      </c>
      <c r="T3829" t="str">
        <f t="shared" si="230"/>
        <v/>
      </c>
    </row>
    <row r="3830" spans="18:20">
      <c r="R3830" s="24" t="str">
        <f t="shared" si="231"/>
        <v/>
      </c>
      <c r="S3830" s="24" t="str">
        <f t="shared" si="232"/>
        <v/>
      </c>
      <c r="T3830" t="str">
        <f t="shared" si="230"/>
        <v/>
      </c>
    </row>
    <row r="3831" spans="18:20">
      <c r="R3831" s="24" t="str">
        <f t="shared" si="231"/>
        <v/>
      </c>
      <c r="S3831" s="24" t="str">
        <f t="shared" si="232"/>
        <v/>
      </c>
      <c r="T3831" t="str">
        <f t="shared" si="230"/>
        <v/>
      </c>
    </row>
    <row r="3832" spans="18:20">
      <c r="R3832" s="24" t="str">
        <f t="shared" si="231"/>
        <v/>
      </c>
      <c r="S3832" s="24" t="str">
        <f t="shared" si="232"/>
        <v/>
      </c>
      <c r="T3832" t="str">
        <f t="shared" si="230"/>
        <v/>
      </c>
    </row>
    <row r="3833" spans="18:20">
      <c r="R3833" s="24" t="str">
        <f t="shared" si="231"/>
        <v/>
      </c>
      <c r="S3833" s="24" t="str">
        <f t="shared" si="232"/>
        <v/>
      </c>
      <c r="T3833" t="str">
        <f t="shared" si="230"/>
        <v/>
      </c>
    </row>
    <row r="3834" spans="18:20">
      <c r="R3834" s="24" t="str">
        <f t="shared" si="231"/>
        <v/>
      </c>
      <c r="S3834" s="24" t="str">
        <f t="shared" si="232"/>
        <v/>
      </c>
      <c r="T3834" t="str">
        <f t="shared" si="230"/>
        <v/>
      </c>
    </row>
    <row r="3835" spans="18:20">
      <c r="R3835" s="24" t="str">
        <f t="shared" si="231"/>
        <v/>
      </c>
      <c r="S3835" s="24" t="str">
        <f t="shared" si="232"/>
        <v/>
      </c>
      <c r="T3835" t="str">
        <f t="shared" si="230"/>
        <v/>
      </c>
    </row>
    <row r="3836" spans="18:20">
      <c r="R3836" s="24" t="str">
        <f t="shared" si="231"/>
        <v/>
      </c>
      <c r="S3836" s="24" t="str">
        <f t="shared" si="232"/>
        <v/>
      </c>
      <c r="T3836" t="str">
        <f t="shared" si="230"/>
        <v/>
      </c>
    </row>
    <row r="3837" spans="18:20">
      <c r="R3837" s="24" t="str">
        <f t="shared" si="231"/>
        <v/>
      </c>
      <c r="S3837" s="24" t="str">
        <f t="shared" si="232"/>
        <v/>
      </c>
      <c r="T3837" t="str">
        <f t="shared" si="230"/>
        <v/>
      </c>
    </row>
    <row r="3838" spans="18:20">
      <c r="R3838" s="24" t="str">
        <f t="shared" si="231"/>
        <v/>
      </c>
      <c r="S3838" s="24" t="str">
        <f t="shared" si="232"/>
        <v/>
      </c>
      <c r="T3838" t="str">
        <f t="shared" si="230"/>
        <v/>
      </c>
    </row>
    <row r="3839" spans="18:20">
      <c r="R3839" s="24" t="str">
        <f t="shared" si="231"/>
        <v/>
      </c>
      <c r="S3839" s="24" t="str">
        <f t="shared" si="232"/>
        <v/>
      </c>
      <c r="T3839" t="str">
        <f t="shared" si="230"/>
        <v/>
      </c>
    </row>
    <row r="3840" spans="18:20">
      <c r="R3840" s="24" t="str">
        <f t="shared" si="231"/>
        <v/>
      </c>
      <c r="S3840" s="24" t="str">
        <f t="shared" si="232"/>
        <v/>
      </c>
      <c r="T3840" t="str">
        <f t="shared" si="230"/>
        <v/>
      </c>
    </row>
    <row r="3841" spans="18:20">
      <c r="R3841" s="24" t="str">
        <f t="shared" si="231"/>
        <v/>
      </c>
      <c r="S3841" s="24" t="str">
        <f t="shared" si="232"/>
        <v/>
      </c>
      <c r="T3841" t="str">
        <f t="shared" si="230"/>
        <v/>
      </c>
    </row>
    <row r="3842" spans="18:20">
      <c r="R3842" s="24" t="str">
        <f t="shared" si="231"/>
        <v/>
      </c>
      <c r="S3842" s="24" t="str">
        <f t="shared" si="232"/>
        <v/>
      </c>
      <c r="T3842" t="str">
        <f t="shared" si="230"/>
        <v/>
      </c>
    </row>
    <row r="3843" spans="18:20">
      <c r="R3843" s="24" t="str">
        <f t="shared" si="231"/>
        <v/>
      </c>
      <c r="S3843" s="24" t="str">
        <f t="shared" si="232"/>
        <v/>
      </c>
      <c r="T3843" t="str">
        <f t="shared" si="230"/>
        <v/>
      </c>
    </row>
    <row r="3844" spans="18:20">
      <c r="R3844" s="24" t="str">
        <f t="shared" si="231"/>
        <v/>
      </c>
      <c r="S3844" s="24" t="str">
        <f t="shared" si="232"/>
        <v/>
      </c>
      <c r="T3844" t="str">
        <f t="shared" si="230"/>
        <v/>
      </c>
    </row>
    <row r="3845" spans="18:20">
      <c r="R3845" s="24" t="str">
        <f t="shared" si="231"/>
        <v/>
      </c>
      <c r="S3845" s="24" t="str">
        <f t="shared" si="232"/>
        <v/>
      </c>
      <c r="T3845" t="str">
        <f t="shared" si="230"/>
        <v/>
      </c>
    </row>
    <row r="3846" spans="18:20">
      <c r="R3846" s="24" t="str">
        <f t="shared" si="231"/>
        <v/>
      </c>
      <c r="S3846" s="24" t="str">
        <f t="shared" si="232"/>
        <v/>
      </c>
      <c r="T3846" t="str">
        <f t="shared" si="230"/>
        <v/>
      </c>
    </row>
    <row r="3847" spans="18:20">
      <c r="R3847" s="24" t="str">
        <f t="shared" si="231"/>
        <v/>
      </c>
      <c r="S3847" s="24" t="str">
        <f t="shared" si="232"/>
        <v/>
      </c>
      <c r="T3847" t="str">
        <f t="shared" si="230"/>
        <v/>
      </c>
    </row>
    <row r="3848" spans="18:20">
      <c r="R3848" s="24" t="str">
        <f t="shared" si="231"/>
        <v/>
      </c>
      <c r="S3848" s="24" t="str">
        <f t="shared" si="232"/>
        <v/>
      </c>
      <c r="T3848" t="str">
        <f t="shared" si="230"/>
        <v/>
      </c>
    </row>
    <row r="3849" spans="18:20">
      <c r="R3849" s="24" t="str">
        <f t="shared" si="231"/>
        <v/>
      </c>
      <c r="S3849" s="24" t="str">
        <f t="shared" si="232"/>
        <v/>
      </c>
      <c r="T3849" t="str">
        <f t="shared" si="230"/>
        <v/>
      </c>
    </row>
    <row r="3850" spans="18:20">
      <c r="R3850" s="24" t="str">
        <f t="shared" si="231"/>
        <v/>
      </c>
      <c r="S3850" s="24" t="str">
        <f t="shared" si="232"/>
        <v/>
      </c>
      <c r="T3850" t="str">
        <f t="shared" si="230"/>
        <v/>
      </c>
    </row>
    <row r="3851" spans="18:20">
      <c r="R3851" s="24" t="str">
        <f t="shared" si="231"/>
        <v/>
      </c>
      <c r="S3851" s="24" t="str">
        <f t="shared" si="232"/>
        <v/>
      </c>
      <c r="T3851" t="str">
        <f t="shared" si="230"/>
        <v/>
      </c>
    </row>
    <row r="3852" spans="18:20">
      <c r="R3852" s="24" t="str">
        <f t="shared" si="231"/>
        <v/>
      </c>
      <c r="S3852" s="24" t="str">
        <f t="shared" si="232"/>
        <v/>
      </c>
      <c r="T3852" t="str">
        <f t="shared" si="230"/>
        <v/>
      </c>
    </row>
    <row r="3853" spans="18:20">
      <c r="R3853" s="24" t="str">
        <f t="shared" si="231"/>
        <v/>
      </c>
      <c r="S3853" s="24" t="str">
        <f t="shared" si="232"/>
        <v/>
      </c>
      <c r="T3853" t="str">
        <f t="shared" si="230"/>
        <v/>
      </c>
    </row>
    <row r="3854" spans="18:20">
      <c r="R3854" s="24" t="str">
        <f t="shared" si="231"/>
        <v/>
      </c>
      <c r="S3854" s="24" t="str">
        <f t="shared" si="232"/>
        <v/>
      </c>
      <c r="T3854" t="str">
        <f t="shared" si="230"/>
        <v/>
      </c>
    </row>
    <row r="3855" spans="18:20">
      <c r="R3855" s="24" t="str">
        <f t="shared" si="231"/>
        <v/>
      </c>
      <c r="S3855" s="24" t="str">
        <f t="shared" si="232"/>
        <v/>
      </c>
      <c r="T3855" t="str">
        <f t="shared" ref="T3855:T3918" si="233">IF(OR(C3855="",I3855&lt;&gt;"ENTRADA"),"",TEXT(B3855,"AAMMDD")&amp;"-"&amp;TEXT(VALUE(SUBSTITUTE(A3855,"MOV-","")),"000"))</f>
        <v/>
      </c>
    </row>
    <row r="3856" spans="18:20">
      <c r="R3856" s="24" t="str">
        <f t="shared" ref="R3856:R3919" si="234">IF(H3856="","",H3856&amp;I3856)</f>
        <v/>
      </c>
      <c r="S3856" s="24" t="str">
        <f t="shared" ref="S3856:S3919" si="235">IF(C3856="","",C3856&amp;I3856)</f>
        <v/>
      </c>
      <c r="T3856" t="str">
        <f t="shared" si="233"/>
        <v/>
      </c>
    </row>
    <row r="3857" spans="18:20">
      <c r="R3857" s="24" t="str">
        <f t="shared" si="234"/>
        <v/>
      </c>
      <c r="S3857" s="24" t="str">
        <f t="shared" si="235"/>
        <v/>
      </c>
      <c r="T3857" t="str">
        <f t="shared" si="233"/>
        <v/>
      </c>
    </row>
    <row r="3858" spans="18:20">
      <c r="R3858" s="24" t="str">
        <f t="shared" si="234"/>
        <v/>
      </c>
      <c r="S3858" s="24" t="str">
        <f t="shared" si="235"/>
        <v/>
      </c>
      <c r="T3858" t="str">
        <f t="shared" si="233"/>
        <v/>
      </c>
    </row>
    <row r="3859" spans="18:20">
      <c r="R3859" s="24" t="str">
        <f t="shared" si="234"/>
        <v/>
      </c>
      <c r="S3859" s="24" t="str">
        <f t="shared" si="235"/>
        <v/>
      </c>
      <c r="T3859" t="str">
        <f t="shared" si="233"/>
        <v/>
      </c>
    </row>
    <row r="3860" spans="18:20">
      <c r="R3860" s="24" t="str">
        <f t="shared" si="234"/>
        <v/>
      </c>
      <c r="S3860" s="24" t="str">
        <f t="shared" si="235"/>
        <v/>
      </c>
      <c r="T3860" t="str">
        <f t="shared" si="233"/>
        <v/>
      </c>
    </row>
    <row r="3861" spans="18:20">
      <c r="R3861" s="24" t="str">
        <f t="shared" si="234"/>
        <v/>
      </c>
      <c r="S3861" s="24" t="str">
        <f t="shared" si="235"/>
        <v/>
      </c>
      <c r="T3861" t="str">
        <f t="shared" si="233"/>
        <v/>
      </c>
    </row>
    <row r="3862" spans="18:20">
      <c r="R3862" s="24" t="str">
        <f t="shared" si="234"/>
        <v/>
      </c>
      <c r="S3862" s="24" t="str">
        <f t="shared" si="235"/>
        <v/>
      </c>
      <c r="T3862" t="str">
        <f t="shared" si="233"/>
        <v/>
      </c>
    </row>
    <row r="3863" spans="18:20">
      <c r="R3863" s="24" t="str">
        <f t="shared" si="234"/>
        <v/>
      </c>
      <c r="S3863" s="24" t="str">
        <f t="shared" si="235"/>
        <v/>
      </c>
      <c r="T3863" t="str">
        <f t="shared" si="233"/>
        <v/>
      </c>
    </row>
    <row r="3864" spans="18:20">
      <c r="R3864" s="24" t="str">
        <f t="shared" si="234"/>
        <v/>
      </c>
      <c r="S3864" s="24" t="str">
        <f t="shared" si="235"/>
        <v/>
      </c>
      <c r="T3864" t="str">
        <f t="shared" si="233"/>
        <v/>
      </c>
    </row>
    <row r="3865" spans="18:20">
      <c r="R3865" s="24" t="str">
        <f t="shared" si="234"/>
        <v/>
      </c>
      <c r="S3865" s="24" t="str">
        <f t="shared" si="235"/>
        <v/>
      </c>
      <c r="T3865" t="str">
        <f t="shared" si="233"/>
        <v/>
      </c>
    </row>
    <row r="3866" spans="18:20">
      <c r="R3866" s="24" t="str">
        <f t="shared" si="234"/>
        <v/>
      </c>
      <c r="S3866" s="24" t="str">
        <f t="shared" si="235"/>
        <v/>
      </c>
      <c r="T3866" t="str">
        <f t="shared" si="233"/>
        <v/>
      </c>
    </row>
    <row r="3867" spans="18:20">
      <c r="R3867" s="24" t="str">
        <f t="shared" si="234"/>
        <v/>
      </c>
      <c r="S3867" s="24" t="str">
        <f t="shared" si="235"/>
        <v/>
      </c>
      <c r="T3867" t="str">
        <f t="shared" si="233"/>
        <v/>
      </c>
    </row>
    <row r="3868" spans="18:20">
      <c r="R3868" s="24" t="str">
        <f t="shared" si="234"/>
        <v/>
      </c>
      <c r="S3868" s="24" t="str">
        <f t="shared" si="235"/>
        <v/>
      </c>
      <c r="T3868" t="str">
        <f t="shared" si="233"/>
        <v/>
      </c>
    </row>
    <row r="3869" spans="18:20">
      <c r="R3869" s="24" t="str">
        <f t="shared" si="234"/>
        <v/>
      </c>
      <c r="S3869" s="24" t="str">
        <f t="shared" si="235"/>
        <v/>
      </c>
      <c r="T3869" t="str">
        <f t="shared" si="233"/>
        <v/>
      </c>
    </row>
    <row r="3870" spans="18:20">
      <c r="R3870" s="24" t="str">
        <f t="shared" si="234"/>
        <v/>
      </c>
      <c r="S3870" s="24" t="str">
        <f t="shared" si="235"/>
        <v/>
      </c>
      <c r="T3870" t="str">
        <f t="shared" si="233"/>
        <v/>
      </c>
    </row>
    <row r="3871" spans="18:20">
      <c r="R3871" s="24" t="str">
        <f t="shared" si="234"/>
        <v/>
      </c>
      <c r="S3871" s="24" t="str">
        <f t="shared" si="235"/>
        <v/>
      </c>
      <c r="T3871" t="str">
        <f t="shared" si="233"/>
        <v/>
      </c>
    </row>
    <row r="3872" spans="18:20">
      <c r="R3872" s="24" t="str">
        <f t="shared" si="234"/>
        <v/>
      </c>
      <c r="S3872" s="24" t="str">
        <f t="shared" si="235"/>
        <v/>
      </c>
      <c r="T3872" t="str">
        <f t="shared" si="233"/>
        <v/>
      </c>
    </row>
    <row r="3873" spans="18:20">
      <c r="R3873" s="24" t="str">
        <f t="shared" si="234"/>
        <v/>
      </c>
      <c r="S3873" s="24" t="str">
        <f t="shared" si="235"/>
        <v/>
      </c>
      <c r="T3873" t="str">
        <f t="shared" si="233"/>
        <v/>
      </c>
    </row>
    <row r="3874" spans="18:20">
      <c r="R3874" s="24" t="str">
        <f t="shared" si="234"/>
        <v/>
      </c>
      <c r="S3874" s="24" t="str">
        <f t="shared" si="235"/>
        <v/>
      </c>
      <c r="T3874" t="str">
        <f t="shared" si="233"/>
        <v/>
      </c>
    </row>
    <row r="3875" spans="18:20">
      <c r="R3875" s="24" t="str">
        <f t="shared" si="234"/>
        <v/>
      </c>
      <c r="S3875" s="24" t="str">
        <f t="shared" si="235"/>
        <v/>
      </c>
      <c r="T3875" t="str">
        <f t="shared" si="233"/>
        <v/>
      </c>
    </row>
    <row r="3876" spans="18:20">
      <c r="R3876" s="24" t="str">
        <f t="shared" si="234"/>
        <v/>
      </c>
      <c r="S3876" s="24" t="str">
        <f t="shared" si="235"/>
        <v/>
      </c>
      <c r="T3876" t="str">
        <f t="shared" si="233"/>
        <v/>
      </c>
    </row>
    <row r="3877" spans="18:20">
      <c r="R3877" s="24" t="str">
        <f t="shared" si="234"/>
        <v/>
      </c>
      <c r="S3877" s="24" t="str">
        <f t="shared" si="235"/>
        <v/>
      </c>
      <c r="T3877" t="str">
        <f t="shared" si="233"/>
        <v/>
      </c>
    </row>
    <row r="3878" spans="18:20">
      <c r="R3878" s="24" t="str">
        <f t="shared" si="234"/>
        <v/>
      </c>
      <c r="S3878" s="24" t="str">
        <f t="shared" si="235"/>
        <v/>
      </c>
      <c r="T3878" t="str">
        <f t="shared" si="233"/>
        <v/>
      </c>
    </row>
    <row r="3879" spans="18:20">
      <c r="R3879" s="24" t="str">
        <f t="shared" si="234"/>
        <v/>
      </c>
      <c r="S3879" s="24" t="str">
        <f t="shared" si="235"/>
        <v/>
      </c>
      <c r="T3879" t="str">
        <f t="shared" si="233"/>
        <v/>
      </c>
    </row>
    <row r="3880" spans="18:20">
      <c r="R3880" s="24" t="str">
        <f t="shared" si="234"/>
        <v/>
      </c>
      <c r="S3880" s="24" t="str">
        <f t="shared" si="235"/>
        <v/>
      </c>
      <c r="T3880" t="str">
        <f t="shared" si="233"/>
        <v/>
      </c>
    </row>
    <row r="3881" spans="18:20">
      <c r="R3881" s="24" t="str">
        <f t="shared" si="234"/>
        <v/>
      </c>
      <c r="S3881" s="24" t="str">
        <f t="shared" si="235"/>
        <v/>
      </c>
      <c r="T3881" t="str">
        <f t="shared" si="233"/>
        <v/>
      </c>
    </row>
    <row r="3882" spans="18:20">
      <c r="R3882" s="24" t="str">
        <f t="shared" si="234"/>
        <v/>
      </c>
      <c r="S3882" s="24" t="str">
        <f t="shared" si="235"/>
        <v/>
      </c>
      <c r="T3882" t="str">
        <f t="shared" si="233"/>
        <v/>
      </c>
    </row>
    <row r="3883" spans="18:20">
      <c r="R3883" s="24" t="str">
        <f t="shared" si="234"/>
        <v/>
      </c>
      <c r="S3883" s="24" t="str">
        <f t="shared" si="235"/>
        <v/>
      </c>
      <c r="T3883" t="str">
        <f t="shared" si="233"/>
        <v/>
      </c>
    </row>
    <row r="3884" spans="18:20">
      <c r="R3884" s="24" t="str">
        <f t="shared" si="234"/>
        <v/>
      </c>
      <c r="S3884" s="24" t="str">
        <f t="shared" si="235"/>
        <v/>
      </c>
      <c r="T3884" t="str">
        <f t="shared" si="233"/>
        <v/>
      </c>
    </row>
    <row r="3885" spans="18:20">
      <c r="R3885" s="24" t="str">
        <f t="shared" si="234"/>
        <v/>
      </c>
      <c r="S3885" s="24" t="str">
        <f t="shared" si="235"/>
        <v/>
      </c>
      <c r="T3885" t="str">
        <f t="shared" si="233"/>
        <v/>
      </c>
    </row>
    <row r="3886" spans="18:20">
      <c r="R3886" s="24" t="str">
        <f t="shared" si="234"/>
        <v/>
      </c>
      <c r="S3886" s="24" t="str">
        <f t="shared" si="235"/>
        <v/>
      </c>
      <c r="T3886" t="str">
        <f t="shared" si="233"/>
        <v/>
      </c>
    </row>
    <row r="3887" spans="18:20">
      <c r="R3887" s="24" t="str">
        <f t="shared" si="234"/>
        <v/>
      </c>
      <c r="S3887" s="24" t="str">
        <f t="shared" si="235"/>
        <v/>
      </c>
      <c r="T3887" t="str">
        <f t="shared" si="233"/>
        <v/>
      </c>
    </row>
    <row r="3888" spans="18:20">
      <c r="R3888" s="24" t="str">
        <f t="shared" si="234"/>
        <v/>
      </c>
      <c r="S3888" s="24" t="str">
        <f t="shared" si="235"/>
        <v/>
      </c>
      <c r="T3888" t="str">
        <f t="shared" si="233"/>
        <v/>
      </c>
    </row>
    <row r="3889" spans="18:20">
      <c r="R3889" s="24" t="str">
        <f t="shared" si="234"/>
        <v/>
      </c>
      <c r="S3889" s="24" t="str">
        <f t="shared" si="235"/>
        <v/>
      </c>
      <c r="T3889" t="str">
        <f t="shared" si="233"/>
        <v/>
      </c>
    </row>
    <row r="3890" spans="18:20">
      <c r="R3890" s="24" t="str">
        <f t="shared" si="234"/>
        <v/>
      </c>
      <c r="S3890" s="24" t="str">
        <f t="shared" si="235"/>
        <v/>
      </c>
      <c r="T3890" t="str">
        <f t="shared" si="233"/>
        <v/>
      </c>
    </row>
    <row r="3891" spans="18:20">
      <c r="R3891" s="24" t="str">
        <f t="shared" si="234"/>
        <v/>
      </c>
      <c r="S3891" s="24" t="str">
        <f t="shared" si="235"/>
        <v/>
      </c>
      <c r="T3891" t="str">
        <f t="shared" si="233"/>
        <v/>
      </c>
    </row>
    <row r="3892" spans="18:20">
      <c r="R3892" s="24" t="str">
        <f t="shared" si="234"/>
        <v/>
      </c>
      <c r="S3892" s="24" t="str">
        <f t="shared" si="235"/>
        <v/>
      </c>
      <c r="T3892" t="str">
        <f t="shared" si="233"/>
        <v/>
      </c>
    </row>
    <row r="3893" spans="18:20">
      <c r="R3893" s="24" t="str">
        <f t="shared" si="234"/>
        <v/>
      </c>
      <c r="S3893" s="24" t="str">
        <f t="shared" si="235"/>
        <v/>
      </c>
      <c r="T3893" t="str">
        <f t="shared" si="233"/>
        <v/>
      </c>
    </row>
    <row r="3894" spans="18:20">
      <c r="R3894" s="24" t="str">
        <f t="shared" si="234"/>
        <v/>
      </c>
      <c r="S3894" s="24" t="str">
        <f t="shared" si="235"/>
        <v/>
      </c>
      <c r="T3894" t="str">
        <f t="shared" si="233"/>
        <v/>
      </c>
    </row>
    <row r="3895" spans="18:20">
      <c r="R3895" s="24" t="str">
        <f t="shared" si="234"/>
        <v/>
      </c>
      <c r="S3895" s="24" t="str">
        <f t="shared" si="235"/>
        <v/>
      </c>
      <c r="T3895" t="str">
        <f t="shared" si="233"/>
        <v/>
      </c>
    </row>
    <row r="3896" spans="18:20">
      <c r="R3896" s="24" t="str">
        <f t="shared" si="234"/>
        <v/>
      </c>
      <c r="S3896" s="24" t="str">
        <f t="shared" si="235"/>
        <v/>
      </c>
      <c r="T3896" t="str">
        <f t="shared" si="233"/>
        <v/>
      </c>
    </row>
    <row r="3897" spans="18:20">
      <c r="R3897" s="24" t="str">
        <f t="shared" si="234"/>
        <v/>
      </c>
      <c r="S3897" s="24" t="str">
        <f t="shared" si="235"/>
        <v/>
      </c>
      <c r="T3897" t="str">
        <f t="shared" si="233"/>
        <v/>
      </c>
    </row>
    <row r="3898" spans="18:20">
      <c r="R3898" s="24" t="str">
        <f t="shared" si="234"/>
        <v/>
      </c>
      <c r="S3898" s="24" t="str">
        <f t="shared" si="235"/>
        <v/>
      </c>
      <c r="T3898" t="str">
        <f t="shared" si="233"/>
        <v/>
      </c>
    </row>
    <row r="3899" spans="18:20">
      <c r="R3899" s="24" t="str">
        <f t="shared" si="234"/>
        <v/>
      </c>
      <c r="S3899" s="24" t="str">
        <f t="shared" si="235"/>
        <v/>
      </c>
      <c r="T3899" t="str">
        <f t="shared" si="233"/>
        <v/>
      </c>
    </row>
    <row r="3900" spans="18:20">
      <c r="R3900" s="24" t="str">
        <f t="shared" si="234"/>
        <v/>
      </c>
      <c r="S3900" s="24" t="str">
        <f t="shared" si="235"/>
        <v/>
      </c>
      <c r="T3900" t="str">
        <f t="shared" si="233"/>
        <v/>
      </c>
    </row>
    <row r="3901" spans="18:20">
      <c r="R3901" s="24" t="str">
        <f t="shared" si="234"/>
        <v/>
      </c>
      <c r="S3901" s="24" t="str">
        <f t="shared" si="235"/>
        <v/>
      </c>
      <c r="T3901" t="str">
        <f t="shared" si="233"/>
        <v/>
      </c>
    </row>
    <row r="3902" spans="18:20">
      <c r="R3902" s="24" t="str">
        <f t="shared" si="234"/>
        <v/>
      </c>
      <c r="S3902" s="24" t="str">
        <f t="shared" si="235"/>
        <v/>
      </c>
      <c r="T3902" t="str">
        <f t="shared" si="233"/>
        <v/>
      </c>
    </row>
    <row r="3903" spans="18:20">
      <c r="R3903" s="24" t="str">
        <f t="shared" si="234"/>
        <v/>
      </c>
      <c r="S3903" s="24" t="str">
        <f t="shared" si="235"/>
        <v/>
      </c>
      <c r="T3903" t="str">
        <f t="shared" si="233"/>
        <v/>
      </c>
    </row>
    <row r="3904" spans="18:20">
      <c r="R3904" s="24" t="str">
        <f t="shared" si="234"/>
        <v/>
      </c>
      <c r="S3904" s="24" t="str">
        <f t="shared" si="235"/>
        <v/>
      </c>
      <c r="T3904" t="str">
        <f t="shared" si="233"/>
        <v/>
      </c>
    </row>
    <row r="3905" spans="18:20">
      <c r="R3905" s="24" t="str">
        <f t="shared" si="234"/>
        <v/>
      </c>
      <c r="S3905" s="24" t="str">
        <f t="shared" si="235"/>
        <v/>
      </c>
      <c r="T3905" t="str">
        <f t="shared" si="233"/>
        <v/>
      </c>
    </row>
    <row r="3906" spans="18:20">
      <c r="R3906" s="24" t="str">
        <f t="shared" si="234"/>
        <v/>
      </c>
      <c r="S3906" s="24" t="str">
        <f t="shared" si="235"/>
        <v/>
      </c>
      <c r="T3906" t="str">
        <f t="shared" si="233"/>
        <v/>
      </c>
    </row>
    <row r="3907" spans="18:20">
      <c r="R3907" s="24" t="str">
        <f t="shared" si="234"/>
        <v/>
      </c>
      <c r="S3907" s="24" t="str">
        <f t="shared" si="235"/>
        <v/>
      </c>
      <c r="T3907" t="str">
        <f t="shared" si="233"/>
        <v/>
      </c>
    </row>
    <row r="3908" spans="18:20">
      <c r="R3908" s="24" t="str">
        <f t="shared" si="234"/>
        <v/>
      </c>
      <c r="S3908" s="24" t="str">
        <f t="shared" si="235"/>
        <v/>
      </c>
      <c r="T3908" t="str">
        <f t="shared" si="233"/>
        <v/>
      </c>
    </row>
    <row r="3909" spans="18:20">
      <c r="R3909" s="24" t="str">
        <f t="shared" si="234"/>
        <v/>
      </c>
      <c r="S3909" s="24" t="str">
        <f t="shared" si="235"/>
        <v/>
      </c>
      <c r="T3909" t="str">
        <f t="shared" si="233"/>
        <v/>
      </c>
    </row>
    <row r="3910" spans="18:20">
      <c r="R3910" s="24" t="str">
        <f t="shared" si="234"/>
        <v/>
      </c>
      <c r="S3910" s="24" t="str">
        <f t="shared" si="235"/>
        <v/>
      </c>
      <c r="T3910" t="str">
        <f t="shared" si="233"/>
        <v/>
      </c>
    </row>
    <row r="3911" spans="18:20">
      <c r="R3911" s="24" t="str">
        <f t="shared" si="234"/>
        <v/>
      </c>
      <c r="S3911" s="24" t="str">
        <f t="shared" si="235"/>
        <v/>
      </c>
      <c r="T3911" t="str">
        <f t="shared" si="233"/>
        <v/>
      </c>
    </row>
    <row r="3912" spans="18:20">
      <c r="R3912" s="24" t="str">
        <f t="shared" si="234"/>
        <v/>
      </c>
      <c r="S3912" s="24" t="str">
        <f t="shared" si="235"/>
        <v/>
      </c>
      <c r="T3912" t="str">
        <f t="shared" si="233"/>
        <v/>
      </c>
    </row>
    <row r="3913" spans="18:20">
      <c r="R3913" s="24" t="str">
        <f t="shared" si="234"/>
        <v/>
      </c>
      <c r="S3913" s="24" t="str">
        <f t="shared" si="235"/>
        <v/>
      </c>
      <c r="T3913" t="str">
        <f t="shared" si="233"/>
        <v/>
      </c>
    </row>
    <row r="3914" spans="18:20">
      <c r="R3914" s="24" t="str">
        <f t="shared" si="234"/>
        <v/>
      </c>
      <c r="S3914" s="24" t="str">
        <f t="shared" si="235"/>
        <v/>
      </c>
      <c r="T3914" t="str">
        <f t="shared" si="233"/>
        <v/>
      </c>
    </row>
    <row r="3915" spans="18:20">
      <c r="R3915" s="24" t="str">
        <f t="shared" si="234"/>
        <v/>
      </c>
      <c r="S3915" s="24" t="str">
        <f t="shared" si="235"/>
        <v/>
      </c>
      <c r="T3915" t="str">
        <f t="shared" si="233"/>
        <v/>
      </c>
    </row>
    <row r="3916" spans="18:20">
      <c r="R3916" s="24" t="str">
        <f t="shared" si="234"/>
        <v/>
      </c>
      <c r="S3916" s="24" t="str">
        <f t="shared" si="235"/>
        <v/>
      </c>
      <c r="T3916" t="str">
        <f t="shared" si="233"/>
        <v/>
      </c>
    </row>
    <row r="3917" spans="18:20">
      <c r="R3917" s="24" t="str">
        <f t="shared" si="234"/>
        <v/>
      </c>
      <c r="S3917" s="24" t="str">
        <f t="shared" si="235"/>
        <v/>
      </c>
      <c r="T3917" t="str">
        <f t="shared" si="233"/>
        <v/>
      </c>
    </row>
    <row r="3918" spans="18:20">
      <c r="R3918" s="24" t="str">
        <f t="shared" si="234"/>
        <v/>
      </c>
      <c r="S3918" s="24" t="str">
        <f t="shared" si="235"/>
        <v/>
      </c>
      <c r="T3918" t="str">
        <f t="shared" si="233"/>
        <v/>
      </c>
    </row>
    <row r="3919" spans="18:20">
      <c r="R3919" s="24" t="str">
        <f t="shared" si="234"/>
        <v/>
      </c>
      <c r="S3919" s="24" t="str">
        <f t="shared" si="235"/>
        <v/>
      </c>
      <c r="T3919" t="str">
        <f t="shared" ref="T3919:T3982" si="236">IF(OR(C3919="",I3919&lt;&gt;"ENTRADA"),"",TEXT(B3919,"AAMMDD")&amp;"-"&amp;TEXT(VALUE(SUBSTITUTE(A3919,"MOV-","")),"000"))</f>
        <v/>
      </c>
    </row>
    <row r="3920" spans="18:20">
      <c r="R3920" s="24" t="str">
        <f t="shared" ref="R3920:R3983" si="237">IF(H3920="","",H3920&amp;I3920)</f>
        <v/>
      </c>
      <c r="S3920" s="24" t="str">
        <f t="shared" ref="S3920:S3983" si="238">IF(C3920="","",C3920&amp;I3920)</f>
        <v/>
      </c>
      <c r="T3920" t="str">
        <f t="shared" si="236"/>
        <v/>
      </c>
    </row>
    <row r="3921" spans="18:20">
      <c r="R3921" s="24" t="str">
        <f t="shared" si="237"/>
        <v/>
      </c>
      <c r="S3921" s="24" t="str">
        <f t="shared" si="238"/>
        <v/>
      </c>
      <c r="T3921" t="str">
        <f t="shared" si="236"/>
        <v/>
      </c>
    </row>
    <row r="3922" spans="18:20">
      <c r="R3922" s="24" t="str">
        <f t="shared" si="237"/>
        <v/>
      </c>
      <c r="S3922" s="24" t="str">
        <f t="shared" si="238"/>
        <v/>
      </c>
      <c r="T3922" t="str">
        <f t="shared" si="236"/>
        <v/>
      </c>
    </row>
    <row r="3923" spans="18:20">
      <c r="R3923" s="24" t="str">
        <f t="shared" si="237"/>
        <v/>
      </c>
      <c r="S3923" s="24" t="str">
        <f t="shared" si="238"/>
        <v/>
      </c>
      <c r="T3923" t="str">
        <f t="shared" si="236"/>
        <v/>
      </c>
    </row>
    <row r="3924" spans="18:20">
      <c r="R3924" s="24" t="str">
        <f t="shared" si="237"/>
        <v/>
      </c>
      <c r="S3924" s="24" t="str">
        <f t="shared" si="238"/>
        <v/>
      </c>
      <c r="T3924" t="str">
        <f t="shared" si="236"/>
        <v/>
      </c>
    </row>
    <row r="3925" spans="18:20">
      <c r="R3925" s="24" t="str">
        <f t="shared" si="237"/>
        <v/>
      </c>
      <c r="S3925" s="24" t="str">
        <f t="shared" si="238"/>
        <v/>
      </c>
      <c r="T3925" t="str">
        <f t="shared" si="236"/>
        <v/>
      </c>
    </row>
    <row r="3926" spans="18:20">
      <c r="R3926" s="24" t="str">
        <f t="shared" si="237"/>
        <v/>
      </c>
      <c r="S3926" s="24" t="str">
        <f t="shared" si="238"/>
        <v/>
      </c>
      <c r="T3926" t="str">
        <f t="shared" si="236"/>
        <v/>
      </c>
    </row>
    <row r="3927" spans="18:20">
      <c r="R3927" s="24" t="str">
        <f t="shared" si="237"/>
        <v/>
      </c>
      <c r="S3927" s="24" t="str">
        <f t="shared" si="238"/>
        <v/>
      </c>
      <c r="T3927" t="str">
        <f t="shared" si="236"/>
        <v/>
      </c>
    </row>
    <row r="3928" spans="18:20">
      <c r="R3928" s="24" t="str">
        <f t="shared" si="237"/>
        <v/>
      </c>
      <c r="S3928" s="24" t="str">
        <f t="shared" si="238"/>
        <v/>
      </c>
      <c r="T3928" t="str">
        <f t="shared" si="236"/>
        <v/>
      </c>
    </row>
    <row r="3929" spans="18:20">
      <c r="R3929" s="24" t="str">
        <f t="shared" si="237"/>
        <v/>
      </c>
      <c r="S3929" s="24" t="str">
        <f t="shared" si="238"/>
        <v/>
      </c>
      <c r="T3929" t="str">
        <f t="shared" si="236"/>
        <v/>
      </c>
    </row>
    <row r="3930" spans="18:20">
      <c r="R3930" s="24" t="str">
        <f t="shared" si="237"/>
        <v/>
      </c>
      <c r="S3930" s="24" t="str">
        <f t="shared" si="238"/>
        <v/>
      </c>
      <c r="T3930" t="str">
        <f t="shared" si="236"/>
        <v/>
      </c>
    </row>
    <row r="3931" spans="18:20">
      <c r="R3931" s="24" t="str">
        <f t="shared" si="237"/>
        <v/>
      </c>
      <c r="S3931" s="24" t="str">
        <f t="shared" si="238"/>
        <v/>
      </c>
      <c r="T3931" t="str">
        <f t="shared" si="236"/>
        <v/>
      </c>
    </row>
    <row r="3932" spans="18:20">
      <c r="R3932" s="24" t="str">
        <f t="shared" si="237"/>
        <v/>
      </c>
      <c r="S3932" s="24" t="str">
        <f t="shared" si="238"/>
        <v/>
      </c>
      <c r="T3932" t="str">
        <f t="shared" si="236"/>
        <v/>
      </c>
    </row>
    <row r="3933" spans="18:20">
      <c r="R3933" s="24" t="str">
        <f t="shared" si="237"/>
        <v/>
      </c>
      <c r="S3933" s="24" t="str">
        <f t="shared" si="238"/>
        <v/>
      </c>
      <c r="T3933" t="str">
        <f t="shared" si="236"/>
        <v/>
      </c>
    </row>
    <row r="3934" spans="18:20">
      <c r="R3934" s="24" t="str">
        <f t="shared" si="237"/>
        <v/>
      </c>
      <c r="S3934" s="24" t="str">
        <f t="shared" si="238"/>
        <v/>
      </c>
      <c r="T3934" t="str">
        <f t="shared" si="236"/>
        <v/>
      </c>
    </row>
    <row r="3935" spans="18:20">
      <c r="R3935" s="24" t="str">
        <f t="shared" si="237"/>
        <v/>
      </c>
      <c r="S3935" s="24" t="str">
        <f t="shared" si="238"/>
        <v/>
      </c>
      <c r="T3935" t="str">
        <f t="shared" si="236"/>
        <v/>
      </c>
    </row>
    <row r="3936" spans="18:20">
      <c r="R3936" s="24" t="str">
        <f t="shared" si="237"/>
        <v/>
      </c>
      <c r="S3936" s="24" t="str">
        <f t="shared" si="238"/>
        <v/>
      </c>
      <c r="T3936" t="str">
        <f t="shared" si="236"/>
        <v/>
      </c>
    </row>
    <row r="3937" spans="18:20">
      <c r="R3937" s="24" t="str">
        <f t="shared" si="237"/>
        <v/>
      </c>
      <c r="S3937" s="24" t="str">
        <f t="shared" si="238"/>
        <v/>
      </c>
      <c r="T3937" t="str">
        <f t="shared" si="236"/>
        <v/>
      </c>
    </row>
    <row r="3938" spans="18:20">
      <c r="R3938" s="24" t="str">
        <f t="shared" si="237"/>
        <v/>
      </c>
      <c r="S3938" s="24" t="str">
        <f t="shared" si="238"/>
        <v/>
      </c>
      <c r="T3938" t="str">
        <f t="shared" si="236"/>
        <v/>
      </c>
    </row>
    <row r="3939" spans="18:20">
      <c r="R3939" s="24" t="str">
        <f t="shared" si="237"/>
        <v/>
      </c>
      <c r="S3939" s="24" t="str">
        <f t="shared" si="238"/>
        <v/>
      </c>
      <c r="T3939" t="str">
        <f t="shared" si="236"/>
        <v/>
      </c>
    </row>
    <row r="3940" spans="18:20">
      <c r="R3940" s="24" t="str">
        <f t="shared" si="237"/>
        <v/>
      </c>
      <c r="S3940" s="24" t="str">
        <f t="shared" si="238"/>
        <v/>
      </c>
      <c r="T3940" t="str">
        <f t="shared" si="236"/>
        <v/>
      </c>
    </row>
    <row r="3941" spans="18:20">
      <c r="R3941" s="24" t="str">
        <f t="shared" si="237"/>
        <v/>
      </c>
      <c r="S3941" s="24" t="str">
        <f t="shared" si="238"/>
        <v/>
      </c>
      <c r="T3941" t="str">
        <f t="shared" si="236"/>
        <v/>
      </c>
    </row>
    <row r="3942" spans="18:20">
      <c r="R3942" s="24" t="str">
        <f t="shared" si="237"/>
        <v/>
      </c>
      <c r="S3942" s="24" t="str">
        <f t="shared" si="238"/>
        <v/>
      </c>
      <c r="T3942" t="str">
        <f t="shared" si="236"/>
        <v/>
      </c>
    </row>
    <row r="3943" spans="18:20">
      <c r="R3943" s="24" t="str">
        <f t="shared" si="237"/>
        <v/>
      </c>
      <c r="S3943" s="24" t="str">
        <f t="shared" si="238"/>
        <v/>
      </c>
      <c r="T3943" t="str">
        <f t="shared" si="236"/>
        <v/>
      </c>
    </row>
    <row r="3944" spans="18:20">
      <c r="R3944" s="24" t="str">
        <f t="shared" si="237"/>
        <v/>
      </c>
      <c r="S3944" s="24" t="str">
        <f t="shared" si="238"/>
        <v/>
      </c>
      <c r="T3944" t="str">
        <f t="shared" si="236"/>
        <v/>
      </c>
    </row>
    <row r="3945" spans="18:20">
      <c r="R3945" s="24" t="str">
        <f t="shared" si="237"/>
        <v/>
      </c>
      <c r="S3945" s="24" t="str">
        <f t="shared" si="238"/>
        <v/>
      </c>
      <c r="T3945" t="str">
        <f t="shared" si="236"/>
        <v/>
      </c>
    </row>
    <row r="3946" spans="18:20">
      <c r="R3946" s="24" t="str">
        <f t="shared" si="237"/>
        <v/>
      </c>
      <c r="S3946" s="24" t="str">
        <f t="shared" si="238"/>
        <v/>
      </c>
      <c r="T3946" t="str">
        <f t="shared" si="236"/>
        <v/>
      </c>
    </row>
    <row r="3947" spans="18:20">
      <c r="R3947" s="24" t="str">
        <f t="shared" si="237"/>
        <v/>
      </c>
      <c r="S3947" s="24" t="str">
        <f t="shared" si="238"/>
        <v/>
      </c>
      <c r="T3947" t="str">
        <f t="shared" si="236"/>
        <v/>
      </c>
    </row>
    <row r="3948" spans="18:20">
      <c r="R3948" s="24" t="str">
        <f t="shared" si="237"/>
        <v/>
      </c>
      <c r="S3948" s="24" t="str">
        <f t="shared" si="238"/>
        <v/>
      </c>
      <c r="T3948" t="str">
        <f t="shared" si="236"/>
        <v/>
      </c>
    </row>
    <row r="3949" spans="18:20">
      <c r="R3949" s="24" t="str">
        <f t="shared" si="237"/>
        <v/>
      </c>
      <c r="S3949" s="24" t="str">
        <f t="shared" si="238"/>
        <v/>
      </c>
      <c r="T3949" t="str">
        <f t="shared" si="236"/>
        <v/>
      </c>
    </row>
    <row r="3950" spans="18:20">
      <c r="R3950" s="24" t="str">
        <f t="shared" si="237"/>
        <v/>
      </c>
      <c r="S3950" s="24" t="str">
        <f t="shared" si="238"/>
        <v/>
      </c>
      <c r="T3950" t="str">
        <f t="shared" si="236"/>
        <v/>
      </c>
    </row>
    <row r="3951" spans="18:20">
      <c r="R3951" s="24" t="str">
        <f t="shared" si="237"/>
        <v/>
      </c>
      <c r="S3951" s="24" t="str">
        <f t="shared" si="238"/>
        <v/>
      </c>
      <c r="T3951" t="str">
        <f t="shared" si="236"/>
        <v/>
      </c>
    </row>
    <row r="3952" spans="18:20">
      <c r="R3952" s="24" t="str">
        <f t="shared" si="237"/>
        <v/>
      </c>
      <c r="S3952" s="24" t="str">
        <f t="shared" si="238"/>
        <v/>
      </c>
      <c r="T3952" t="str">
        <f t="shared" si="236"/>
        <v/>
      </c>
    </row>
    <row r="3953" spans="18:20">
      <c r="R3953" s="24" t="str">
        <f t="shared" si="237"/>
        <v/>
      </c>
      <c r="S3953" s="24" t="str">
        <f t="shared" si="238"/>
        <v/>
      </c>
      <c r="T3953" t="str">
        <f t="shared" si="236"/>
        <v/>
      </c>
    </row>
    <row r="3954" spans="18:20">
      <c r="R3954" s="24" t="str">
        <f t="shared" si="237"/>
        <v/>
      </c>
      <c r="S3954" s="24" t="str">
        <f t="shared" si="238"/>
        <v/>
      </c>
      <c r="T3954" t="str">
        <f t="shared" si="236"/>
        <v/>
      </c>
    </row>
    <row r="3955" spans="18:20">
      <c r="R3955" s="24" t="str">
        <f t="shared" si="237"/>
        <v/>
      </c>
      <c r="S3955" s="24" t="str">
        <f t="shared" si="238"/>
        <v/>
      </c>
      <c r="T3955" t="str">
        <f t="shared" si="236"/>
        <v/>
      </c>
    </row>
    <row r="3956" spans="18:20">
      <c r="R3956" s="24" t="str">
        <f t="shared" si="237"/>
        <v/>
      </c>
      <c r="S3956" s="24" t="str">
        <f t="shared" si="238"/>
        <v/>
      </c>
      <c r="T3956" t="str">
        <f t="shared" si="236"/>
        <v/>
      </c>
    </row>
    <row r="3957" spans="18:20">
      <c r="R3957" s="24" t="str">
        <f t="shared" si="237"/>
        <v/>
      </c>
      <c r="S3957" s="24" t="str">
        <f t="shared" si="238"/>
        <v/>
      </c>
      <c r="T3957" t="str">
        <f t="shared" si="236"/>
        <v/>
      </c>
    </row>
    <row r="3958" spans="18:20">
      <c r="R3958" s="24" t="str">
        <f t="shared" si="237"/>
        <v/>
      </c>
      <c r="S3958" s="24" t="str">
        <f t="shared" si="238"/>
        <v/>
      </c>
      <c r="T3958" t="str">
        <f t="shared" si="236"/>
        <v/>
      </c>
    </row>
    <row r="3959" spans="18:20">
      <c r="R3959" s="24" t="str">
        <f t="shared" si="237"/>
        <v/>
      </c>
      <c r="S3959" s="24" t="str">
        <f t="shared" si="238"/>
        <v/>
      </c>
      <c r="T3959" t="str">
        <f t="shared" si="236"/>
        <v/>
      </c>
    </row>
    <row r="3960" spans="18:20">
      <c r="R3960" s="24" t="str">
        <f t="shared" si="237"/>
        <v/>
      </c>
      <c r="S3960" s="24" t="str">
        <f t="shared" si="238"/>
        <v/>
      </c>
      <c r="T3960" t="str">
        <f t="shared" si="236"/>
        <v/>
      </c>
    </row>
    <row r="3961" spans="18:20">
      <c r="R3961" s="24" t="str">
        <f t="shared" si="237"/>
        <v/>
      </c>
      <c r="S3961" s="24" t="str">
        <f t="shared" si="238"/>
        <v/>
      </c>
      <c r="T3961" t="str">
        <f t="shared" si="236"/>
        <v/>
      </c>
    </row>
    <row r="3962" spans="18:20">
      <c r="R3962" s="24" t="str">
        <f t="shared" si="237"/>
        <v/>
      </c>
      <c r="S3962" s="24" t="str">
        <f t="shared" si="238"/>
        <v/>
      </c>
      <c r="T3962" t="str">
        <f t="shared" si="236"/>
        <v/>
      </c>
    </row>
    <row r="3963" spans="18:20">
      <c r="R3963" s="24" t="str">
        <f t="shared" si="237"/>
        <v/>
      </c>
      <c r="S3963" s="24" t="str">
        <f t="shared" si="238"/>
        <v/>
      </c>
      <c r="T3963" t="str">
        <f t="shared" si="236"/>
        <v/>
      </c>
    </row>
    <row r="3964" spans="18:20">
      <c r="R3964" s="24" t="str">
        <f t="shared" si="237"/>
        <v/>
      </c>
      <c r="S3964" s="24" t="str">
        <f t="shared" si="238"/>
        <v/>
      </c>
      <c r="T3964" t="str">
        <f t="shared" si="236"/>
        <v/>
      </c>
    </row>
    <row r="3965" spans="18:20">
      <c r="R3965" s="24" t="str">
        <f t="shared" si="237"/>
        <v/>
      </c>
      <c r="S3965" s="24" t="str">
        <f t="shared" si="238"/>
        <v/>
      </c>
      <c r="T3965" t="str">
        <f t="shared" si="236"/>
        <v/>
      </c>
    </row>
    <row r="3966" spans="18:20">
      <c r="R3966" s="24" t="str">
        <f t="shared" si="237"/>
        <v/>
      </c>
      <c r="S3966" s="24" t="str">
        <f t="shared" si="238"/>
        <v/>
      </c>
      <c r="T3966" t="str">
        <f t="shared" si="236"/>
        <v/>
      </c>
    </row>
    <row r="3967" spans="18:20">
      <c r="R3967" s="24" t="str">
        <f t="shared" si="237"/>
        <v/>
      </c>
      <c r="S3967" s="24" t="str">
        <f t="shared" si="238"/>
        <v/>
      </c>
      <c r="T3967" t="str">
        <f t="shared" si="236"/>
        <v/>
      </c>
    </row>
    <row r="3968" spans="18:20">
      <c r="R3968" s="24" t="str">
        <f t="shared" si="237"/>
        <v/>
      </c>
      <c r="S3968" s="24" t="str">
        <f t="shared" si="238"/>
        <v/>
      </c>
      <c r="T3968" t="str">
        <f t="shared" si="236"/>
        <v/>
      </c>
    </row>
    <row r="3969" spans="18:20">
      <c r="R3969" s="24" t="str">
        <f t="shared" si="237"/>
        <v/>
      </c>
      <c r="S3969" s="24" t="str">
        <f t="shared" si="238"/>
        <v/>
      </c>
      <c r="T3969" t="str">
        <f t="shared" si="236"/>
        <v/>
      </c>
    </row>
    <row r="3970" spans="18:20">
      <c r="R3970" s="24" t="str">
        <f t="shared" si="237"/>
        <v/>
      </c>
      <c r="S3970" s="24" t="str">
        <f t="shared" si="238"/>
        <v/>
      </c>
      <c r="T3970" t="str">
        <f t="shared" si="236"/>
        <v/>
      </c>
    </row>
    <row r="3971" spans="18:20">
      <c r="R3971" s="24" t="str">
        <f t="shared" si="237"/>
        <v/>
      </c>
      <c r="S3971" s="24" t="str">
        <f t="shared" si="238"/>
        <v/>
      </c>
      <c r="T3971" t="str">
        <f t="shared" si="236"/>
        <v/>
      </c>
    </row>
    <row r="3972" spans="18:20">
      <c r="R3972" s="24" t="str">
        <f t="shared" si="237"/>
        <v/>
      </c>
      <c r="S3972" s="24" t="str">
        <f t="shared" si="238"/>
        <v/>
      </c>
      <c r="T3972" t="str">
        <f t="shared" si="236"/>
        <v/>
      </c>
    </row>
    <row r="3973" spans="18:20">
      <c r="R3973" s="24" t="str">
        <f t="shared" si="237"/>
        <v/>
      </c>
      <c r="S3973" s="24" t="str">
        <f t="shared" si="238"/>
        <v/>
      </c>
      <c r="T3973" t="str">
        <f t="shared" si="236"/>
        <v/>
      </c>
    </row>
    <row r="3974" spans="18:20">
      <c r="R3974" s="24" t="str">
        <f t="shared" si="237"/>
        <v/>
      </c>
      <c r="S3974" s="24" t="str">
        <f t="shared" si="238"/>
        <v/>
      </c>
      <c r="T3974" t="str">
        <f t="shared" si="236"/>
        <v/>
      </c>
    </row>
    <row r="3975" spans="18:20">
      <c r="R3975" s="24" t="str">
        <f t="shared" si="237"/>
        <v/>
      </c>
      <c r="S3975" s="24" t="str">
        <f t="shared" si="238"/>
        <v/>
      </c>
      <c r="T3975" t="str">
        <f t="shared" si="236"/>
        <v/>
      </c>
    </row>
    <row r="3976" spans="18:20">
      <c r="R3976" s="24" t="str">
        <f t="shared" si="237"/>
        <v/>
      </c>
      <c r="S3976" s="24" t="str">
        <f t="shared" si="238"/>
        <v/>
      </c>
      <c r="T3976" t="str">
        <f t="shared" si="236"/>
        <v/>
      </c>
    </row>
    <row r="3977" spans="18:20">
      <c r="R3977" s="24" t="str">
        <f t="shared" si="237"/>
        <v/>
      </c>
      <c r="S3977" s="24" t="str">
        <f t="shared" si="238"/>
        <v/>
      </c>
      <c r="T3977" t="str">
        <f t="shared" si="236"/>
        <v/>
      </c>
    </row>
    <row r="3978" spans="18:20">
      <c r="R3978" s="24" t="str">
        <f t="shared" si="237"/>
        <v/>
      </c>
      <c r="S3978" s="24" t="str">
        <f t="shared" si="238"/>
        <v/>
      </c>
      <c r="T3978" t="str">
        <f t="shared" si="236"/>
        <v/>
      </c>
    </row>
    <row r="3979" spans="18:20">
      <c r="R3979" s="24" t="str">
        <f t="shared" si="237"/>
        <v/>
      </c>
      <c r="S3979" s="24" t="str">
        <f t="shared" si="238"/>
        <v/>
      </c>
      <c r="T3979" t="str">
        <f t="shared" si="236"/>
        <v/>
      </c>
    </row>
    <row r="3980" spans="18:20">
      <c r="R3980" s="24" t="str">
        <f t="shared" si="237"/>
        <v/>
      </c>
      <c r="S3980" s="24" t="str">
        <f t="shared" si="238"/>
        <v/>
      </c>
      <c r="T3980" t="str">
        <f t="shared" si="236"/>
        <v/>
      </c>
    </row>
    <row r="3981" spans="18:20">
      <c r="R3981" s="24" t="str">
        <f t="shared" si="237"/>
        <v/>
      </c>
      <c r="S3981" s="24" t="str">
        <f t="shared" si="238"/>
        <v/>
      </c>
      <c r="T3981" t="str">
        <f t="shared" si="236"/>
        <v/>
      </c>
    </row>
    <row r="3982" spans="18:20">
      <c r="R3982" s="24" t="str">
        <f t="shared" si="237"/>
        <v/>
      </c>
      <c r="S3982" s="24" t="str">
        <f t="shared" si="238"/>
        <v/>
      </c>
      <c r="T3982" t="str">
        <f t="shared" si="236"/>
        <v/>
      </c>
    </row>
    <row r="3983" spans="18:20">
      <c r="R3983" s="24" t="str">
        <f t="shared" si="237"/>
        <v/>
      </c>
      <c r="S3983" s="24" t="str">
        <f t="shared" si="238"/>
        <v/>
      </c>
      <c r="T3983" t="str">
        <f t="shared" ref="T3983:T4046" si="239">IF(OR(C3983="",I3983&lt;&gt;"ENTRADA"),"",TEXT(B3983,"AAMMDD")&amp;"-"&amp;TEXT(VALUE(SUBSTITUTE(A3983,"MOV-","")),"000"))</f>
        <v/>
      </c>
    </row>
    <row r="3984" spans="18:20">
      <c r="R3984" s="24" t="str">
        <f t="shared" ref="R3984:R4047" si="240">IF(H3984="","",H3984&amp;I3984)</f>
        <v/>
      </c>
      <c r="S3984" s="24" t="str">
        <f t="shared" ref="S3984:S4047" si="241">IF(C3984="","",C3984&amp;I3984)</f>
        <v/>
      </c>
      <c r="T3984" t="str">
        <f t="shared" si="239"/>
        <v/>
      </c>
    </row>
    <row r="3985" spans="18:20">
      <c r="R3985" s="24" t="str">
        <f t="shared" si="240"/>
        <v/>
      </c>
      <c r="S3985" s="24" t="str">
        <f t="shared" si="241"/>
        <v/>
      </c>
      <c r="T3985" t="str">
        <f t="shared" si="239"/>
        <v/>
      </c>
    </row>
    <row r="3986" spans="18:20">
      <c r="R3986" s="24" t="str">
        <f t="shared" si="240"/>
        <v/>
      </c>
      <c r="S3986" s="24" t="str">
        <f t="shared" si="241"/>
        <v/>
      </c>
      <c r="T3986" t="str">
        <f t="shared" si="239"/>
        <v/>
      </c>
    </row>
    <row r="3987" spans="18:20">
      <c r="R3987" s="24" t="str">
        <f t="shared" si="240"/>
        <v/>
      </c>
      <c r="S3987" s="24" t="str">
        <f t="shared" si="241"/>
        <v/>
      </c>
      <c r="T3987" t="str">
        <f t="shared" si="239"/>
        <v/>
      </c>
    </row>
    <row r="3988" spans="18:20">
      <c r="R3988" s="24" t="str">
        <f t="shared" si="240"/>
        <v/>
      </c>
      <c r="S3988" s="24" t="str">
        <f t="shared" si="241"/>
        <v/>
      </c>
      <c r="T3988" t="str">
        <f t="shared" si="239"/>
        <v/>
      </c>
    </row>
    <row r="3989" spans="18:20">
      <c r="R3989" s="24" t="str">
        <f t="shared" si="240"/>
        <v/>
      </c>
      <c r="S3989" s="24" t="str">
        <f t="shared" si="241"/>
        <v/>
      </c>
      <c r="T3989" t="str">
        <f t="shared" si="239"/>
        <v/>
      </c>
    </row>
    <row r="3990" spans="18:20">
      <c r="R3990" s="24" t="str">
        <f t="shared" si="240"/>
        <v/>
      </c>
      <c r="S3990" s="24" t="str">
        <f t="shared" si="241"/>
        <v/>
      </c>
      <c r="T3990" t="str">
        <f t="shared" si="239"/>
        <v/>
      </c>
    </row>
    <row r="3991" spans="18:20">
      <c r="R3991" s="24" t="str">
        <f t="shared" si="240"/>
        <v/>
      </c>
      <c r="S3991" s="24" t="str">
        <f t="shared" si="241"/>
        <v/>
      </c>
      <c r="T3991" t="str">
        <f t="shared" si="239"/>
        <v/>
      </c>
    </row>
    <row r="3992" spans="18:20">
      <c r="R3992" s="24" t="str">
        <f t="shared" si="240"/>
        <v/>
      </c>
      <c r="S3992" s="24" t="str">
        <f t="shared" si="241"/>
        <v/>
      </c>
      <c r="T3992" t="str">
        <f t="shared" si="239"/>
        <v/>
      </c>
    </row>
    <row r="3993" spans="18:20">
      <c r="R3993" s="24" t="str">
        <f t="shared" si="240"/>
        <v/>
      </c>
      <c r="S3993" s="24" t="str">
        <f t="shared" si="241"/>
        <v/>
      </c>
      <c r="T3993" t="str">
        <f t="shared" si="239"/>
        <v/>
      </c>
    </row>
    <row r="3994" spans="18:20">
      <c r="R3994" s="24" t="str">
        <f t="shared" si="240"/>
        <v/>
      </c>
      <c r="S3994" s="24" t="str">
        <f t="shared" si="241"/>
        <v/>
      </c>
      <c r="T3994" t="str">
        <f t="shared" si="239"/>
        <v/>
      </c>
    </row>
    <row r="3995" spans="18:20">
      <c r="R3995" s="24" t="str">
        <f t="shared" si="240"/>
        <v/>
      </c>
      <c r="S3995" s="24" t="str">
        <f t="shared" si="241"/>
        <v/>
      </c>
      <c r="T3995" t="str">
        <f t="shared" si="239"/>
        <v/>
      </c>
    </row>
    <row r="3996" spans="18:20">
      <c r="R3996" s="24" t="str">
        <f t="shared" si="240"/>
        <v/>
      </c>
      <c r="S3996" s="24" t="str">
        <f t="shared" si="241"/>
        <v/>
      </c>
      <c r="T3996" t="str">
        <f t="shared" si="239"/>
        <v/>
      </c>
    </row>
    <row r="3997" spans="18:20">
      <c r="R3997" s="24" t="str">
        <f t="shared" si="240"/>
        <v/>
      </c>
      <c r="S3997" s="24" t="str">
        <f t="shared" si="241"/>
        <v/>
      </c>
      <c r="T3997" t="str">
        <f t="shared" si="239"/>
        <v/>
      </c>
    </row>
    <row r="3998" spans="18:20">
      <c r="R3998" s="24" t="str">
        <f t="shared" si="240"/>
        <v/>
      </c>
      <c r="S3998" s="24" t="str">
        <f t="shared" si="241"/>
        <v/>
      </c>
      <c r="T3998" t="str">
        <f t="shared" si="239"/>
        <v/>
      </c>
    </row>
    <row r="3999" spans="18:20">
      <c r="R3999" s="24" t="str">
        <f t="shared" si="240"/>
        <v/>
      </c>
      <c r="S3999" s="24" t="str">
        <f t="shared" si="241"/>
        <v/>
      </c>
      <c r="T3999" t="str">
        <f t="shared" si="239"/>
        <v/>
      </c>
    </row>
    <row r="4000" spans="18:20">
      <c r="R4000" s="24" t="str">
        <f t="shared" si="240"/>
        <v/>
      </c>
      <c r="S4000" s="24" t="str">
        <f t="shared" si="241"/>
        <v/>
      </c>
      <c r="T4000" t="str">
        <f t="shared" si="239"/>
        <v/>
      </c>
    </row>
    <row r="4001" spans="18:20">
      <c r="R4001" s="24" t="str">
        <f t="shared" si="240"/>
        <v/>
      </c>
      <c r="S4001" s="24" t="str">
        <f t="shared" si="241"/>
        <v/>
      </c>
      <c r="T4001" t="str">
        <f t="shared" si="239"/>
        <v/>
      </c>
    </row>
    <row r="4002" spans="18:20">
      <c r="R4002" s="24" t="str">
        <f t="shared" si="240"/>
        <v/>
      </c>
      <c r="S4002" s="24" t="str">
        <f t="shared" si="241"/>
        <v/>
      </c>
      <c r="T4002" t="str">
        <f t="shared" si="239"/>
        <v/>
      </c>
    </row>
    <row r="4003" spans="18:20">
      <c r="R4003" s="24" t="str">
        <f t="shared" si="240"/>
        <v/>
      </c>
      <c r="S4003" s="24" t="str">
        <f t="shared" si="241"/>
        <v/>
      </c>
      <c r="T4003" t="str">
        <f t="shared" si="239"/>
        <v/>
      </c>
    </row>
    <row r="4004" spans="18:20">
      <c r="R4004" s="24" t="str">
        <f t="shared" si="240"/>
        <v/>
      </c>
      <c r="S4004" s="24" t="str">
        <f t="shared" si="241"/>
        <v/>
      </c>
      <c r="T4004" t="str">
        <f t="shared" si="239"/>
        <v/>
      </c>
    </row>
    <row r="4005" spans="18:20">
      <c r="R4005" s="24" t="str">
        <f t="shared" si="240"/>
        <v/>
      </c>
      <c r="S4005" s="24" t="str">
        <f t="shared" si="241"/>
        <v/>
      </c>
      <c r="T4005" t="str">
        <f t="shared" si="239"/>
        <v/>
      </c>
    </row>
    <row r="4006" spans="18:20">
      <c r="R4006" s="24" t="str">
        <f t="shared" si="240"/>
        <v/>
      </c>
      <c r="S4006" s="24" t="str">
        <f t="shared" si="241"/>
        <v/>
      </c>
      <c r="T4006" t="str">
        <f t="shared" si="239"/>
        <v/>
      </c>
    </row>
    <row r="4007" spans="18:20">
      <c r="R4007" s="24" t="str">
        <f t="shared" si="240"/>
        <v/>
      </c>
      <c r="S4007" s="24" t="str">
        <f t="shared" si="241"/>
        <v/>
      </c>
      <c r="T4007" t="str">
        <f t="shared" si="239"/>
        <v/>
      </c>
    </row>
    <row r="4008" spans="18:20">
      <c r="R4008" s="24" t="str">
        <f t="shared" si="240"/>
        <v/>
      </c>
      <c r="S4008" s="24" t="str">
        <f t="shared" si="241"/>
        <v/>
      </c>
      <c r="T4008" t="str">
        <f t="shared" si="239"/>
        <v/>
      </c>
    </row>
    <row r="4009" spans="18:20">
      <c r="R4009" s="24" t="str">
        <f t="shared" si="240"/>
        <v/>
      </c>
      <c r="S4009" s="24" t="str">
        <f t="shared" si="241"/>
        <v/>
      </c>
      <c r="T4009" t="str">
        <f t="shared" si="239"/>
        <v/>
      </c>
    </row>
    <row r="4010" spans="18:20">
      <c r="R4010" s="24" t="str">
        <f t="shared" si="240"/>
        <v/>
      </c>
      <c r="S4010" s="24" t="str">
        <f t="shared" si="241"/>
        <v/>
      </c>
      <c r="T4010" t="str">
        <f t="shared" si="239"/>
        <v/>
      </c>
    </row>
    <row r="4011" spans="18:20">
      <c r="R4011" s="24" t="str">
        <f t="shared" si="240"/>
        <v/>
      </c>
      <c r="S4011" s="24" t="str">
        <f t="shared" si="241"/>
        <v/>
      </c>
      <c r="T4011" t="str">
        <f t="shared" si="239"/>
        <v/>
      </c>
    </row>
    <row r="4012" spans="18:20">
      <c r="R4012" s="24" t="str">
        <f t="shared" si="240"/>
        <v/>
      </c>
      <c r="S4012" s="24" t="str">
        <f t="shared" si="241"/>
        <v/>
      </c>
      <c r="T4012" t="str">
        <f t="shared" si="239"/>
        <v/>
      </c>
    </row>
    <row r="4013" spans="18:20">
      <c r="R4013" s="24" t="str">
        <f t="shared" si="240"/>
        <v/>
      </c>
      <c r="S4013" s="24" t="str">
        <f t="shared" si="241"/>
        <v/>
      </c>
      <c r="T4013" t="str">
        <f t="shared" si="239"/>
        <v/>
      </c>
    </row>
    <row r="4014" spans="18:20">
      <c r="R4014" s="24" t="str">
        <f t="shared" si="240"/>
        <v/>
      </c>
      <c r="S4014" s="24" t="str">
        <f t="shared" si="241"/>
        <v/>
      </c>
      <c r="T4014" t="str">
        <f t="shared" si="239"/>
        <v/>
      </c>
    </row>
    <row r="4015" spans="18:20">
      <c r="R4015" s="24" t="str">
        <f t="shared" si="240"/>
        <v/>
      </c>
      <c r="S4015" s="24" t="str">
        <f t="shared" si="241"/>
        <v/>
      </c>
      <c r="T4015" t="str">
        <f t="shared" si="239"/>
        <v/>
      </c>
    </row>
    <row r="4016" spans="18:20">
      <c r="R4016" s="24" t="str">
        <f t="shared" si="240"/>
        <v/>
      </c>
      <c r="S4016" s="24" t="str">
        <f t="shared" si="241"/>
        <v/>
      </c>
      <c r="T4016" t="str">
        <f t="shared" si="239"/>
        <v/>
      </c>
    </row>
    <row r="4017" spans="18:20">
      <c r="R4017" s="24" t="str">
        <f t="shared" si="240"/>
        <v/>
      </c>
      <c r="S4017" s="24" t="str">
        <f t="shared" si="241"/>
        <v/>
      </c>
      <c r="T4017" t="str">
        <f t="shared" si="239"/>
        <v/>
      </c>
    </row>
    <row r="4018" spans="18:20">
      <c r="R4018" s="24" t="str">
        <f t="shared" si="240"/>
        <v/>
      </c>
      <c r="S4018" s="24" t="str">
        <f t="shared" si="241"/>
        <v/>
      </c>
      <c r="T4018" t="str">
        <f t="shared" si="239"/>
        <v/>
      </c>
    </row>
    <row r="4019" spans="18:20">
      <c r="R4019" s="24" t="str">
        <f t="shared" si="240"/>
        <v/>
      </c>
      <c r="S4019" s="24" t="str">
        <f t="shared" si="241"/>
        <v/>
      </c>
      <c r="T4019" t="str">
        <f t="shared" si="239"/>
        <v/>
      </c>
    </row>
    <row r="4020" spans="18:20">
      <c r="R4020" s="24" t="str">
        <f t="shared" si="240"/>
        <v/>
      </c>
      <c r="S4020" s="24" t="str">
        <f t="shared" si="241"/>
        <v/>
      </c>
      <c r="T4020" t="str">
        <f t="shared" si="239"/>
        <v/>
      </c>
    </row>
    <row r="4021" spans="18:20">
      <c r="R4021" s="24" t="str">
        <f t="shared" si="240"/>
        <v/>
      </c>
      <c r="S4021" s="24" t="str">
        <f t="shared" si="241"/>
        <v/>
      </c>
      <c r="T4021" t="str">
        <f t="shared" si="239"/>
        <v/>
      </c>
    </row>
    <row r="4022" spans="18:20">
      <c r="R4022" s="24" t="str">
        <f t="shared" si="240"/>
        <v/>
      </c>
      <c r="S4022" s="24" t="str">
        <f t="shared" si="241"/>
        <v/>
      </c>
      <c r="T4022" t="str">
        <f t="shared" si="239"/>
        <v/>
      </c>
    </row>
    <row r="4023" spans="18:20">
      <c r="R4023" s="24" t="str">
        <f t="shared" si="240"/>
        <v/>
      </c>
      <c r="S4023" s="24" t="str">
        <f t="shared" si="241"/>
        <v/>
      </c>
      <c r="T4023" t="str">
        <f t="shared" si="239"/>
        <v/>
      </c>
    </row>
    <row r="4024" spans="18:20">
      <c r="R4024" s="24" t="str">
        <f t="shared" si="240"/>
        <v/>
      </c>
      <c r="S4024" s="24" t="str">
        <f t="shared" si="241"/>
        <v/>
      </c>
      <c r="T4024" t="str">
        <f t="shared" si="239"/>
        <v/>
      </c>
    </row>
    <row r="4025" spans="18:20">
      <c r="R4025" s="24" t="str">
        <f t="shared" si="240"/>
        <v/>
      </c>
      <c r="S4025" s="24" t="str">
        <f t="shared" si="241"/>
        <v/>
      </c>
      <c r="T4025" t="str">
        <f t="shared" si="239"/>
        <v/>
      </c>
    </row>
    <row r="4026" spans="18:20">
      <c r="R4026" s="24" t="str">
        <f t="shared" si="240"/>
        <v/>
      </c>
      <c r="S4026" s="24" t="str">
        <f t="shared" si="241"/>
        <v/>
      </c>
      <c r="T4026" t="str">
        <f t="shared" si="239"/>
        <v/>
      </c>
    </row>
    <row r="4027" spans="18:20">
      <c r="R4027" s="24" t="str">
        <f t="shared" si="240"/>
        <v/>
      </c>
      <c r="S4027" s="24" t="str">
        <f t="shared" si="241"/>
        <v/>
      </c>
      <c r="T4027" t="str">
        <f t="shared" si="239"/>
        <v/>
      </c>
    </row>
    <row r="4028" spans="18:20">
      <c r="R4028" s="24" t="str">
        <f t="shared" si="240"/>
        <v/>
      </c>
      <c r="S4028" s="24" t="str">
        <f t="shared" si="241"/>
        <v/>
      </c>
      <c r="T4028" t="str">
        <f t="shared" si="239"/>
        <v/>
      </c>
    </row>
    <row r="4029" spans="18:20">
      <c r="R4029" s="24" t="str">
        <f t="shared" si="240"/>
        <v/>
      </c>
      <c r="S4029" s="24" t="str">
        <f t="shared" si="241"/>
        <v/>
      </c>
      <c r="T4029" t="str">
        <f t="shared" si="239"/>
        <v/>
      </c>
    </row>
    <row r="4030" spans="18:20">
      <c r="R4030" s="24" t="str">
        <f t="shared" si="240"/>
        <v/>
      </c>
      <c r="S4030" s="24" t="str">
        <f t="shared" si="241"/>
        <v/>
      </c>
      <c r="T4030" t="str">
        <f t="shared" si="239"/>
        <v/>
      </c>
    </row>
    <row r="4031" spans="18:20">
      <c r="R4031" s="24" t="str">
        <f t="shared" si="240"/>
        <v/>
      </c>
      <c r="S4031" s="24" t="str">
        <f t="shared" si="241"/>
        <v/>
      </c>
      <c r="T4031" t="str">
        <f t="shared" si="239"/>
        <v/>
      </c>
    </row>
    <row r="4032" spans="18:20">
      <c r="R4032" s="24" t="str">
        <f t="shared" si="240"/>
        <v/>
      </c>
      <c r="S4032" s="24" t="str">
        <f t="shared" si="241"/>
        <v/>
      </c>
      <c r="T4032" t="str">
        <f t="shared" si="239"/>
        <v/>
      </c>
    </row>
    <row r="4033" spans="18:20">
      <c r="R4033" s="24" t="str">
        <f t="shared" si="240"/>
        <v/>
      </c>
      <c r="S4033" s="24" t="str">
        <f t="shared" si="241"/>
        <v/>
      </c>
      <c r="T4033" t="str">
        <f t="shared" si="239"/>
        <v/>
      </c>
    </row>
    <row r="4034" spans="18:20">
      <c r="R4034" s="24" t="str">
        <f t="shared" si="240"/>
        <v/>
      </c>
      <c r="S4034" s="24" t="str">
        <f t="shared" si="241"/>
        <v/>
      </c>
      <c r="T4034" t="str">
        <f t="shared" si="239"/>
        <v/>
      </c>
    </row>
    <row r="4035" spans="18:20">
      <c r="R4035" s="24" t="str">
        <f t="shared" si="240"/>
        <v/>
      </c>
      <c r="S4035" s="24" t="str">
        <f t="shared" si="241"/>
        <v/>
      </c>
      <c r="T4035" t="str">
        <f t="shared" si="239"/>
        <v/>
      </c>
    </row>
    <row r="4036" spans="18:20">
      <c r="R4036" s="24" t="str">
        <f t="shared" si="240"/>
        <v/>
      </c>
      <c r="S4036" s="24" t="str">
        <f t="shared" si="241"/>
        <v/>
      </c>
      <c r="T4036" t="str">
        <f t="shared" si="239"/>
        <v/>
      </c>
    </row>
    <row r="4037" spans="18:20">
      <c r="R4037" s="24" t="str">
        <f t="shared" si="240"/>
        <v/>
      </c>
      <c r="S4037" s="24" t="str">
        <f t="shared" si="241"/>
        <v/>
      </c>
      <c r="T4037" t="str">
        <f t="shared" si="239"/>
        <v/>
      </c>
    </row>
    <row r="4038" spans="18:20">
      <c r="R4038" s="24" t="str">
        <f t="shared" si="240"/>
        <v/>
      </c>
      <c r="S4038" s="24" t="str">
        <f t="shared" si="241"/>
        <v/>
      </c>
      <c r="T4038" t="str">
        <f t="shared" si="239"/>
        <v/>
      </c>
    </row>
    <row r="4039" spans="18:20">
      <c r="R4039" s="24" t="str">
        <f t="shared" si="240"/>
        <v/>
      </c>
      <c r="S4039" s="24" t="str">
        <f t="shared" si="241"/>
        <v/>
      </c>
      <c r="T4039" t="str">
        <f t="shared" si="239"/>
        <v/>
      </c>
    </row>
    <row r="4040" spans="18:20">
      <c r="R4040" s="24" t="str">
        <f t="shared" si="240"/>
        <v/>
      </c>
      <c r="S4040" s="24" t="str">
        <f t="shared" si="241"/>
        <v/>
      </c>
      <c r="T4040" t="str">
        <f t="shared" si="239"/>
        <v/>
      </c>
    </row>
    <row r="4041" spans="18:20">
      <c r="R4041" s="24" t="str">
        <f t="shared" si="240"/>
        <v/>
      </c>
      <c r="S4041" s="24" t="str">
        <f t="shared" si="241"/>
        <v/>
      </c>
      <c r="T4041" t="str">
        <f t="shared" si="239"/>
        <v/>
      </c>
    </row>
    <row r="4042" spans="18:20">
      <c r="R4042" s="24" t="str">
        <f t="shared" si="240"/>
        <v/>
      </c>
      <c r="S4042" s="24" t="str">
        <f t="shared" si="241"/>
        <v/>
      </c>
      <c r="T4042" t="str">
        <f t="shared" si="239"/>
        <v/>
      </c>
    </row>
    <row r="4043" spans="18:20">
      <c r="R4043" s="24" t="str">
        <f t="shared" si="240"/>
        <v/>
      </c>
      <c r="S4043" s="24" t="str">
        <f t="shared" si="241"/>
        <v/>
      </c>
      <c r="T4043" t="str">
        <f t="shared" si="239"/>
        <v/>
      </c>
    </row>
    <row r="4044" spans="18:20">
      <c r="R4044" s="24" t="str">
        <f t="shared" si="240"/>
        <v/>
      </c>
      <c r="S4044" s="24" t="str">
        <f t="shared" si="241"/>
        <v/>
      </c>
      <c r="T4044" t="str">
        <f t="shared" si="239"/>
        <v/>
      </c>
    </row>
    <row r="4045" spans="18:20">
      <c r="R4045" s="24" t="str">
        <f t="shared" si="240"/>
        <v/>
      </c>
      <c r="S4045" s="24" t="str">
        <f t="shared" si="241"/>
        <v/>
      </c>
      <c r="T4045" t="str">
        <f t="shared" si="239"/>
        <v/>
      </c>
    </row>
    <row r="4046" spans="18:20">
      <c r="R4046" s="24" t="str">
        <f t="shared" si="240"/>
        <v/>
      </c>
      <c r="S4046" s="24" t="str">
        <f t="shared" si="241"/>
        <v/>
      </c>
      <c r="T4046" t="str">
        <f t="shared" si="239"/>
        <v/>
      </c>
    </row>
    <row r="4047" spans="18:20">
      <c r="R4047" s="24" t="str">
        <f t="shared" si="240"/>
        <v/>
      </c>
      <c r="S4047" s="24" t="str">
        <f t="shared" si="241"/>
        <v/>
      </c>
      <c r="T4047" t="str">
        <f t="shared" ref="T4047:T4110" si="242">IF(OR(C4047="",I4047&lt;&gt;"ENTRADA"),"",TEXT(B4047,"AAMMDD")&amp;"-"&amp;TEXT(VALUE(SUBSTITUTE(A4047,"MOV-","")),"000"))</f>
        <v/>
      </c>
    </row>
    <row r="4048" spans="18:20">
      <c r="R4048" s="24" t="str">
        <f t="shared" ref="R4048:R4111" si="243">IF(H4048="","",H4048&amp;I4048)</f>
        <v/>
      </c>
      <c r="S4048" s="24" t="str">
        <f t="shared" ref="S4048:S4111" si="244">IF(C4048="","",C4048&amp;I4048)</f>
        <v/>
      </c>
      <c r="T4048" t="str">
        <f t="shared" si="242"/>
        <v/>
      </c>
    </row>
    <row r="4049" spans="18:20">
      <c r="R4049" s="24" t="str">
        <f t="shared" si="243"/>
        <v/>
      </c>
      <c r="S4049" s="24" t="str">
        <f t="shared" si="244"/>
        <v/>
      </c>
      <c r="T4049" t="str">
        <f t="shared" si="242"/>
        <v/>
      </c>
    </row>
    <row r="4050" spans="18:20">
      <c r="R4050" s="24" t="str">
        <f t="shared" si="243"/>
        <v/>
      </c>
      <c r="S4050" s="24" t="str">
        <f t="shared" si="244"/>
        <v/>
      </c>
      <c r="T4050" t="str">
        <f t="shared" si="242"/>
        <v/>
      </c>
    </row>
    <row r="4051" spans="18:20">
      <c r="R4051" s="24" t="str">
        <f t="shared" si="243"/>
        <v/>
      </c>
      <c r="S4051" s="24" t="str">
        <f t="shared" si="244"/>
        <v/>
      </c>
      <c r="T4051" t="str">
        <f t="shared" si="242"/>
        <v/>
      </c>
    </row>
    <row r="4052" spans="18:20">
      <c r="R4052" s="24" t="str">
        <f t="shared" si="243"/>
        <v/>
      </c>
      <c r="S4052" s="24" t="str">
        <f t="shared" si="244"/>
        <v/>
      </c>
      <c r="T4052" t="str">
        <f t="shared" si="242"/>
        <v/>
      </c>
    </row>
    <row r="4053" spans="18:20">
      <c r="R4053" s="24" t="str">
        <f t="shared" si="243"/>
        <v/>
      </c>
      <c r="S4053" s="24" t="str">
        <f t="shared" si="244"/>
        <v/>
      </c>
      <c r="T4053" t="str">
        <f t="shared" si="242"/>
        <v/>
      </c>
    </row>
    <row r="4054" spans="18:20">
      <c r="R4054" s="24" t="str">
        <f t="shared" si="243"/>
        <v/>
      </c>
      <c r="S4054" s="24" t="str">
        <f t="shared" si="244"/>
        <v/>
      </c>
      <c r="T4054" t="str">
        <f t="shared" si="242"/>
        <v/>
      </c>
    </row>
    <row r="4055" spans="18:20">
      <c r="R4055" s="24" t="str">
        <f t="shared" si="243"/>
        <v/>
      </c>
      <c r="S4055" s="24" t="str">
        <f t="shared" si="244"/>
        <v/>
      </c>
      <c r="T4055" t="str">
        <f t="shared" si="242"/>
        <v/>
      </c>
    </row>
    <row r="4056" spans="18:20">
      <c r="R4056" s="24" t="str">
        <f t="shared" si="243"/>
        <v/>
      </c>
      <c r="S4056" s="24" t="str">
        <f t="shared" si="244"/>
        <v/>
      </c>
      <c r="T4056" t="str">
        <f t="shared" si="242"/>
        <v/>
      </c>
    </row>
    <row r="4057" spans="18:20">
      <c r="R4057" s="24" t="str">
        <f t="shared" si="243"/>
        <v/>
      </c>
      <c r="S4057" s="24" t="str">
        <f t="shared" si="244"/>
        <v/>
      </c>
      <c r="T4057" t="str">
        <f t="shared" si="242"/>
        <v/>
      </c>
    </row>
    <row r="4058" spans="18:20">
      <c r="R4058" s="24" t="str">
        <f t="shared" si="243"/>
        <v/>
      </c>
      <c r="S4058" s="24" t="str">
        <f t="shared" si="244"/>
        <v/>
      </c>
      <c r="T4058" t="str">
        <f t="shared" si="242"/>
        <v/>
      </c>
    </row>
    <row r="4059" spans="18:20">
      <c r="R4059" s="24" t="str">
        <f t="shared" si="243"/>
        <v/>
      </c>
      <c r="S4059" s="24" t="str">
        <f t="shared" si="244"/>
        <v/>
      </c>
      <c r="T4059" t="str">
        <f t="shared" si="242"/>
        <v/>
      </c>
    </row>
    <row r="4060" spans="18:20">
      <c r="R4060" s="24" t="str">
        <f t="shared" si="243"/>
        <v/>
      </c>
      <c r="S4060" s="24" t="str">
        <f t="shared" si="244"/>
        <v/>
      </c>
      <c r="T4060" t="str">
        <f t="shared" si="242"/>
        <v/>
      </c>
    </row>
    <row r="4061" spans="18:20">
      <c r="R4061" s="24" t="str">
        <f t="shared" si="243"/>
        <v/>
      </c>
      <c r="S4061" s="24" t="str">
        <f t="shared" si="244"/>
        <v/>
      </c>
      <c r="T4061" t="str">
        <f t="shared" si="242"/>
        <v/>
      </c>
    </row>
    <row r="4062" spans="18:20">
      <c r="R4062" s="24" t="str">
        <f t="shared" si="243"/>
        <v/>
      </c>
      <c r="S4062" s="24" t="str">
        <f t="shared" si="244"/>
        <v/>
      </c>
      <c r="T4062" t="str">
        <f t="shared" si="242"/>
        <v/>
      </c>
    </row>
    <row r="4063" spans="18:20">
      <c r="R4063" s="24" t="str">
        <f t="shared" si="243"/>
        <v/>
      </c>
      <c r="S4063" s="24" t="str">
        <f t="shared" si="244"/>
        <v/>
      </c>
      <c r="T4063" t="str">
        <f t="shared" si="242"/>
        <v/>
      </c>
    </row>
    <row r="4064" spans="18:20">
      <c r="R4064" s="24" t="str">
        <f t="shared" si="243"/>
        <v/>
      </c>
      <c r="S4064" s="24" t="str">
        <f t="shared" si="244"/>
        <v/>
      </c>
      <c r="T4064" t="str">
        <f t="shared" si="242"/>
        <v/>
      </c>
    </row>
    <row r="4065" spans="18:20">
      <c r="R4065" s="24" t="str">
        <f t="shared" si="243"/>
        <v/>
      </c>
      <c r="S4065" s="24" t="str">
        <f t="shared" si="244"/>
        <v/>
      </c>
      <c r="T4065" t="str">
        <f t="shared" si="242"/>
        <v/>
      </c>
    </row>
    <row r="4066" spans="18:20">
      <c r="R4066" s="24" t="str">
        <f t="shared" si="243"/>
        <v/>
      </c>
      <c r="S4066" s="24" t="str">
        <f t="shared" si="244"/>
        <v/>
      </c>
      <c r="T4066" t="str">
        <f t="shared" si="242"/>
        <v/>
      </c>
    </row>
    <row r="4067" spans="18:20">
      <c r="R4067" s="24" t="str">
        <f t="shared" si="243"/>
        <v/>
      </c>
      <c r="S4067" s="24" t="str">
        <f t="shared" si="244"/>
        <v/>
      </c>
      <c r="T4067" t="str">
        <f t="shared" si="242"/>
        <v/>
      </c>
    </row>
    <row r="4068" spans="18:20">
      <c r="R4068" s="24" t="str">
        <f t="shared" si="243"/>
        <v/>
      </c>
      <c r="S4068" s="24" t="str">
        <f t="shared" si="244"/>
        <v/>
      </c>
      <c r="T4068" t="str">
        <f t="shared" si="242"/>
        <v/>
      </c>
    </row>
    <row r="4069" spans="18:20">
      <c r="R4069" s="24" t="str">
        <f t="shared" si="243"/>
        <v/>
      </c>
      <c r="S4069" s="24" t="str">
        <f t="shared" si="244"/>
        <v/>
      </c>
      <c r="T4069" t="str">
        <f t="shared" si="242"/>
        <v/>
      </c>
    </row>
    <row r="4070" spans="18:20">
      <c r="R4070" s="24" t="str">
        <f t="shared" si="243"/>
        <v/>
      </c>
      <c r="S4070" s="24" t="str">
        <f t="shared" si="244"/>
        <v/>
      </c>
      <c r="T4070" t="str">
        <f t="shared" si="242"/>
        <v/>
      </c>
    </row>
    <row r="4071" spans="18:20">
      <c r="R4071" s="24" t="str">
        <f t="shared" si="243"/>
        <v/>
      </c>
      <c r="S4071" s="24" t="str">
        <f t="shared" si="244"/>
        <v/>
      </c>
      <c r="T4071" t="str">
        <f t="shared" si="242"/>
        <v/>
      </c>
    </row>
    <row r="4072" spans="18:20">
      <c r="R4072" s="24" t="str">
        <f t="shared" si="243"/>
        <v/>
      </c>
      <c r="S4072" s="24" t="str">
        <f t="shared" si="244"/>
        <v/>
      </c>
      <c r="T4072" t="str">
        <f t="shared" si="242"/>
        <v/>
      </c>
    </row>
    <row r="4073" spans="18:20">
      <c r="R4073" s="24" t="str">
        <f t="shared" si="243"/>
        <v/>
      </c>
      <c r="S4073" s="24" t="str">
        <f t="shared" si="244"/>
        <v/>
      </c>
      <c r="T4073" t="str">
        <f t="shared" si="242"/>
        <v/>
      </c>
    </row>
    <row r="4074" spans="18:20">
      <c r="R4074" s="24" t="str">
        <f t="shared" si="243"/>
        <v/>
      </c>
      <c r="S4074" s="24" t="str">
        <f t="shared" si="244"/>
        <v/>
      </c>
      <c r="T4074" t="str">
        <f t="shared" si="242"/>
        <v/>
      </c>
    </row>
    <row r="4075" spans="18:20">
      <c r="R4075" s="24" t="str">
        <f t="shared" si="243"/>
        <v/>
      </c>
      <c r="S4075" s="24" t="str">
        <f t="shared" si="244"/>
        <v/>
      </c>
      <c r="T4075" t="str">
        <f t="shared" si="242"/>
        <v/>
      </c>
    </row>
    <row r="4076" spans="18:20">
      <c r="R4076" s="24" t="str">
        <f t="shared" si="243"/>
        <v/>
      </c>
      <c r="S4076" s="24" t="str">
        <f t="shared" si="244"/>
        <v/>
      </c>
      <c r="T4076" t="str">
        <f t="shared" si="242"/>
        <v/>
      </c>
    </row>
    <row r="4077" spans="18:20">
      <c r="R4077" s="24" t="str">
        <f t="shared" si="243"/>
        <v/>
      </c>
      <c r="S4077" s="24" t="str">
        <f t="shared" si="244"/>
        <v/>
      </c>
      <c r="T4077" t="str">
        <f t="shared" si="242"/>
        <v/>
      </c>
    </row>
    <row r="4078" spans="18:20">
      <c r="R4078" s="24" t="str">
        <f t="shared" si="243"/>
        <v/>
      </c>
      <c r="S4078" s="24" t="str">
        <f t="shared" si="244"/>
        <v/>
      </c>
      <c r="T4078" t="str">
        <f t="shared" si="242"/>
        <v/>
      </c>
    </row>
    <row r="4079" spans="18:20">
      <c r="R4079" s="24" t="str">
        <f t="shared" si="243"/>
        <v/>
      </c>
      <c r="S4079" s="24" t="str">
        <f t="shared" si="244"/>
        <v/>
      </c>
      <c r="T4079" t="str">
        <f t="shared" si="242"/>
        <v/>
      </c>
    </row>
    <row r="4080" spans="18:20">
      <c r="R4080" s="24" t="str">
        <f t="shared" si="243"/>
        <v/>
      </c>
      <c r="S4080" s="24" t="str">
        <f t="shared" si="244"/>
        <v/>
      </c>
      <c r="T4080" t="str">
        <f t="shared" si="242"/>
        <v/>
      </c>
    </row>
    <row r="4081" spans="18:20">
      <c r="R4081" s="24" t="str">
        <f t="shared" si="243"/>
        <v/>
      </c>
      <c r="S4081" s="24" t="str">
        <f t="shared" si="244"/>
        <v/>
      </c>
      <c r="T4081" t="str">
        <f t="shared" si="242"/>
        <v/>
      </c>
    </row>
    <row r="4082" spans="18:20">
      <c r="R4082" s="24" t="str">
        <f t="shared" si="243"/>
        <v/>
      </c>
      <c r="S4082" s="24" t="str">
        <f t="shared" si="244"/>
        <v/>
      </c>
      <c r="T4082" t="str">
        <f t="shared" si="242"/>
        <v/>
      </c>
    </row>
    <row r="4083" spans="18:20">
      <c r="R4083" s="24" t="str">
        <f t="shared" si="243"/>
        <v/>
      </c>
      <c r="S4083" s="24" t="str">
        <f t="shared" si="244"/>
        <v/>
      </c>
      <c r="T4083" t="str">
        <f t="shared" si="242"/>
        <v/>
      </c>
    </row>
    <row r="4084" spans="18:20">
      <c r="R4084" s="24" t="str">
        <f t="shared" si="243"/>
        <v/>
      </c>
      <c r="S4084" s="24" t="str">
        <f t="shared" si="244"/>
        <v/>
      </c>
      <c r="T4084" t="str">
        <f t="shared" si="242"/>
        <v/>
      </c>
    </row>
    <row r="4085" spans="18:20">
      <c r="R4085" s="24" t="str">
        <f t="shared" si="243"/>
        <v/>
      </c>
      <c r="S4085" s="24" t="str">
        <f t="shared" si="244"/>
        <v/>
      </c>
      <c r="T4085" t="str">
        <f t="shared" si="242"/>
        <v/>
      </c>
    </row>
    <row r="4086" spans="18:20">
      <c r="R4086" s="24" t="str">
        <f t="shared" si="243"/>
        <v/>
      </c>
      <c r="S4086" s="24" t="str">
        <f t="shared" si="244"/>
        <v/>
      </c>
      <c r="T4086" t="str">
        <f t="shared" si="242"/>
        <v/>
      </c>
    </row>
    <row r="4087" spans="18:20">
      <c r="R4087" s="24" t="str">
        <f t="shared" si="243"/>
        <v/>
      </c>
      <c r="S4087" s="24" t="str">
        <f t="shared" si="244"/>
        <v/>
      </c>
      <c r="T4087" t="str">
        <f t="shared" si="242"/>
        <v/>
      </c>
    </row>
    <row r="4088" spans="18:20">
      <c r="R4088" s="24" t="str">
        <f t="shared" si="243"/>
        <v/>
      </c>
      <c r="S4088" s="24" t="str">
        <f t="shared" si="244"/>
        <v/>
      </c>
      <c r="T4088" t="str">
        <f t="shared" si="242"/>
        <v/>
      </c>
    </row>
    <row r="4089" spans="18:20">
      <c r="R4089" s="24" t="str">
        <f t="shared" si="243"/>
        <v/>
      </c>
      <c r="S4089" s="24" t="str">
        <f t="shared" si="244"/>
        <v/>
      </c>
      <c r="T4089" t="str">
        <f t="shared" si="242"/>
        <v/>
      </c>
    </row>
    <row r="4090" spans="18:20">
      <c r="R4090" s="24" t="str">
        <f t="shared" si="243"/>
        <v/>
      </c>
      <c r="S4090" s="24" t="str">
        <f t="shared" si="244"/>
        <v/>
      </c>
      <c r="T4090" t="str">
        <f t="shared" si="242"/>
        <v/>
      </c>
    </row>
    <row r="4091" spans="18:20">
      <c r="R4091" s="24" t="str">
        <f t="shared" si="243"/>
        <v/>
      </c>
      <c r="S4091" s="24" t="str">
        <f t="shared" si="244"/>
        <v/>
      </c>
      <c r="T4091" t="str">
        <f t="shared" si="242"/>
        <v/>
      </c>
    </row>
    <row r="4092" spans="18:20">
      <c r="R4092" s="24" t="str">
        <f t="shared" si="243"/>
        <v/>
      </c>
      <c r="S4092" s="24" t="str">
        <f t="shared" si="244"/>
        <v/>
      </c>
      <c r="T4092" t="str">
        <f t="shared" si="242"/>
        <v/>
      </c>
    </row>
    <row r="4093" spans="18:20">
      <c r="R4093" s="24" t="str">
        <f t="shared" si="243"/>
        <v/>
      </c>
      <c r="S4093" s="24" t="str">
        <f t="shared" si="244"/>
        <v/>
      </c>
      <c r="T4093" t="str">
        <f t="shared" si="242"/>
        <v/>
      </c>
    </row>
    <row r="4094" spans="18:20">
      <c r="R4094" s="24" t="str">
        <f t="shared" si="243"/>
        <v/>
      </c>
      <c r="S4094" s="24" t="str">
        <f t="shared" si="244"/>
        <v/>
      </c>
      <c r="T4094" t="str">
        <f t="shared" si="242"/>
        <v/>
      </c>
    </row>
    <row r="4095" spans="18:20">
      <c r="R4095" s="24" t="str">
        <f t="shared" si="243"/>
        <v/>
      </c>
      <c r="S4095" s="24" t="str">
        <f t="shared" si="244"/>
        <v/>
      </c>
      <c r="T4095" t="str">
        <f t="shared" si="242"/>
        <v/>
      </c>
    </row>
    <row r="4096" spans="18:20">
      <c r="R4096" s="24" t="str">
        <f t="shared" si="243"/>
        <v/>
      </c>
      <c r="S4096" s="24" t="str">
        <f t="shared" si="244"/>
        <v/>
      </c>
      <c r="T4096" t="str">
        <f t="shared" si="242"/>
        <v/>
      </c>
    </row>
    <row r="4097" spans="18:20">
      <c r="R4097" s="24" t="str">
        <f t="shared" si="243"/>
        <v/>
      </c>
      <c r="S4097" s="24" t="str">
        <f t="shared" si="244"/>
        <v/>
      </c>
      <c r="T4097" t="str">
        <f t="shared" si="242"/>
        <v/>
      </c>
    </row>
    <row r="4098" spans="18:20">
      <c r="R4098" s="24" t="str">
        <f t="shared" si="243"/>
        <v/>
      </c>
      <c r="S4098" s="24" t="str">
        <f t="shared" si="244"/>
        <v/>
      </c>
      <c r="T4098" t="str">
        <f t="shared" si="242"/>
        <v/>
      </c>
    </row>
    <row r="4099" spans="18:20">
      <c r="R4099" s="24" t="str">
        <f t="shared" si="243"/>
        <v/>
      </c>
      <c r="S4099" s="24" t="str">
        <f t="shared" si="244"/>
        <v/>
      </c>
      <c r="T4099" t="str">
        <f t="shared" si="242"/>
        <v/>
      </c>
    </row>
    <row r="4100" spans="18:20">
      <c r="R4100" s="24" t="str">
        <f t="shared" si="243"/>
        <v/>
      </c>
      <c r="S4100" s="24" t="str">
        <f t="shared" si="244"/>
        <v/>
      </c>
      <c r="T4100" t="str">
        <f t="shared" si="242"/>
        <v/>
      </c>
    </row>
    <row r="4101" spans="18:20">
      <c r="R4101" s="24" t="str">
        <f t="shared" si="243"/>
        <v/>
      </c>
      <c r="S4101" s="24" t="str">
        <f t="shared" si="244"/>
        <v/>
      </c>
      <c r="T4101" t="str">
        <f t="shared" si="242"/>
        <v/>
      </c>
    </row>
    <row r="4102" spans="18:20">
      <c r="R4102" s="24" t="str">
        <f t="shared" si="243"/>
        <v/>
      </c>
      <c r="S4102" s="24" t="str">
        <f t="shared" si="244"/>
        <v/>
      </c>
      <c r="T4102" t="str">
        <f t="shared" si="242"/>
        <v/>
      </c>
    </row>
    <row r="4103" spans="18:20">
      <c r="R4103" s="24" t="str">
        <f t="shared" si="243"/>
        <v/>
      </c>
      <c r="S4103" s="24" t="str">
        <f t="shared" si="244"/>
        <v/>
      </c>
      <c r="T4103" t="str">
        <f t="shared" si="242"/>
        <v/>
      </c>
    </row>
    <row r="4104" spans="18:20">
      <c r="R4104" s="24" t="str">
        <f t="shared" si="243"/>
        <v/>
      </c>
      <c r="S4104" s="24" t="str">
        <f t="shared" si="244"/>
        <v/>
      </c>
      <c r="T4104" t="str">
        <f t="shared" si="242"/>
        <v/>
      </c>
    </row>
    <row r="4105" spans="18:20">
      <c r="R4105" s="24" t="str">
        <f t="shared" si="243"/>
        <v/>
      </c>
      <c r="S4105" s="24" t="str">
        <f t="shared" si="244"/>
        <v/>
      </c>
      <c r="T4105" t="str">
        <f t="shared" si="242"/>
        <v/>
      </c>
    </row>
    <row r="4106" spans="18:20">
      <c r="R4106" s="24" t="str">
        <f t="shared" si="243"/>
        <v/>
      </c>
      <c r="S4106" s="24" t="str">
        <f t="shared" si="244"/>
        <v/>
      </c>
      <c r="T4106" t="str">
        <f t="shared" si="242"/>
        <v/>
      </c>
    </row>
    <row r="4107" spans="18:20">
      <c r="R4107" s="24" t="str">
        <f t="shared" si="243"/>
        <v/>
      </c>
      <c r="S4107" s="24" t="str">
        <f t="shared" si="244"/>
        <v/>
      </c>
      <c r="T4107" t="str">
        <f t="shared" si="242"/>
        <v/>
      </c>
    </row>
    <row r="4108" spans="18:20">
      <c r="R4108" s="24" t="str">
        <f t="shared" si="243"/>
        <v/>
      </c>
      <c r="S4108" s="24" t="str">
        <f t="shared" si="244"/>
        <v/>
      </c>
      <c r="T4108" t="str">
        <f t="shared" si="242"/>
        <v/>
      </c>
    </row>
    <row r="4109" spans="18:20">
      <c r="R4109" s="24" t="str">
        <f t="shared" si="243"/>
        <v/>
      </c>
      <c r="S4109" s="24" t="str">
        <f t="shared" si="244"/>
        <v/>
      </c>
      <c r="T4109" t="str">
        <f t="shared" si="242"/>
        <v/>
      </c>
    </row>
    <row r="4110" spans="18:20">
      <c r="R4110" s="24" t="str">
        <f t="shared" si="243"/>
        <v/>
      </c>
      <c r="S4110" s="24" t="str">
        <f t="shared" si="244"/>
        <v/>
      </c>
      <c r="T4110" t="str">
        <f t="shared" si="242"/>
        <v/>
      </c>
    </row>
    <row r="4111" spans="18:20">
      <c r="R4111" s="24" t="str">
        <f t="shared" si="243"/>
        <v/>
      </c>
      <c r="S4111" s="24" t="str">
        <f t="shared" si="244"/>
        <v/>
      </c>
      <c r="T4111" t="str">
        <f t="shared" ref="T4111:T4174" si="245">IF(OR(C4111="",I4111&lt;&gt;"ENTRADA"),"",TEXT(B4111,"AAMMDD")&amp;"-"&amp;TEXT(VALUE(SUBSTITUTE(A4111,"MOV-","")),"000"))</f>
        <v/>
      </c>
    </row>
    <row r="4112" spans="18:20">
      <c r="R4112" s="24" t="str">
        <f t="shared" ref="R4112:R4175" si="246">IF(H4112="","",H4112&amp;I4112)</f>
        <v/>
      </c>
      <c r="S4112" s="24" t="str">
        <f t="shared" ref="S4112:S4175" si="247">IF(C4112="","",C4112&amp;I4112)</f>
        <v/>
      </c>
      <c r="T4112" t="str">
        <f t="shared" si="245"/>
        <v/>
      </c>
    </row>
    <row r="4113" spans="18:20">
      <c r="R4113" s="24" t="str">
        <f t="shared" si="246"/>
        <v/>
      </c>
      <c r="S4113" s="24" t="str">
        <f t="shared" si="247"/>
        <v/>
      </c>
      <c r="T4113" t="str">
        <f t="shared" si="245"/>
        <v/>
      </c>
    </row>
    <row r="4114" spans="18:20">
      <c r="R4114" s="24" t="str">
        <f t="shared" si="246"/>
        <v/>
      </c>
      <c r="S4114" s="24" t="str">
        <f t="shared" si="247"/>
        <v/>
      </c>
      <c r="T4114" t="str">
        <f t="shared" si="245"/>
        <v/>
      </c>
    </row>
    <row r="4115" spans="18:20">
      <c r="R4115" s="24" t="str">
        <f t="shared" si="246"/>
        <v/>
      </c>
      <c r="S4115" s="24" t="str">
        <f t="shared" si="247"/>
        <v/>
      </c>
      <c r="T4115" t="str">
        <f t="shared" si="245"/>
        <v/>
      </c>
    </row>
    <row r="4116" spans="18:20">
      <c r="R4116" s="24" t="str">
        <f t="shared" si="246"/>
        <v/>
      </c>
      <c r="S4116" s="24" t="str">
        <f t="shared" si="247"/>
        <v/>
      </c>
      <c r="T4116" t="str">
        <f t="shared" si="245"/>
        <v/>
      </c>
    </row>
    <row r="4117" spans="18:20">
      <c r="R4117" s="24" t="str">
        <f t="shared" si="246"/>
        <v/>
      </c>
      <c r="S4117" s="24" t="str">
        <f t="shared" si="247"/>
        <v/>
      </c>
      <c r="T4117" t="str">
        <f t="shared" si="245"/>
        <v/>
      </c>
    </row>
    <row r="4118" spans="18:20">
      <c r="R4118" s="24" t="str">
        <f t="shared" si="246"/>
        <v/>
      </c>
      <c r="S4118" s="24" t="str">
        <f t="shared" si="247"/>
        <v/>
      </c>
      <c r="T4118" t="str">
        <f t="shared" si="245"/>
        <v/>
      </c>
    </row>
    <row r="4119" spans="18:20">
      <c r="R4119" s="24" t="str">
        <f t="shared" si="246"/>
        <v/>
      </c>
      <c r="S4119" s="24" t="str">
        <f t="shared" si="247"/>
        <v/>
      </c>
      <c r="T4119" t="str">
        <f t="shared" si="245"/>
        <v/>
      </c>
    </row>
    <row r="4120" spans="18:20">
      <c r="R4120" s="24" t="str">
        <f t="shared" si="246"/>
        <v/>
      </c>
      <c r="S4120" s="24" t="str">
        <f t="shared" si="247"/>
        <v/>
      </c>
      <c r="T4120" t="str">
        <f t="shared" si="245"/>
        <v/>
      </c>
    </row>
    <row r="4121" spans="18:20">
      <c r="R4121" s="24" t="str">
        <f t="shared" si="246"/>
        <v/>
      </c>
      <c r="S4121" s="24" t="str">
        <f t="shared" si="247"/>
        <v/>
      </c>
      <c r="T4121" t="str">
        <f t="shared" si="245"/>
        <v/>
      </c>
    </row>
    <row r="4122" spans="18:20">
      <c r="R4122" s="24" t="str">
        <f t="shared" si="246"/>
        <v/>
      </c>
      <c r="S4122" s="24" t="str">
        <f t="shared" si="247"/>
        <v/>
      </c>
      <c r="T4122" t="str">
        <f t="shared" si="245"/>
        <v/>
      </c>
    </row>
    <row r="4123" spans="18:20">
      <c r="R4123" s="24" t="str">
        <f t="shared" si="246"/>
        <v/>
      </c>
      <c r="S4123" s="24" t="str">
        <f t="shared" si="247"/>
        <v/>
      </c>
      <c r="T4123" t="str">
        <f t="shared" si="245"/>
        <v/>
      </c>
    </row>
    <row r="4124" spans="18:20">
      <c r="R4124" s="24" t="str">
        <f t="shared" si="246"/>
        <v/>
      </c>
      <c r="S4124" s="24" t="str">
        <f t="shared" si="247"/>
        <v/>
      </c>
      <c r="T4124" t="str">
        <f t="shared" si="245"/>
        <v/>
      </c>
    </row>
    <row r="4125" spans="18:20">
      <c r="R4125" s="24" t="str">
        <f t="shared" si="246"/>
        <v/>
      </c>
      <c r="S4125" s="24" t="str">
        <f t="shared" si="247"/>
        <v/>
      </c>
      <c r="T4125" t="str">
        <f t="shared" si="245"/>
        <v/>
      </c>
    </row>
    <row r="4126" spans="18:20">
      <c r="R4126" s="24" t="str">
        <f t="shared" si="246"/>
        <v/>
      </c>
      <c r="S4126" s="24" t="str">
        <f t="shared" si="247"/>
        <v/>
      </c>
      <c r="T4126" t="str">
        <f t="shared" si="245"/>
        <v/>
      </c>
    </row>
    <row r="4127" spans="18:20">
      <c r="R4127" s="24" t="str">
        <f t="shared" si="246"/>
        <v/>
      </c>
      <c r="S4127" s="24" t="str">
        <f t="shared" si="247"/>
        <v/>
      </c>
      <c r="T4127" t="str">
        <f t="shared" si="245"/>
        <v/>
      </c>
    </row>
    <row r="4128" spans="18:20">
      <c r="R4128" s="24" t="str">
        <f t="shared" si="246"/>
        <v/>
      </c>
      <c r="S4128" s="24" t="str">
        <f t="shared" si="247"/>
        <v/>
      </c>
      <c r="T4128" t="str">
        <f t="shared" si="245"/>
        <v/>
      </c>
    </row>
    <row r="4129" spans="18:20">
      <c r="R4129" s="24" t="str">
        <f t="shared" si="246"/>
        <v/>
      </c>
      <c r="S4129" s="24" t="str">
        <f t="shared" si="247"/>
        <v/>
      </c>
      <c r="T4129" t="str">
        <f t="shared" si="245"/>
        <v/>
      </c>
    </row>
    <row r="4130" spans="18:20">
      <c r="R4130" s="24" t="str">
        <f t="shared" si="246"/>
        <v/>
      </c>
      <c r="S4130" s="24" t="str">
        <f t="shared" si="247"/>
        <v/>
      </c>
      <c r="T4130" t="str">
        <f t="shared" si="245"/>
        <v/>
      </c>
    </row>
    <row r="4131" spans="18:20">
      <c r="R4131" s="24" t="str">
        <f t="shared" si="246"/>
        <v/>
      </c>
      <c r="S4131" s="24" t="str">
        <f t="shared" si="247"/>
        <v/>
      </c>
      <c r="T4131" t="str">
        <f t="shared" si="245"/>
        <v/>
      </c>
    </row>
    <row r="4132" spans="18:20">
      <c r="R4132" s="24" t="str">
        <f t="shared" si="246"/>
        <v/>
      </c>
      <c r="S4132" s="24" t="str">
        <f t="shared" si="247"/>
        <v/>
      </c>
      <c r="T4132" t="str">
        <f t="shared" si="245"/>
        <v/>
      </c>
    </row>
    <row r="4133" spans="18:20">
      <c r="R4133" s="24" t="str">
        <f t="shared" si="246"/>
        <v/>
      </c>
      <c r="S4133" s="24" t="str">
        <f t="shared" si="247"/>
        <v/>
      </c>
      <c r="T4133" t="str">
        <f t="shared" si="245"/>
        <v/>
      </c>
    </row>
    <row r="4134" spans="18:20">
      <c r="R4134" s="24" t="str">
        <f t="shared" si="246"/>
        <v/>
      </c>
      <c r="S4134" s="24" t="str">
        <f t="shared" si="247"/>
        <v/>
      </c>
      <c r="T4134" t="str">
        <f t="shared" si="245"/>
        <v/>
      </c>
    </row>
    <row r="4135" spans="18:20">
      <c r="R4135" s="24" t="str">
        <f t="shared" si="246"/>
        <v/>
      </c>
      <c r="S4135" s="24" t="str">
        <f t="shared" si="247"/>
        <v/>
      </c>
      <c r="T4135" t="str">
        <f t="shared" si="245"/>
        <v/>
      </c>
    </row>
    <row r="4136" spans="18:20">
      <c r="R4136" s="24" t="str">
        <f t="shared" si="246"/>
        <v/>
      </c>
      <c r="S4136" s="24" t="str">
        <f t="shared" si="247"/>
        <v/>
      </c>
      <c r="T4136" t="str">
        <f t="shared" si="245"/>
        <v/>
      </c>
    </row>
    <row r="4137" spans="18:20">
      <c r="R4137" s="24" t="str">
        <f t="shared" si="246"/>
        <v/>
      </c>
      <c r="S4137" s="24" t="str">
        <f t="shared" si="247"/>
        <v/>
      </c>
      <c r="T4137" t="str">
        <f t="shared" si="245"/>
        <v/>
      </c>
    </row>
    <row r="4138" spans="18:20">
      <c r="R4138" s="24" t="str">
        <f t="shared" si="246"/>
        <v/>
      </c>
      <c r="S4138" s="24" t="str">
        <f t="shared" si="247"/>
        <v/>
      </c>
      <c r="T4138" t="str">
        <f t="shared" si="245"/>
        <v/>
      </c>
    </row>
    <row r="4139" spans="18:20">
      <c r="R4139" s="24" t="str">
        <f t="shared" si="246"/>
        <v/>
      </c>
      <c r="S4139" s="24" t="str">
        <f t="shared" si="247"/>
        <v/>
      </c>
      <c r="T4139" t="str">
        <f t="shared" si="245"/>
        <v/>
      </c>
    </row>
    <row r="4140" spans="18:20">
      <c r="R4140" s="24" t="str">
        <f t="shared" si="246"/>
        <v/>
      </c>
      <c r="S4140" s="24" t="str">
        <f t="shared" si="247"/>
        <v/>
      </c>
      <c r="T4140" t="str">
        <f t="shared" si="245"/>
        <v/>
      </c>
    </row>
    <row r="4141" spans="18:20">
      <c r="R4141" s="24" t="str">
        <f t="shared" si="246"/>
        <v/>
      </c>
      <c r="S4141" s="24" t="str">
        <f t="shared" si="247"/>
        <v/>
      </c>
      <c r="T4141" t="str">
        <f t="shared" si="245"/>
        <v/>
      </c>
    </row>
    <row r="4142" spans="18:20">
      <c r="R4142" s="24" t="str">
        <f t="shared" si="246"/>
        <v/>
      </c>
      <c r="S4142" s="24" t="str">
        <f t="shared" si="247"/>
        <v/>
      </c>
      <c r="T4142" t="str">
        <f t="shared" si="245"/>
        <v/>
      </c>
    </row>
    <row r="4143" spans="18:20">
      <c r="R4143" s="24" t="str">
        <f t="shared" si="246"/>
        <v/>
      </c>
      <c r="S4143" s="24" t="str">
        <f t="shared" si="247"/>
        <v/>
      </c>
      <c r="T4143" t="str">
        <f t="shared" si="245"/>
        <v/>
      </c>
    </row>
    <row r="4144" spans="18:20">
      <c r="R4144" s="24" t="str">
        <f t="shared" si="246"/>
        <v/>
      </c>
      <c r="S4144" s="24" t="str">
        <f t="shared" si="247"/>
        <v/>
      </c>
      <c r="T4144" t="str">
        <f t="shared" si="245"/>
        <v/>
      </c>
    </row>
    <row r="4145" spans="18:20">
      <c r="R4145" s="24" t="str">
        <f t="shared" si="246"/>
        <v/>
      </c>
      <c r="S4145" s="24" t="str">
        <f t="shared" si="247"/>
        <v/>
      </c>
      <c r="T4145" t="str">
        <f t="shared" si="245"/>
        <v/>
      </c>
    </row>
    <row r="4146" spans="18:20">
      <c r="R4146" s="24" t="str">
        <f t="shared" si="246"/>
        <v/>
      </c>
      <c r="S4146" s="24" t="str">
        <f t="shared" si="247"/>
        <v/>
      </c>
      <c r="T4146" t="str">
        <f t="shared" si="245"/>
        <v/>
      </c>
    </row>
    <row r="4147" spans="18:20">
      <c r="R4147" s="24" t="str">
        <f t="shared" si="246"/>
        <v/>
      </c>
      <c r="S4147" s="24" t="str">
        <f t="shared" si="247"/>
        <v/>
      </c>
      <c r="T4147" t="str">
        <f t="shared" si="245"/>
        <v/>
      </c>
    </row>
    <row r="4148" spans="18:20">
      <c r="R4148" s="24" t="str">
        <f t="shared" si="246"/>
        <v/>
      </c>
      <c r="S4148" s="24" t="str">
        <f t="shared" si="247"/>
        <v/>
      </c>
      <c r="T4148" t="str">
        <f t="shared" si="245"/>
        <v/>
      </c>
    </row>
    <row r="4149" spans="18:20">
      <c r="R4149" s="24" t="str">
        <f t="shared" si="246"/>
        <v/>
      </c>
      <c r="S4149" s="24" t="str">
        <f t="shared" si="247"/>
        <v/>
      </c>
      <c r="T4149" t="str">
        <f t="shared" si="245"/>
        <v/>
      </c>
    </row>
    <row r="4150" spans="18:20">
      <c r="R4150" s="24" t="str">
        <f t="shared" si="246"/>
        <v/>
      </c>
      <c r="S4150" s="24" t="str">
        <f t="shared" si="247"/>
        <v/>
      </c>
      <c r="T4150" t="str">
        <f t="shared" si="245"/>
        <v/>
      </c>
    </row>
    <row r="4151" spans="18:20">
      <c r="R4151" s="24" t="str">
        <f t="shared" si="246"/>
        <v/>
      </c>
      <c r="S4151" s="24" t="str">
        <f t="shared" si="247"/>
        <v/>
      </c>
      <c r="T4151" t="str">
        <f t="shared" si="245"/>
        <v/>
      </c>
    </row>
    <row r="4152" spans="18:20">
      <c r="R4152" s="24" t="str">
        <f t="shared" si="246"/>
        <v/>
      </c>
      <c r="S4152" s="24" t="str">
        <f t="shared" si="247"/>
        <v/>
      </c>
      <c r="T4152" t="str">
        <f t="shared" si="245"/>
        <v/>
      </c>
    </row>
    <row r="4153" spans="18:20">
      <c r="R4153" s="24" t="str">
        <f t="shared" si="246"/>
        <v/>
      </c>
      <c r="S4153" s="24" t="str">
        <f t="shared" si="247"/>
        <v/>
      </c>
      <c r="T4153" t="str">
        <f t="shared" si="245"/>
        <v/>
      </c>
    </row>
    <row r="4154" spans="18:20">
      <c r="R4154" s="24" t="str">
        <f t="shared" si="246"/>
        <v/>
      </c>
      <c r="S4154" s="24" t="str">
        <f t="shared" si="247"/>
        <v/>
      </c>
      <c r="T4154" t="str">
        <f t="shared" si="245"/>
        <v/>
      </c>
    </row>
    <row r="4155" spans="18:20">
      <c r="R4155" s="24" t="str">
        <f t="shared" si="246"/>
        <v/>
      </c>
      <c r="S4155" s="24" t="str">
        <f t="shared" si="247"/>
        <v/>
      </c>
      <c r="T4155" t="str">
        <f t="shared" si="245"/>
        <v/>
      </c>
    </row>
    <row r="4156" spans="18:20">
      <c r="R4156" s="24" t="str">
        <f t="shared" si="246"/>
        <v/>
      </c>
      <c r="S4156" s="24" t="str">
        <f t="shared" si="247"/>
        <v/>
      </c>
      <c r="T4156" t="str">
        <f t="shared" si="245"/>
        <v/>
      </c>
    </row>
    <row r="4157" spans="18:20">
      <c r="R4157" s="24" t="str">
        <f t="shared" si="246"/>
        <v/>
      </c>
      <c r="S4157" s="24" t="str">
        <f t="shared" si="247"/>
        <v/>
      </c>
      <c r="T4157" t="str">
        <f t="shared" si="245"/>
        <v/>
      </c>
    </row>
    <row r="4158" spans="18:20">
      <c r="R4158" s="24" t="str">
        <f t="shared" si="246"/>
        <v/>
      </c>
      <c r="S4158" s="24" t="str">
        <f t="shared" si="247"/>
        <v/>
      </c>
      <c r="T4158" t="str">
        <f t="shared" si="245"/>
        <v/>
      </c>
    </row>
    <row r="4159" spans="18:20">
      <c r="R4159" s="24" t="str">
        <f t="shared" si="246"/>
        <v/>
      </c>
      <c r="S4159" s="24" t="str">
        <f t="shared" si="247"/>
        <v/>
      </c>
      <c r="T4159" t="str">
        <f t="shared" si="245"/>
        <v/>
      </c>
    </row>
    <row r="4160" spans="18:20">
      <c r="R4160" s="24" t="str">
        <f t="shared" si="246"/>
        <v/>
      </c>
      <c r="S4160" s="24" t="str">
        <f t="shared" si="247"/>
        <v/>
      </c>
      <c r="T4160" t="str">
        <f t="shared" si="245"/>
        <v/>
      </c>
    </row>
    <row r="4161" spans="18:20">
      <c r="R4161" s="24" t="str">
        <f t="shared" si="246"/>
        <v/>
      </c>
      <c r="S4161" s="24" t="str">
        <f t="shared" si="247"/>
        <v/>
      </c>
      <c r="T4161" t="str">
        <f t="shared" si="245"/>
        <v/>
      </c>
    </row>
    <row r="4162" spans="18:20">
      <c r="R4162" s="24" t="str">
        <f t="shared" si="246"/>
        <v/>
      </c>
      <c r="S4162" s="24" t="str">
        <f t="shared" si="247"/>
        <v/>
      </c>
      <c r="T4162" t="str">
        <f t="shared" si="245"/>
        <v/>
      </c>
    </row>
    <row r="4163" spans="18:20">
      <c r="R4163" s="24" t="str">
        <f t="shared" si="246"/>
        <v/>
      </c>
      <c r="S4163" s="24" t="str">
        <f t="shared" si="247"/>
        <v/>
      </c>
      <c r="T4163" t="str">
        <f t="shared" si="245"/>
        <v/>
      </c>
    </row>
    <row r="4164" spans="18:20">
      <c r="R4164" s="24" t="str">
        <f t="shared" si="246"/>
        <v/>
      </c>
      <c r="S4164" s="24" t="str">
        <f t="shared" si="247"/>
        <v/>
      </c>
      <c r="T4164" t="str">
        <f t="shared" si="245"/>
        <v/>
      </c>
    </row>
    <row r="4165" spans="18:20">
      <c r="R4165" s="24" t="str">
        <f t="shared" si="246"/>
        <v/>
      </c>
      <c r="S4165" s="24" t="str">
        <f t="shared" si="247"/>
        <v/>
      </c>
      <c r="T4165" t="str">
        <f t="shared" si="245"/>
        <v/>
      </c>
    </row>
    <row r="4166" spans="18:20">
      <c r="R4166" s="24" t="str">
        <f t="shared" si="246"/>
        <v/>
      </c>
      <c r="S4166" s="24" t="str">
        <f t="shared" si="247"/>
        <v/>
      </c>
      <c r="T4166" t="str">
        <f t="shared" si="245"/>
        <v/>
      </c>
    </row>
    <row r="4167" spans="18:20">
      <c r="R4167" s="24" t="str">
        <f t="shared" si="246"/>
        <v/>
      </c>
      <c r="S4167" s="24" t="str">
        <f t="shared" si="247"/>
        <v/>
      </c>
      <c r="T4167" t="str">
        <f t="shared" si="245"/>
        <v/>
      </c>
    </row>
    <row r="4168" spans="18:20">
      <c r="R4168" s="24" t="str">
        <f t="shared" si="246"/>
        <v/>
      </c>
      <c r="S4168" s="24" t="str">
        <f t="shared" si="247"/>
        <v/>
      </c>
      <c r="T4168" t="str">
        <f t="shared" si="245"/>
        <v/>
      </c>
    </row>
    <row r="4169" spans="18:20">
      <c r="R4169" s="24" t="str">
        <f t="shared" si="246"/>
        <v/>
      </c>
      <c r="S4169" s="24" t="str">
        <f t="shared" si="247"/>
        <v/>
      </c>
      <c r="T4169" t="str">
        <f t="shared" si="245"/>
        <v/>
      </c>
    </row>
    <row r="4170" spans="18:20">
      <c r="R4170" s="24" t="str">
        <f t="shared" si="246"/>
        <v/>
      </c>
      <c r="S4170" s="24" t="str">
        <f t="shared" si="247"/>
        <v/>
      </c>
      <c r="T4170" t="str">
        <f t="shared" si="245"/>
        <v/>
      </c>
    </row>
    <row r="4171" spans="18:20">
      <c r="R4171" s="24" t="str">
        <f t="shared" si="246"/>
        <v/>
      </c>
      <c r="S4171" s="24" t="str">
        <f t="shared" si="247"/>
        <v/>
      </c>
      <c r="T4171" t="str">
        <f t="shared" si="245"/>
        <v/>
      </c>
    </row>
    <row r="4172" spans="18:20">
      <c r="R4172" s="24" t="str">
        <f t="shared" si="246"/>
        <v/>
      </c>
      <c r="S4172" s="24" t="str">
        <f t="shared" si="247"/>
        <v/>
      </c>
      <c r="T4172" t="str">
        <f t="shared" si="245"/>
        <v/>
      </c>
    </row>
    <row r="4173" spans="18:20">
      <c r="R4173" s="24" t="str">
        <f t="shared" si="246"/>
        <v/>
      </c>
      <c r="S4173" s="24" t="str">
        <f t="shared" si="247"/>
        <v/>
      </c>
      <c r="T4173" t="str">
        <f t="shared" si="245"/>
        <v/>
      </c>
    </row>
    <row r="4174" spans="18:20">
      <c r="R4174" s="24" t="str">
        <f t="shared" si="246"/>
        <v/>
      </c>
      <c r="S4174" s="24" t="str">
        <f t="shared" si="247"/>
        <v/>
      </c>
      <c r="T4174" t="str">
        <f t="shared" si="245"/>
        <v/>
      </c>
    </row>
    <row r="4175" spans="18:20">
      <c r="R4175" s="24" t="str">
        <f t="shared" si="246"/>
        <v/>
      </c>
      <c r="S4175" s="24" t="str">
        <f t="shared" si="247"/>
        <v/>
      </c>
      <c r="T4175" t="str">
        <f t="shared" ref="T4175:T4238" si="248">IF(OR(C4175="",I4175&lt;&gt;"ENTRADA"),"",TEXT(B4175,"AAMMDD")&amp;"-"&amp;TEXT(VALUE(SUBSTITUTE(A4175,"MOV-","")),"000"))</f>
        <v/>
      </c>
    </row>
    <row r="4176" spans="18:20">
      <c r="R4176" s="24" t="str">
        <f t="shared" ref="R4176:R4239" si="249">IF(H4176="","",H4176&amp;I4176)</f>
        <v/>
      </c>
      <c r="S4176" s="24" t="str">
        <f t="shared" ref="S4176:S4239" si="250">IF(C4176="","",C4176&amp;I4176)</f>
        <v/>
      </c>
      <c r="T4176" t="str">
        <f t="shared" si="248"/>
        <v/>
      </c>
    </row>
    <row r="4177" spans="18:20">
      <c r="R4177" s="24" t="str">
        <f t="shared" si="249"/>
        <v/>
      </c>
      <c r="S4177" s="24" t="str">
        <f t="shared" si="250"/>
        <v/>
      </c>
      <c r="T4177" t="str">
        <f t="shared" si="248"/>
        <v/>
      </c>
    </row>
    <row r="4178" spans="18:20">
      <c r="R4178" s="24" t="str">
        <f t="shared" si="249"/>
        <v/>
      </c>
      <c r="S4178" s="24" t="str">
        <f t="shared" si="250"/>
        <v/>
      </c>
      <c r="T4178" t="str">
        <f t="shared" si="248"/>
        <v/>
      </c>
    </row>
    <row r="4179" spans="18:20">
      <c r="R4179" s="24" t="str">
        <f t="shared" si="249"/>
        <v/>
      </c>
      <c r="S4179" s="24" t="str">
        <f t="shared" si="250"/>
        <v/>
      </c>
      <c r="T4179" t="str">
        <f t="shared" si="248"/>
        <v/>
      </c>
    </row>
    <row r="4180" spans="18:20">
      <c r="R4180" s="24" t="str">
        <f t="shared" si="249"/>
        <v/>
      </c>
      <c r="S4180" s="24" t="str">
        <f t="shared" si="250"/>
        <v/>
      </c>
      <c r="T4180" t="str">
        <f t="shared" si="248"/>
        <v/>
      </c>
    </row>
    <row r="4181" spans="18:20">
      <c r="R4181" s="24" t="str">
        <f t="shared" si="249"/>
        <v/>
      </c>
      <c r="S4181" s="24" t="str">
        <f t="shared" si="250"/>
        <v/>
      </c>
      <c r="T4181" t="str">
        <f t="shared" si="248"/>
        <v/>
      </c>
    </row>
    <row r="4182" spans="18:20">
      <c r="R4182" s="24" t="str">
        <f t="shared" si="249"/>
        <v/>
      </c>
      <c r="S4182" s="24" t="str">
        <f t="shared" si="250"/>
        <v/>
      </c>
      <c r="T4182" t="str">
        <f t="shared" si="248"/>
        <v/>
      </c>
    </row>
    <row r="4183" spans="18:20">
      <c r="R4183" s="24" t="str">
        <f t="shared" si="249"/>
        <v/>
      </c>
      <c r="S4183" s="24" t="str">
        <f t="shared" si="250"/>
        <v/>
      </c>
      <c r="T4183" t="str">
        <f t="shared" si="248"/>
        <v/>
      </c>
    </row>
    <row r="4184" spans="18:20">
      <c r="R4184" s="24" t="str">
        <f t="shared" si="249"/>
        <v/>
      </c>
      <c r="S4184" s="24" t="str">
        <f t="shared" si="250"/>
        <v/>
      </c>
      <c r="T4184" t="str">
        <f t="shared" si="248"/>
        <v/>
      </c>
    </row>
    <row r="4185" spans="18:20">
      <c r="R4185" s="24" t="str">
        <f t="shared" si="249"/>
        <v/>
      </c>
      <c r="S4185" s="24" t="str">
        <f t="shared" si="250"/>
        <v/>
      </c>
      <c r="T4185" t="str">
        <f t="shared" si="248"/>
        <v/>
      </c>
    </row>
    <row r="4186" spans="18:20">
      <c r="R4186" s="24" t="str">
        <f t="shared" si="249"/>
        <v/>
      </c>
      <c r="S4186" s="24" t="str">
        <f t="shared" si="250"/>
        <v/>
      </c>
      <c r="T4186" t="str">
        <f t="shared" si="248"/>
        <v/>
      </c>
    </row>
    <row r="4187" spans="18:20">
      <c r="R4187" s="24" t="str">
        <f t="shared" si="249"/>
        <v/>
      </c>
      <c r="S4187" s="24" t="str">
        <f t="shared" si="250"/>
        <v/>
      </c>
      <c r="T4187" t="str">
        <f t="shared" si="248"/>
        <v/>
      </c>
    </row>
    <row r="4188" spans="18:20">
      <c r="R4188" s="24" t="str">
        <f t="shared" si="249"/>
        <v/>
      </c>
      <c r="S4188" s="24" t="str">
        <f t="shared" si="250"/>
        <v/>
      </c>
      <c r="T4188" t="str">
        <f t="shared" si="248"/>
        <v/>
      </c>
    </row>
    <row r="4189" spans="18:20">
      <c r="R4189" s="24" t="str">
        <f t="shared" si="249"/>
        <v/>
      </c>
      <c r="S4189" s="24" t="str">
        <f t="shared" si="250"/>
        <v/>
      </c>
      <c r="T4189" t="str">
        <f t="shared" si="248"/>
        <v/>
      </c>
    </row>
    <row r="4190" spans="18:20">
      <c r="R4190" s="24" t="str">
        <f t="shared" si="249"/>
        <v/>
      </c>
      <c r="S4190" s="24" t="str">
        <f t="shared" si="250"/>
        <v/>
      </c>
      <c r="T4190" t="str">
        <f t="shared" si="248"/>
        <v/>
      </c>
    </row>
    <row r="4191" spans="18:20">
      <c r="R4191" s="24" t="str">
        <f t="shared" si="249"/>
        <v/>
      </c>
      <c r="S4191" s="24" t="str">
        <f t="shared" si="250"/>
        <v/>
      </c>
      <c r="T4191" t="str">
        <f t="shared" si="248"/>
        <v/>
      </c>
    </row>
    <row r="4192" spans="18:20">
      <c r="R4192" s="24" t="str">
        <f t="shared" si="249"/>
        <v/>
      </c>
      <c r="S4192" s="24" t="str">
        <f t="shared" si="250"/>
        <v/>
      </c>
      <c r="T4192" t="str">
        <f t="shared" si="248"/>
        <v/>
      </c>
    </row>
    <row r="4193" spans="18:20">
      <c r="R4193" s="24" t="str">
        <f t="shared" si="249"/>
        <v/>
      </c>
      <c r="S4193" s="24" t="str">
        <f t="shared" si="250"/>
        <v/>
      </c>
      <c r="T4193" t="str">
        <f t="shared" si="248"/>
        <v/>
      </c>
    </row>
    <row r="4194" spans="18:20">
      <c r="R4194" s="24" t="str">
        <f t="shared" si="249"/>
        <v/>
      </c>
      <c r="S4194" s="24" t="str">
        <f t="shared" si="250"/>
        <v/>
      </c>
      <c r="T4194" t="str">
        <f t="shared" si="248"/>
        <v/>
      </c>
    </row>
    <row r="4195" spans="18:20">
      <c r="R4195" s="24" t="str">
        <f t="shared" si="249"/>
        <v/>
      </c>
      <c r="S4195" s="24" t="str">
        <f t="shared" si="250"/>
        <v/>
      </c>
      <c r="T4195" t="str">
        <f t="shared" si="248"/>
        <v/>
      </c>
    </row>
    <row r="4196" spans="18:20">
      <c r="R4196" s="24" t="str">
        <f t="shared" si="249"/>
        <v/>
      </c>
      <c r="S4196" s="24" t="str">
        <f t="shared" si="250"/>
        <v/>
      </c>
      <c r="T4196" t="str">
        <f t="shared" si="248"/>
        <v/>
      </c>
    </row>
    <row r="4197" spans="18:20">
      <c r="R4197" s="24" t="str">
        <f t="shared" si="249"/>
        <v/>
      </c>
      <c r="S4197" s="24" t="str">
        <f t="shared" si="250"/>
        <v/>
      </c>
      <c r="T4197" t="str">
        <f t="shared" si="248"/>
        <v/>
      </c>
    </row>
    <row r="4198" spans="18:20">
      <c r="R4198" s="24" t="str">
        <f t="shared" si="249"/>
        <v/>
      </c>
      <c r="S4198" s="24" t="str">
        <f t="shared" si="250"/>
        <v/>
      </c>
      <c r="T4198" t="str">
        <f t="shared" si="248"/>
        <v/>
      </c>
    </row>
    <row r="4199" spans="18:20">
      <c r="R4199" s="24" t="str">
        <f t="shared" si="249"/>
        <v/>
      </c>
      <c r="S4199" s="24" t="str">
        <f t="shared" si="250"/>
        <v/>
      </c>
      <c r="T4199" t="str">
        <f t="shared" si="248"/>
        <v/>
      </c>
    </row>
    <row r="4200" spans="18:20">
      <c r="R4200" s="24" t="str">
        <f t="shared" si="249"/>
        <v/>
      </c>
      <c r="S4200" s="24" t="str">
        <f t="shared" si="250"/>
        <v/>
      </c>
      <c r="T4200" t="str">
        <f t="shared" si="248"/>
        <v/>
      </c>
    </row>
    <row r="4201" spans="18:20">
      <c r="R4201" s="24" t="str">
        <f t="shared" si="249"/>
        <v/>
      </c>
      <c r="S4201" s="24" t="str">
        <f t="shared" si="250"/>
        <v/>
      </c>
      <c r="T4201" t="str">
        <f t="shared" si="248"/>
        <v/>
      </c>
    </row>
    <row r="4202" spans="18:20">
      <c r="R4202" s="24" t="str">
        <f t="shared" si="249"/>
        <v/>
      </c>
      <c r="S4202" s="24" t="str">
        <f t="shared" si="250"/>
        <v/>
      </c>
      <c r="T4202" t="str">
        <f t="shared" si="248"/>
        <v/>
      </c>
    </row>
    <row r="4203" spans="18:20">
      <c r="R4203" s="24" t="str">
        <f t="shared" si="249"/>
        <v/>
      </c>
      <c r="S4203" s="24" t="str">
        <f t="shared" si="250"/>
        <v/>
      </c>
      <c r="T4203" t="str">
        <f t="shared" si="248"/>
        <v/>
      </c>
    </row>
    <row r="4204" spans="18:20">
      <c r="R4204" s="24" t="str">
        <f t="shared" si="249"/>
        <v/>
      </c>
      <c r="S4204" s="24" t="str">
        <f t="shared" si="250"/>
        <v/>
      </c>
      <c r="T4204" t="str">
        <f t="shared" si="248"/>
        <v/>
      </c>
    </row>
    <row r="4205" spans="18:20">
      <c r="R4205" s="24" t="str">
        <f t="shared" si="249"/>
        <v/>
      </c>
      <c r="S4205" s="24" t="str">
        <f t="shared" si="250"/>
        <v/>
      </c>
      <c r="T4205" t="str">
        <f t="shared" si="248"/>
        <v/>
      </c>
    </row>
    <row r="4206" spans="18:20">
      <c r="R4206" s="24" t="str">
        <f t="shared" si="249"/>
        <v/>
      </c>
      <c r="S4206" s="24" t="str">
        <f t="shared" si="250"/>
        <v/>
      </c>
      <c r="T4206" t="str">
        <f t="shared" si="248"/>
        <v/>
      </c>
    </row>
    <row r="4207" spans="18:20">
      <c r="R4207" s="24" t="str">
        <f t="shared" si="249"/>
        <v/>
      </c>
      <c r="S4207" s="24" t="str">
        <f t="shared" si="250"/>
        <v/>
      </c>
      <c r="T4207" t="str">
        <f t="shared" si="248"/>
        <v/>
      </c>
    </row>
    <row r="4208" spans="18:20">
      <c r="R4208" s="24" t="str">
        <f t="shared" si="249"/>
        <v/>
      </c>
      <c r="S4208" s="24" t="str">
        <f t="shared" si="250"/>
        <v/>
      </c>
      <c r="T4208" t="str">
        <f t="shared" si="248"/>
        <v/>
      </c>
    </row>
    <row r="4209" spans="18:20">
      <c r="R4209" s="24" t="str">
        <f t="shared" si="249"/>
        <v/>
      </c>
      <c r="S4209" s="24" t="str">
        <f t="shared" si="250"/>
        <v/>
      </c>
      <c r="T4209" t="str">
        <f t="shared" si="248"/>
        <v/>
      </c>
    </row>
    <row r="4210" spans="18:20">
      <c r="R4210" s="24" t="str">
        <f t="shared" si="249"/>
        <v/>
      </c>
      <c r="S4210" s="24" t="str">
        <f t="shared" si="250"/>
        <v/>
      </c>
      <c r="T4210" t="str">
        <f t="shared" si="248"/>
        <v/>
      </c>
    </row>
    <row r="4211" spans="18:20">
      <c r="R4211" s="24" t="str">
        <f t="shared" si="249"/>
        <v/>
      </c>
      <c r="S4211" s="24" t="str">
        <f t="shared" si="250"/>
        <v/>
      </c>
      <c r="T4211" t="str">
        <f t="shared" si="248"/>
        <v/>
      </c>
    </row>
    <row r="4212" spans="18:20">
      <c r="R4212" s="24" t="str">
        <f t="shared" si="249"/>
        <v/>
      </c>
      <c r="S4212" s="24" t="str">
        <f t="shared" si="250"/>
        <v/>
      </c>
      <c r="T4212" t="str">
        <f t="shared" si="248"/>
        <v/>
      </c>
    </row>
    <row r="4213" spans="18:20">
      <c r="R4213" s="24" t="str">
        <f t="shared" si="249"/>
        <v/>
      </c>
      <c r="S4213" s="24" t="str">
        <f t="shared" si="250"/>
        <v/>
      </c>
      <c r="T4213" t="str">
        <f t="shared" si="248"/>
        <v/>
      </c>
    </row>
    <row r="4214" spans="18:20">
      <c r="R4214" s="24" t="str">
        <f t="shared" si="249"/>
        <v/>
      </c>
      <c r="S4214" s="24" t="str">
        <f t="shared" si="250"/>
        <v/>
      </c>
      <c r="T4214" t="str">
        <f t="shared" si="248"/>
        <v/>
      </c>
    </row>
    <row r="4215" spans="18:20">
      <c r="R4215" s="24" t="str">
        <f t="shared" si="249"/>
        <v/>
      </c>
      <c r="S4215" s="24" t="str">
        <f t="shared" si="250"/>
        <v/>
      </c>
      <c r="T4215" t="str">
        <f t="shared" si="248"/>
        <v/>
      </c>
    </row>
    <row r="4216" spans="18:20">
      <c r="R4216" s="24" t="str">
        <f t="shared" si="249"/>
        <v/>
      </c>
      <c r="S4216" s="24" t="str">
        <f t="shared" si="250"/>
        <v/>
      </c>
      <c r="T4216" t="str">
        <f t="shared" si="248"/>
        <v/>
      </c>
    </row>
    <row r="4217" spans="18:20">
      <c r="R4217" s="24" t="str">
        <f t="shared" si="249"/>
        <v/>
      </c>
      <c r="S4217" s="24" t="str">
        <f t="shared" si="250"/>
        <v/>
      </c>
      <c r="T4217" t="str">
        <f t="shared" si="248"/>
        <v/>
      </c>
    </row>
    <row r="4218" spans="18:20">
      <c r="R4218" s="24" t="str">
        <f t="shared" si="249"/>
        <v/>
      </c>
      <c r="S4218" s="24" t="str">
        <f t="shared" si="250"/>
        <v/>
      </c>
      <c r="T4218" t="str">
        <f t="shared" si="248"/>
        <v/>
      </c>
    </row>
    <row r="4219" spans="18:20">
      <c r="R4219" s="24" t="str">
        <f t="shared" si="249"/>
        <v/>
      </c>
      <c r="S4219" s="24" t="str">
        <f t="shared" si="250"/>
        <v/>
      </c>
      <c r="T4219" t="str">
        <f t="shared" si="248"/>
        <v/>
      </c>
    </row>
    <row r="4220" spans="18:20">
      <c r="R4220" s="24" t="str">
        <f t="shared" si="249"/>
        <v/>
      </c>
      <c r="S4220" s="24" t="str">
        <f t="shared" si="250"/>
        <v/>
      </c>
      <c r="T4220" t="str">
        <f t="shared" si="248"/>
        <v/>
      </c>
    </row>
    <row r="4221" spans="18:20">
      <c r="R4221" s="24" t="str">
        <f t="shared" si="249"/>
        <v/>
      </c>
      <c r="S4221" s="24" t="str">
        <f t="shared" si="250"/>
        <v/>
      </c>
      <c r="T4221" t="str">
        <f t="shared" si="248"/>
        <v/>
      </c>
    </row>
    <row r="4222" spans="18:20">
      <c r="R4222" s="24" t="str">
        <f t="shared" si="249"/>
        <v/>
      </c>
      <c r="S4222" s="24" t="str">
        <f t="shared" si="250"/>
        <v/>
      </c>
      <c r="T4222" t="str">
        <f t="shared" si="248"/>
        <v/>
      </c>
    </row>
    <row r="4223" spans="18:20">
      <c r="R4223" s="24" t="str">
        <f t="shared" si="249"/>
        <v/>
      </c>
      <c r="S4223" s="24" t="str">
        <f t="shared" si="250"/>
        <v/>
      </c>
      <c r="T4223" t="str">
        <f t="shared" si="248"/>
        <v/>
      </c>
    </row>
    <row r="4224" spans="18:20">
      <c r="R4224" s="24" t="str">
        <f t="shared" si="249"/>
        <v/>
      </c>
      <c r="S4224" s="24" t="str">
        <f t="shared" si="250"/>
        <v/>
      </c>
      <c r="T4224" t="str">
        <f t="shared" si="248"/>
        <v/>
      </c>
    </row>
    <row r="4225" spans="18:20">
      <c r="R4225" s="24" t="str">
        <f t="shared" si="249"/>
        <v/>
      </c>
      <c r="S4225" s="24" t="str">
        <f t="shared" si="250"/>
        <v/>
      </c>
      <c r="T4225" t="str">
        <f t="shared" si="248"/>
        <v/>
      </c>
    </row>
    <row r="4226" spans="18:20">
      <c r="R4226" s="24" t="str">
        <f t="shared" si="249"/>
        <v/>
      </c>
      <c r="S4226" s="24" t="str">
        <f t="shared" si="250"/>
        <v/>
      </c>
      <c r="T4226" t="str">
        <f t="shared" si="248"/>
        <v/>
      </c>
    </row>
    <row r="4227" spans="18:20">
      <c r="R4227" s="24" t="str">
        <f t="shared" si="249"/>
        <v/>
      </c>
      <c r="S4227" s="24" t="str">
        <f t="shared" si="250"/>
        <v/>
      </c>
      <c r="T4227" t="str">
        <f t="shared" si="248"/>
        <v/>
      </c>
    </row>
    <row r="4228" spans="18:20">
      <c r="R4228" s="24" t="str">
        <f t="shared" si="249"/>
        <v/>
      </c>
      <c r="S4228" s="24" t="str">
        <f t="shared" si="250"/>
        <v/>
      </c>
      <c r="T4228" t="str">
        <f t="shared" si="248"/>
        <v/>
      </c>
    </row>
    <row r="4229" spans="18:20">
      <c r="R4229" s="24" t="str">
        <f t="shared" si="249"/>
        <v/>
      </c>
      <c r="S4229" s="24" t="str">
        <f t="shared" si="250"/>
        <v/>
      </c>
      <c r="T4229" t="str">
        <f t="shared" si="248"/>
        <v/>
      </c>
    </row>
    <row r="4230" spans="18:20">
      <c r="R4230" s="24" t="str">
        <f t="shared" si="249"/>
        <v/>
      </c>
      <c r="S4230" s="24" t="str">
        <f t="shared" si="250"/>
        <v/>
      </c>
      <c r="T4230" t="str">
        <f t="shared" si="248"/>
        <v/>
      </c>
    </row>
    <row r="4231" spans="18:20">
      <c r="R4231" s="24" t="str">
        <f t="shared" si="249"/>
        <v/>
      </c>
      <c r="S4231" s="24" t="str">
        <f t="shared" si="250"/>
        <v/>
      </c>
      <c r="T4231" t="str">
        <f t="shared" si="248"/>
        <v/>
      </c>
    </row>
    <row r="4232" spans="18:20">
      <c r="R4232" s="24" t="str">
        <f t="shared" si="249"/>
        <v/>
      </c>
      <c r="S4232" s="24" t="str">
        <f t="shared" si="250"/>
        <v/>
      </c>
      <c r="T4232" t="str">
        <f t="shared" si="248"/>
        <v/>
      </c>
    </row>
    <row r="4233" spans="18:20">
      <c r="R4233" s="24" t="str">
        <f t="shared" si="249"/>
        <v/>
      </c>
      <c r="S4233" s="24" t="str">
        <f t="shared" si="250"/>
        <v/>
      </c>
      <c r="T4233" t="str">
        <f t="shared" si="248"/>
        <v/>
      </c>
    </row>
    <row r="4234" spans="18:20">
      <c r="R4234" s="24" t="str">
        <f t="shared" si="249"/>
        <v/>
      </c>
      <c r="S4234" s="24" t="str">
        <f t="shared" si="250"/>
        <v/>
      </c>
      <c r="T4234" t="str">
        <f t="shared" si="248"/>
        <v/>
      </c>
    </row>
    <row r="4235" spans="18:20">
      <c r="R4235" s="24" t="str">
        <f t="shared" si="249"/>
        <v/>
      </c>
      <c r="S4235" s="24" t="str">
        <f t="shared" si="250"/>
        <v/>
      </c>
      <c r="T4235" t="str">
        <f t="shared" si="248"/>
        <v/>
      </c>
    </row>
    <row r="4236" spans="18:20">
      <c r="R4236" s="24" t="str">
        <f t="shared" si="249"/>
        <v/>
      </c>
      <c r="S4236" s="24" t="str">
        <f t="shared" si="250"/>
        <v/>
      </c>
      <c r="T4236" t="str">
        <f t="shared" si="248"/>
        <v/>
      </c>
    </row>
    <row r="4237" spans="18:20">
      <c r="R4237" s="24" t="str">
        <f t="shared" si="249"/>
        <v/>
      </c>
      <c r="S4237" s="24" t="str">
        <f t="shared" si="250"/>
        <v/>
      </c>
      <c r="T4237" t="str">
        <f t="shared" si="248"/>
        <v/>
      </c>
    </row>
    <row r="4238" spans="18:20">
      <c r="R4238" s="24" t="str">
        <f t="shared" si="249"/>
        <v/>
      </c>
      <c r="S4238" s="24" t="str">
        <f t="shared" si="250"/>
        <v/>
      </c>
      <c r="T4238" t="str">
        <f t="shared" si="248"/>
        <v/>
      </c>
    </row>
    <row r="4239" spans="18:20">
      <c r="R4239" s="24" t="str">
        <f t="shared" si="249"/>
        <v/>
      </c>
      <c r="S4239" s="24" t="str">
        <f t="shared" si="250"/>
        <v/>
      </c>
      <c r="T4239" t="str">
        <f t="shared" ref="T4239:T4302" si="251">IF(OR(C4239="",I4239&lt;&gt;"ENTRADA"),"",TEXT(B4239,"AAMMDD")&amp;"-"&amp;TEXT(VALUE(SUBSTITUTE(A4239,"MOV-","")),"000"))</f>
        <v/>
      </c>
    </row>
    <row r="4240" spans="18:20">
      <c r="R4240" s="24" t="str">
        <f t="shared" ref="R4240:R4303" si="252">IF(H4240="","",H4240&amp;I4240)</f>
        <v/>
      </c>
      <c r="S4240" s="24" t="str">
        <f t="shared" ref="S4240:S4303" si="253">IF(C4240="","",C4240&amp;I4240)</f>
        <v/>
      </c>
      <c r="T4240" t="str">
        <f t="shared" si="251"/>
        <v/>
      </c>
    </row>
    <row r="4241" spans="18:20">
      <c r="R4241" s="24" t="str">
        <f t="shared" si="252"/>
        <v/>
      </c>
      <c r="S4241" s="24" t="str">
        <f t="shared" si="253"/>
        <v/>
      </c>
      <c r="T4241" t="str">
        <f t="shared" si="251"/>
        <v/>
      </c>
    </row>
    <row r="4242" spans="18:20">
      <c r="R4242" s="24" t="str">
        <f t="shared" si="252"/>
        <v/>
      </c>
      <c r="S4242" s="24" t="str">
        <f t="shared" si="253"/>
        <v/>
      </c>
      <c r="T4242" t="str">
        <f t="shared" si="251"/>
        <v/>
      </c>
    </row>
    <row r="4243" spans="18:20">
      <c r="R4243" s="24" t="str">
        <f t="shared" si="252"/>
        <v/>
      </c>
      <c r="S4243" s="24" t="str">
        <f t="shared" si="253"/>
        <v/>
      </c>
      <c r="T4243" t="str">
        <f t="shared" si="251"/>
        <v/>
      </c>
    </row>
    <row r="4244" spans="18:20">
      <c r="R4244" s="24" t="str">
        <f t="shared" si="252"/>
        <v/>
      </c>
      <c r="S4244" s="24" t="str">
        <f t="shared" si="253"/>
        <v/>
      </c>
      <c r="T4244" t="str">
        <f t="shared" si="251"/>
        <v/>
      </c>
    </row>
    <row r="4245" spans="18:20">
      <c r="R4245" s="24" t="str">
        <f t="shared" si="252"/>
        <v/>
      </c>
      <c r="S4245" s="24" t="str">
        <f t="shared" si="253"/>
        <v/>
      </c>
      <c r="T4245" t="str">
        <f t="shared" si="251"/>
        <v/>
      </c>
    </row>
    <row r="4246" spans="18:20">
      <c r="R4246" s="24" t="str">
        <f t="shared" si="252"/>
        <v/>
      </c>
      <c r="S4246" s="24" t="str">
        <f t="shared" si="253"/>
        <v/>
      </c>
      <c r="T4246" t="str">
        <f t="shared" si="251"/>
        <v/>
      </c>
    </row>
    <row r="4247" spans="18:20">
      <c r="R4247" s="24" t="str">
        <f t="shared" si="252"/>
        <v/>
      </c>
      <c r="S4247" s="24" t="str">
        <f t="shared" si="253"/>
        <v/>
      </c>
      <c r="T4247" t="str">
        <f t="shared" si="251"/>
        <v/>
      </c>
    </row>
    <row r="4248" spans="18:20">
      <c r="R4248" s="24" t="str">
        <f t="shared" si="252"/>
        <v/>
      </c>
      <c r="S4248" s="24" t="str">
        <f t="shared" si="253"/>
        <v/>
      </c>
      <c r="T4248" t="str">
        <f t="shared" si="251"/>
        <v/>
      </c>
    </row>
    <row r="4249" spans="18:20">
      <c r="R4249" s="24" t="str">
        <f t="shared" si="252"/>
        <v/>
      </c>
      <c r="S4249" s="24" t="str">
        <f t="shared" si="253"/>
        <v/>
      </c>
      <c r="T4249" t="str">
        <f t="shared" si="251"/>
        <v/>
      </c>
    </row>
    <row r="4250" spans="18:20">
      <c r="R4250" s="24" t="str">
        <f t="shared" si="252"/>
        <v/>
      </c>
      <c r="S4250" s="24" t="str">
        <f t="shared" si="253"/>
        <v/>
      </c>
      <c r="T4250" t="str">
        <f t="shared" si="251"/>
        <v/>
      </c>
    </row>
    <row r="4251" spans="18:20">
      <c r="R4251" s="24" t="str">
        <f t="shared" si="252"/>
        <v/>
      </c>
      <c r="S4251" s="24" t="str">
        <f t="shared" si="253"/>
        <v/>
      </c>
      <c r="T4251" t="str">
        <f t="shared" si="251"/>
        <v/>
      </c>
    </row>
    <row r="4252" spans="18:20">
      <c r="R4252" s="24" t="str">
        <f t="shared" si="252"/>
        <v/>
      </c>
      <c r="S4252" s="24" t="str">
        <f t="shared" si="253"/>
        <v/>
      </c>
      <c r="T4252" t="str">
        <f t="shared" si="251"/>
        <v/>
      </c>
    </row>
    <row r="4253" spans="18:20">
      <c r="R4253" s="24" t="str">
        <f t="shared" si="252"/>
        <v/>
      </c>
      <c r="S4253" s="24" t="str">
        <f t="shared" si="253"/>
        <v/>
      </c>
      <c r="T4253" t="str">
        <f t="shared" si="251"/>
        <v/>
      </c>
    </row>
    <row r="4254" spans="18:20">
      <c r="R4254" s="24" t="str">
        <f t="shared" si="252"/>
        <v/>
      </c>
      <c r="S4254" s="24" t="str">
        <f t="shared" si="253"/>
        <v/>
      </c>
      <c r="T4254" t="str">
        <f t="shared" si="251"/>
        <v/>
      </c>
    </row>
    <row r="4255" spans="18:20">
      <c r="R4255" s="24" t="str">
        <f t="shared" si="252"/>
        <v/>
      </c>
      <c r="S4255" s="24" t="str">
        <f t="shared" si="253"/>
        <v/>
      </c>
      <c r="T4255" t="str">
        <f t="shared" si="251"/>
        <v/>
      </c>
    </row>
    <row r="4256" spans="18:20">
      <c r="R4256" s="24" t="str">
        <f t="shared" si="252"/>
        <v/>
      </c>
      <c r="S4256" s="24" t="str">
        <f t="shared" si="253"/>
        <v/>
      </c>
      <c r="T4256" t="str">
        <f t="shared" si="251"/>
        <v/>
      </c>
    </row>
    <row r="4257" spans="18:20">
      <c r="R4257" s="24" t="str">
        <f t="shared" si="252"/>
        <v/>
      </c>
      <c r="S4257" s="24" t="str">
        <f t="shared" si="253"/>
        <v/>
      </c>
      <c r="T4257" t="str">
        <f t="shared" si="251"/>
        <v/>
      </c>
    </row>
    <row r="4258" spans="18:20">
      <c r="R4258" s="24" t="str">
        <f t="shared" si="252"/>
        <v/>
      </c>
      <c r="S4258" s="24" t="str">
        <f t="shared" si="253"/>
        <v/>
      </c>
      <c r="T4258" t="str">
        <f t="shared" si="251"/>
        <v/>
      </c>
    </row>
    <row r="4259" spans="18:20">
      <c r="R4259" s="24" t="str">
        <f t="shared" si="252"/>
        <v/>
      </c>
      <c r="S4259" s="24" t="str">
        <f t="shared" si="253"/>
        <v/>
      </c>
      <c r="T4259" t="str">
        <f t="shared" si="251"/>
        <v/>
      </c>
    </row>
    <row r="4260" spans="18:20">
      <c r="R4260" s="24" t="str">
        <f t="shared" si="252"/>
        <v/>
      </c>
      <c r="S4260" s="24" t="str">
        <f t="shared" si="253"/>
        <v/>
      </c>
      <c r="T4260" t="str">
        <f t="shared" si="251"/>
        <v/>
      </c>
    </row>
    <row r="4261" spans="18:20">
      <c r="R4261" s="24" t="str">
        <f t="shared" si="252"/>
        <v/>
      </c>
      <c r="S4261" s="24" t="str">
        <f t="shared" si="253"/>
        <v/>
      </c>
      <c r="T4261" t="str">
        <f t="shared" si="251"/>
        <v/>
      </c>
    </row>
    <row r="4262" spans="18:20">
      <c r="R4262" s="24" t="str">
        <f t="shared" si="252"/>
        <v/>
      </c>
      <c r="S4262" s="24" t="str">
        <f t="shared" si="253"/>
        <v/>
      </c>
      <c r="T4262" t="str">
        <f t="shared" si="251"/>
        <v/>
      </c>
    </row>
    <row r="4263" spans="18:20">
      <c r="R4263" s="24" t="str">
        <f t="shared" si="252"/>
        <v/>
      </c>
      <c r="S4263" s="24" t="str">
        <f t="shared" si="253"/>
        <v/>
      </c>
      <c r="T4263" t="str">
        <f t="shared" si="251"/>
        <v/>
      </c>
    </row>
    <row r="4264" spans="18:20">
      <c r="R4264" s="24" t="str">
        <f t="shared" si="252"/>
        <v/>
      </c>
      <c r="S4264" s="24" t="str">
        <f t="shared" si="253"/>
        <v/>
      </c>
      <c r="T4264" t="str">
        <f t="shared" si="251"/>
        <v/>
      </c>
    </row>
    <row r="4265" spans="18:20">
      <c r="R4265" s="24" t="str">
        <f t="shared" si="252"/>
        <v/>
      </c>
      <c r="S4265" s="24" t="str">
        <f t="shared" si="253"/>
        <v/>
      </c>
      <c r="T4265" t="str">
        <f t="shared" si="251"/>
        <v/>
      </c>
    </row>
    <row r="4266" spans="18:20">
      <c r="R4266" s="24" t="str">
        <f t="shared" si="252"/>
        <v/>
      </c>
      <c r="S4266" s="24" t="str">
        <f t="shared" si="253"/>
        <v/>
      </c>
      <c r="T4266" t="str">
        <f t="shared" si="251"/>
        <v/>
      </c>
    </row>
    <row r="4267" spans="18:20">
      <c r="R4267" s="24" t="str">
        <f t="shared" si="252"/>
        <v/>
      </c>
      <c r="S4267" s="24" t="str">
        <f t="shared" si="253"/>
        <v/>
      </c>
      <c r="T4267" t="str">
        <f t="shared" si="251"/>
        <v/>
      </c>
    </row>
    <row r="4268" spans="18:20">
      <c r="R4268" s="24" t="str">
        <f t="shared" si="252"/>
        <v/>
      </c>
      <c r="S4268" s="24" t="str">
        <f t="shared" si="253"/>
        <v/>
      </c>
      <c r="T4268" t="str">
        <f t="shared" si="251"/>
        <v/>
      </c>
    </row>
    <row r="4269" spans="18:20">
      <c r="R4269" s="24" t="str">
        <f t="shared" si="252"/>
        <v/>
      </c>
      <c r="S4269" s="24" t="str">
        <f t="shared" si="253"/>
        <v/>
      </c>
      <c r="T4269" t="str">
        <f t="shared" si="251"/>
        <v/>
      </c>
    </row>
    <row r="4270" spans="18:20">
      <c r="R4270" s="24" t="str">
        <f t="shared" si="252"/>
        <v/>
      </c>
      <c r="S4270" s="24" t="str">
        <f t="shared" si="253"/>
        <v/>
      </c>
      <c r="T4270" t="str">
        <f t="shared" si="251"/>
        <v/>
      </c>
    </row>
    <row r="4271" spans="18:20">
      <c r="R4271" s="24" t="str">
        <f t="shared" si="252"/>
        <v/>
      </c>
      <c r="S4271" s="24" t="str">
        <f t="shared" si="253"/>
        <v/>
      </c>
      <c r="T4271" t="str">
        <f t="shared" si="251"/>
        <v/>
      </c>
    </row>
    <row r="4272" spans="18:20">
      <c r="R4272" s="24" t="str">
        <f t="shared" si="252"/>
        <v/>
      </c>
      <c r="S4272" s="24" t="str">
        <f t="shared" si="253"/>
        <v/>
      </c>
      <c r="T4272" t="str">
        <f t="shared" si="251"/>
        <v/>
      </c>
    </row>
    <row r="4273" spans="18:20">
      <c r="R4273" s="24" t="str">
        <f t="shared" si="252"/>
        <v/>
      </c>
      <c r="S4273" s="24" t="str">
        <f t="shared" si="253"/>
        <v/>
      </c>
      <c r="T4273" t="str">
        <f t="shared" si="251"/>
        <v/>
      </c>
    </row>
    <row r="4274" spans="18:20">
      <c r="R4274" s="24" t="str">
        <f t="shared" si="252"/>
        <v/>
      </c>
      <c r="S4274" s="24" t="str">
        <f t="shared" si="253"/>
        <v/>
      </c>
      <c r="T4274" t="str">
        <f t="shared" si="251"/>
        <v/>
      </c>
    </row>
    <row r="4275" spans="18:20">
      <c r="R4275" s="24" t="str">
        <f t="shared" si="252"/>
        <v/>
      </c>
      <c r="S4275" s="24" t="str">
        <f t="shared" si="253"/>
        <v/>
      </c>
      <c r="T4275" t="str">
        <f t="shared" si="251"/>
        <v/>
      </c>
    </row>
    <row r="4276" spans="18:20">
      <c r="R4276" s="24" t="str">
        <f t="shared" si="252"/>
        <v/>
      </c>
      <c r="S4276" s="24" t="str">
        <f t="shared" si="253"/>
        <v/>
      </c>
      <c r="T4276" t="str">
        <f t="shared" si="251"/>
        <v/>
      </c>
    </row>
    <row r="4277" spans="18:20">
      <c r="R4277" s="24" t="str">
        <f t="shared" si="252"/>
        <v/>
      </c>
      <c r="S4277" s="24" t="str">
        <f t="shared" si="253"/>
        <v/>
      </c>
      <c r="T4277" t="str">
        <f t="shared" si="251"/>
        <v/>
      </c>
    </row>
    <row r="4278" spans="18:20">
      <c r="R4278" s="24" t="str">
        <f t="shared" si="252"/>
        <v/>
      </c>
      <c r="S4278" s="24" t="str">
        <f t="shared" si="253"/>
        <v/>
      </c>
      <c r="T4278" t="str">
        <f t="shared" si="251"/>
        <v/>
      </c>
    </row>
    <row r="4279" spans="18:20">
      <c r="R4279" s="24" t="str">
        <f t="shared" si="252"/>
        <v/>
      </c>
      <c r="S4279" s="24" t="str">
        <f t="shared" si="253"/>
        <v/>
      </c>
      <c r="T4279" t="str">
        <f t="shared" si="251"/>
        <v/>
      </c>
    </row>
    <row r="4280" spans="18:20">
      <c r="R4280" s="24" t="str">
        <f t="shared" si="252"/>
        <v/>
      </c>
      <c r="S4280" s="24" t="str">
        <f t="shared" si="253"/>
        <v/>
      </c>
      <c r="T4280" t="str">
        <f t="shared" si="251"/>
        <v/>
      </c>
    </row>
    <row r="4281" spans="18:20">
      <c r="R4281" s="24" t="str">
        <f t="shared" si="252"/>
        <v/>
      </c>
      <c r="S4281" s="24" t="str">
        <f t="shared" si="253"/>
        <v/>
      </c>
      <c r="T4281" t="str">
        <f t="shared" si="251"/>
        <v/>
      </c>
    </row>
    <row r="4282" spans="18:20">
      <c r="R4282" s="24" t="str">
        <f t="shared" si="252"/>
        <v/>
      </c>
      <c r="S4282" s="24" t="str">
        <f t="shared" si="253"/>
        <v/>
      </c>
      <c r="T4282" t="str">
        <f t="shared" si="251"/>
        <v/>
      </c>
    </row>
    <row r="4283" spans="18:20">
      <c r="R4283" s="24" t="str">
        <f t="shared" si="252"/>
        <v/>
      </c>
      <c r="S4283" s="24" t="str">
        <f t="shared" si="253"/>
        <v/>
      </c>
      <c r="T4283" t="str">
        <f t="shared" si="251"/>
        <v/>
      </c>
    </row>
    <row r="4284" spans="18:20">
      <c r="R4284" s="24" t="str">
        <f t="shared" si="252"/>
        <v/>
      </c>
      <c r="S4284" s="24" t="str">
        <f t="shared" si="253"/>
        <v/>
      </c>
      <c r="T4284" t="str">
        <f t="shared" si="251"/>
        <v/>
      </c>
    </row>
    <row r="4285" spans="18:20">
      <c r="R4285" s="24" t="str">
        <f t="shared" si="252"/>
        <v/>
      </c>
      <c r="S4285" s="24" t="str">
        <f t="shared" si="253"/>
        <v/>
      </c>
      <c r="T4285" t="str">
        <f t="shared" si="251"/>
        <v/>
      </c>
    </row>
    <row r="4286" spans="18:20">
      <c r="R4286" s="24" t="str">
        <f t="shared" si="252"/>
        <v/>
      </c>
      <c r="S4286" s="24" t="str">
        <f t="shared" si="253"/>
        <v/>
      </c>
      <c r="T4286" t="str">
        <f t="shared" si="251"/>
        <v/>
      </c>
    </row>
    <row r="4287" spans="18:20">
      <c r="R4287" s="24" t="str">
        <f t="shared" si="252"/>
        <v/>
      </c>
      <c r="S4287" s="24" t="str">
        <f t="shared" si="253"/>
        <v/>
      </c>
      <c r="T4287" t="str">
        <f t="shared" si="251"/>
        <v/>
      </c>
    </row>
    <row r="4288" spans="18:20">
      <c r="R4288" s="24" t="str">
        <f t="shared" si="252"/>
        <v/>
      </c>
      <c r="S4288" s="24" t="str">
        <f t="shared" si="253"/>
        <v/>
      </c>
      <c r="T4288" t="str">
        <f t="shared" si="251"/>
        <v/>
      </c>
    </row>
    <row r="4289" spans="18:20">
      <c r="R4289" s="24" t="str">
        <f t="shared" si="252"/>
        <v/>
      </c>
      <c r="S4289" s="24" t="str">
        <f t="shared" si="253"/>
        <v/>
      </c>
      <c r="T4289" t="str">
        <f t="shared" si="251"/>
        <v/>
      </c>
    </row>
    <row r="4290" spans="18:20">
      <c r="R4290" s="24" t="str">
        <f t="shared" si="252"/>
        <v/>
      </c>
      <c r="S4290" s="24" t="str">
        <f t="shared" si="253"/>
        <v/>
      </c>
      <c r="T4290" t="str">
        <f t="shared" si="251"/>
        <v/>
      </c>
    </row>
    <row r="4291" spans="18:20">
      <c r="R4291" s="24" t="str">
        <f t="shared" si="252"/>
        <v/>
      </c>
      <c r="S4291" s="24" t="str">
        <f t="shared" si="253"/>
        <v/>
      </c>
      <c r="T4291" t="str">
        <f t="shared" si="251"/>
        <v/>
      </c>
    </row>
    <row r="4292" spans="18:20">
      <c r="R4292" s="24" t="str">
        <f t="shared" si="252"/>
        <v/>
      </c>
      <c r="S4292" s="24" t="str">
        <f t="shared" si="253"/>
        <v/>
      </c>
      <c r="T4292" t="str">
        <f t="shared" si="251"/>
        <v/>
      </c>
    </row>
    <row r="4293" spans="18:20">
      <c r="R4293" s="24" t="str">
        <f t="shared" si="252"/>
        <v/>
      </c>
      <c r="S4293" s="24" t="str">
        <f t="shared" si="253"/>
        <v/>
      </c>
      <c r="T4293" t="str">
        <f t="shared" si="251"/>
        <v/>
      </c>
    </row>
    <row r="4294" spans="18:20">
      <c r="R4294" s="24" t="str">
        <f t="shared" si="252"/>
        <v/>
      </c>
      <c r="S4294" s="24" t="str">
        <f t="shared" si="253"/>
        <v/>
      </c>
      <c r="T4294" t="str">
        <f t="shared" si="251"/>
        <v/>
      </c>
    </row>
    <row r="4295" spans="18:20">
      <c r="R4295" s="24" t="str">
        <f t="shared" si="252"/>
        <v/>
      </c>
      <c r="S4295" s="24" t="str">
        <f t="shared" si="253"/>
        <v/>
      </c>
      <c r="T4295" t="str">
        <f t="shared" si="251"/>
        <v/>
      </c>
    </row>
    <row r="4296" spans="18:20">
      <c r="R4296" s="24" t="str">
        <f t="shared" si="252"/>
        <v/>
      </c>
      <c r="S4296" s="24" t="str">
        <f t="shared" si="253"/>
        <v/>
      </c>
      <c r="T4296" t="str">
        <f t="shared" si="251"/>
        <v/>
      </c>
    </row>
    <row r="4297" spans="18:20">
      <c r="R4297" s="24" t="str">
        <f t="shared" si="252"/>
        <v/>
      </c>
      <c r="S4297" s="24" t="str">
        <f t="shared" si="253"/>
        <v/>
      </c>
      <c r="T4297" t="str">
        <f t="shared" si="251"/>
        <v/>
      </c>
    </row>
    <row r="4298" spans="18:20">
      <c r="R4298" s="24" t="str">
        <f t="shared" si="252"/>
        <v/>
      </c>
      <c r="S4298" s="24" t="str">
        <f t="shared" si="253"/>
        <v/>
      </c>
      <c r="T4298" t="str">
        <f t="shared" si="251"/>
        <v/>
      </c>
    </row>
    <row r="4299" spans="18:20">
      <c r="R4299" s="24" t="str">
        <f t="shared" si="252"/>
        <v/>
      </c>
      <c r="S4299" s="24" t="str">
        <f t="shared" si="253"/>
        <v/>
      </c>
      <c r="T4299" t="str">
        <f t="shared" si="251"/>
        <v/>
      </c>
    </row>
    <row r="4300" spans="18:20">
      <c r="R4300" s="24" t="str">
        <f t="shared" si="252"/>
        <v/>
      </c>
      <c r="S4300" s="24" t="str">
        <f t="shared" si="253"/>
        <v/>
      </c>
      <c r="T4300" t="str">
        <f t="shared" si="251"/>
        <v/>
      </c>
    </row>
    <row r="4301" spans="18:20">
      <c r="R4301" s="24" t="str">
        <f t="shared" si="252"/>
        <v/>
      </c>
      <c r="S4301" s="24" t="str">
        <f t="shared" si="253"/>
        <v/>
      </c>
      <c r="T4301" t="str">
        <f t="shared" si="251"/>
        <v/>
      </c>
    </row>
    <row r="4302" spans="18:20">
      <c r="R4302" s="24" t="str">
        <f t="shared" si="252"/>
        <v/>
      </c>
      <c r="S4302" s="24" t="str">
        <f t="shared" si="253"/>
        <v/>
      </c>
      <c r="T4302" t="str">
        <f t="shared" si="251"/>
        <v/>
      </c>
    </row>
    <row r="4303" spans="18:20">
      <c r="R4303" s="24" t="str">
        <f t="shared" si="252"/>
        <v/>
      </c>
      <c r="S4303" s="24" t="str">
        <f t="shared" si="253"/>
        <v/>
      </c>
      <c r="T4303" t="str">
        <f t="shared" ref="T4303:T4366" si="254">IF(OR(C4303="",I4303&lt;&gt;"ENTRADA"),"",TEXT(B4303,"AAMMDD")&amp;"-"&amp;TEXT(VALUE(SUBSTITUTE(A4303,"MOV-","")),"000"))</f>
        <v/>
      </c>
    </row>
    <row r="4304" spans="18:20">
      <c r="R4304" s="24" t="str">
        <f t="shared" ref="R4304:R4367" si="255">IF(H4304="","",H4304&amp;I4304)</f>
        <v/>
      </c>
      <c r="S4304" s="24" t="str">
        <f t="shared" ref="S4304:S4367" si="256">IF(C4304="","",C4304&amp;I4304)</f>
        <v/>
      </c>
      <c r="T4304" t="str">
        <f t="shared" si="254"/>
        <v/>
      </c>
    </row>
    <row r="4305" spans="18:20">
      <c r="R4305" s="24" t="str">
        <f t="shared" si="255"/>
        <v/>
      </c>
      <c r="S4305" s="24" t="str">
        <f t="shared" si="256"/>
        <v/>
      </c>
      <c r="T4305" t="str">
        <f t="shared" si="254"/>
        <v/>
      </c>
    </row>
    <row r="4306" spans="18:20">
      <c r="R4306" s="24" t="str">
        <f t="shared" si="255"/>
        <v/>
      </c>
      <c r="S4306" s="24" t="str">
        <f t="shared" si="256"/>
        <v/>
      </c>
      <c r="T4306" t="str">
        <f t="shared" si="254"/>
        <v/>
      </c>
    </row>
    <row r="4307" spans="18:20">
      <c r="R4307" s="24" t="str">
        <f t="shared" si="255"/>
        <v/>
      </c>
      <c r="S4307" s="24" t="str">
        <f t="shared" si="256"/>
        <v/>
      </c>
      <c r="T4307" t="str">
        <f t="shared" si="254"/>
        <v/>
      </c>
    </row>
    <row r="4308" spans="18:20">
      <c r="R4308" s="24" t="str">
        <f t="shared" si="255"/>
        <v/>
      </c>
      <c r="S4308" s="24" t="str">
        <f t="shared" si="256"/>
        <v/>
      </c>
      <c r="T4308" t="str">
        <f t="shared" si="254"/>
        <v/>
      </c>
    </row>
    <row r="4309" spans="18:20">
      <c r="R4309" s="24" t="str">
        <f t="shared" si="255"/>
        <v/>
      </c>
      <c r="S4309" s="24" t="str">
        <f t="shared" si="256"/>
        <v/>
      </c>
      <c r="T4309" t="str">
        <f t="shared" si="254"/>
        <v/>
      </c>
    </row>
    <row r="4310" spans="18:20">
      <c r="R4310" s="24" t="str">
        <f t="shared" si="255"/>
        <v/>
      </c>
      <c r="S4310" s="24" t="str">
        <f t="shared" si="256"/>
        <v/>
      </c>
      <c r="T4310" t="str">
        <f t="shared" si="254"/>
        <v/>
      </c>
    </row>
    <row r="4311" spans="18:20">
      <c r="R4311" s="24" t="str">
        <f t="shared" si="255"/>
        <v/>
      </c>
      <c r="S4311" s="24" t="str">
        <f t="shared" si="256"/>
        <v/>
      </c>
      <c r="T4311" t="str">
        <f t="shared" si="254"/>
        <v/>
      </c>
    </row>
    <row r="4312" spans="18:20">
      <c r="R4312" s="24" t="str">
        <f t="shared" si="255"/>
        <v/>
      </c>
      <c r="S4312" s="24" t="str">
        <f t="shared" si="256"/>
        <v/>
      </c>
      <c r="T4312" t="str">
        <f t="shared" si="254"/>
        <v/>
      </c>
    </row>
    <row r="4313" spans="18:20">
      <c r="R4313" s="24" t="str">
        <f t="shared" si="255"/>
        <v/>
      </c>
      <c r="S4313" s="24" t="str">
        <f t="shared" si="256"/>
        <v/>
      </c>
      <c r="T4313" t="str">
        <f t="shared" si="254"/>
        <v/>
      </c>
    </row>
    <row r="4314" spans="18:20">
      <c r="R4314" s="24" t="str">
        <f t="shared" si="255"/>
        <v/>
      </c>
      <c r="S4314" s="24" t="str">
        <f t="shared" si="256"/>
        <v/>
      </c>
      <c r="T4314" t="str">
        <f t="shared" si="254"/>
        <v/>
      </c>
    </row>
    <row r="4315" spans="18:20">
      <c r="R4315" s="24" t="str">
        <f t="shared" si="255"/>
        <v/>
      </c>
      <c r="S4315" s="24" t="str">
        <f t="shared" si="256"/>
        <v/>
      </c>
      <c r="T4315" t="str">
        <f t="shared" si="254"/>
        <v/>
      </c>
    </row>
    <row r="4316" spans="18:20">
      <c r="R4316" s="24" t="str">
        <f t="shared" si="255"/>
        <v/>
      </c>
      <c r="S4316" s="24" t="str">
        <f t="shared" si="256"/>
        <v/>
      </c>
      <c r="T4316" t="str">
        <f t="shared" si="254"/>
        <v/>
      </c>
    </row>
    <row r="4317" spans="18:20">
      <c r="R4317" s="24" t="str">
        <f t="shared" si="255"/>
        <v/>
      </c>
      <c r="S4317" s="24" t="str">
        <f t="shared" si="256"/>
        <v/>
      </c>
      <c r="T4317" t="str">
        <f t="shared" si="254"/>
        <v/>
      </c>
    </row>
    <row r="4318" spans="18:20">
      <c r="R4318" s="24" t="str">
        <f t="shared" si="255"/>
        <v/>
      </c>
      <c r="S4318" s="24" t="str">
        <f t="shared" si="256"/>
        <v/>
      </c>
      <c r="T4318" t="str">
        <f t="shared" si="254"/>
        <v/>
      </c>
    </row>
    <row r="4319" spans="18:20">
      <c r="R4319" s="24" t="str">
        <f t="shared" si="255"/>
        <v/>
      </c>
      <c r="S4319" s="24" t="str">
        <f t="shared" si="256"/>
        <v/>
      </c>
      <c r="T4319" t="str">
        <f t="shared" si="254"/>
        <v/>
      </c>
    </row>
    <row r="4320" spans="18:20">
      <c r="R4320" s="24" t="str">
        <f t="shared" si="255"/>
        <v/>
      </c>
      <c r="S4320" s="24" t="str">
        <f t="shared" si="256"/>
        <v/>
      </c>
      <c r="T4320" t="str">
        <f t="shared" si="254"/>
        <v/>
      </c>
    </row>
    <row r="4321" spans="18:20">
      <c r="R4321" s="24" t="str">
        <f t="shared" si="255"/>
        <v/>
      </c>
      <c r="S4321" s="24" t="str">
        <f t="shared" si="256"/>
        <v/>
      </c>
      <c r="T4321" t="str">
        <f t="shared" si="254"/>
        <v/>
      </c>
    </row>
    <row r="4322" spans="18:20">
      <c r="R4322" s="24" t="str">
        <f t="shared" si="255"/>
        <v/>
      </c>
      <c r="S4322" s="24" t="str">
        <f t="shared" si="256"/>
        <v/>
      </c>
      <c r="T4322" t="str">
        <f t="shared" si="254"/>
        <v/>
      </c>
    </row>
    <row r="4323" spans="18:20">
      <c r="R4323" s="24" t="str">
        <f t="shared" si="255"/>
        <v/>
      </c>
      <c r="S4323" s="24" t="str">
        <f t="shared" si="256"/>
        <v/>
      </c>
      <c r="T4323" t="str">
        <f t="shared" si="254"/>
        <v/>
      </c>
    </row>
    <row r="4324" spans="18:20">
      <c r="R4324" s="24" t="str">
        <f t="shared" si="255"/>
        <v/>
      </c>
      <c r="S4324" s="24" t="str">
        <f t="shared" si="256"/>
        <v/>
      </c>
      <c r="T4324" t="str">
        <f t="shared" si="254"/>
        <v/>
      </c>
    </row>
    <row r="4325" spans="18:20">
      <c r="R4325" s="24" t="str">
        <f t="shared" si="255"/>
        <v/>
      </c>
      <c r="S4325" s="24" t="str">
        <f t="shared" si="256"/>
        <v/>
      </c>
      <c r="T4325" t="str">
        <f t="shared" si="254"/>
        <v/>
      </c>
    </row>
    <row r="4326" spans="18:20">
      <c r="R4326" s="24" t="str">
        <f t="shared" si="255"/>
        <v/>
      </c>
      <c r="S4326" s="24" t="str">
        <f t="shared" si="256"/>
        <v/>
      </c>
      <c r="T4326" t="str">
        <f t="shared" si="254"/>
        <v/>
      </c>
    </row>
    <row r="4327" spans="18:20">
      <c r="R4327" s="24" t="str">
        <f t="shared" si="255"/>
        <v/>
      </c>
      <c r="S4327" s="24" t="str">
        <f t="shared" si="256"/>
        <v/>
      </c>
      <c r="T4327" t="str">
        <f t="shared" si="254"/>
        <v/>
      </c>
    </row>
    <row r="4328" spans="18:20">
      <c r="R4328" s="24" t="str">
        <f t="shared" si="255"/>
        <v/>
      </c>
      <c r="S4328" s="24" t="str">
        <f t="shared" si="256"/>
        <v/>
      </c>
      <c r="T4328" t="str">
        <f t="shared" si="254"/>
        <v/>
      </c>
    </row>
    <row r="4329" spans="18:20">
      <c r="R4329" s="24" t="str">
        <f t="shared" si="255"/>
        <v/>
      </c>
      <c r="S4329" s="24" t="str">
        <f t="shared" si="256"/>
        <v/>
      </c>
      <c r="T4329" t="str">
        <f t="shared" si="254"/>
        <v/>
      </c>
    </row>
    <row r="4330" spans="18:20">
      <c r="R4330" s="24" t="str">
        <f t="shared" si="255"/>
        <v/>
      </c>
      <c r="S4330" s="24" t="str">
        <f t="shared" si="256"/>
        <v/>
      </c>
      <c r="T4330" t="str">
        <f t="shared" si="254"/>
        <v/>
      </c>
    </row>
    <row r="4331" spans="18:20">
      <c r="R4331" s="24" t="str">
        <f t="shared" si="255"/>
        <v/>
      </c>
      <c r="S4331" s="24" t="str">
        <f t="shared" si="256"/>
        <v/>
      </c>
      <c r="T4331" t="str">
        <f t="shared" si="254"/>
        <v/>
      </c>
    </row>
    <row r="4332" spans="18:20">
      <c r="R4332" s="24" t="str">
        <f t="shared" si="255"/>
        <v/>
      </c>
      <c r="S4332" s="24" t="str">
        <f t="shared" si="256"/>
        <v/>
      </c>
      <c r="T4332" t="str">
        <f t="shared" si="254"/>
        <v/>
      </c>
    </row>
    <row r="4333" spans="18:20">
      <c r="R4333" s="24" t="str">
        <f t="shared" si="255"/>
        <v/>
      </c>
      <c r="S4333" s="24" t="str">
        <f t="shared" si="256"/>
        <v/>
      </c>
      <c r="T4333" t="str">
        <f t="shared" si="254"/>
        <v/>
      </c>
    </row>
    <row r="4334" spans="18:20">
      <c r="R4334" s="24" t="str">
        <f t="shared" si="255"/>
        <v/>
      </c>
      <c r="S4334" s="24" t="str">
        <f t="shared" si="256"/>
        <v/>
      </c>
      <c r="T4334" t="str">
        <f t="shared" si="254"/>
        <v/>
      </c>
    </row>
    <row r="4335" spans="18:20">
      <c r="R4335" s="24" t="str">
        <f t="shared" si="255"/>
        <v/>
      </c>
      <c r="S4335" s="24" t="str">
        <f t="shared" si="256"/>
        <v/>
      </c>
      <c r="T4335" t="str">
        <f t="shared" si="254"/>
        <v/>
      </c>
    </row>
    <row r="4336" spans="18:20">
      <c r="R4336" s="24" t="str">
        <f t="shared" si="255"/>
        <v/>
      </c>
      <c r="S4336" s="24" t="str">
        <f t="shared" si="256"/>
        <v/>
      </c>
      <c r="T4336" t="str">
        <f t="shared" si="254"/>
        <v/>
      </c>
    </row>
    <row r="4337" spans="18:20">
      <c r="R4337" s="24" t="str">
        <f t="shared" si="255"/>
        <v/>
      </c>
      <c r="S4337" s="24" t="str">
        <f t="shared" si="256"/>
        <v/>
      </c>
      <c r="T4337" t="str">
        <f t="shared" si="254"/>
        <v/>
      </c>
    </row>
    <row r="4338" spans="18:20">
      <c r="R4338" s="24" t="str">
        <f t="shared" si="255"/>
        <v/>
      </c>
      <c r="S4338" s="24" t="str">
        <f t="shared" si="256"/>
        <v/>
      </c>
      <c r="T4338" t="str">
        <f t="shared" si="254"/>
        <v/>
      </c>
    </row>
    <row r="4339" spans="18:20">
      <c r="R4339" s="24" t="str">
        <f t="shared" si="255"/>
        <v/>
      </c>
      <c r="S4339" s="24" t="str">
        <f t="shared" si="256"/>
        <v/>
      </c>
      <c r="T4339" t="str">
        <f t="shared" si="254"/>
        <v/>
      </c>
    </row>
    <row r="4340" spans="18:20">
      <c r="R4340" s="24" t="str">
        <f t="shared" si="255"/>
        <v/>
      </c>
      <c r="S4340" s="24" t="str">
        <f t="shared" si="256"/>
        <v/>
      </c>
      <c r="T4340" t="str">
        <f t="shared" si="254"/>
        <v/>
      </c>
    </row>
    <row r="4341" spans="18:20">
      <c r="R4341" s="24" t="str">
        <f t="shared" si="255"/>
        <v/>
      </c>
      <c r="S4341" s="24" t="str">
        <f t="shared" si="256"/>
        <v/>
      </c>
      <c r="T4341" t="str">
        <f t="shared" si="254"/>
        <v/>
      </c>
    </row>
    <row r="4342" spans="18:20">
      <c r="R4342" s="24" t="str">
        <f t="shared" si="255"/>
        <v/>
      </c>
      <c r="S4342" s="24" t="str">
        <f t="shared" si="256"/>
        <v/>
      </c>
      <c r="T4342" t="str">
        <f t="shared" si="254"/>
        <v/>
      </c>
    </row>
    <row r="4343" spans="18:20">
      <c r="R4343" s="24" t="str">
        <f t="shared" si="255"/>
        <v/>
      </c>
      <c r="S4343" s="24" t="str">
        <f t="shared" si="256"/>
        <v/>
      </c>
      <c r="T4343" t="str">
        <f t="shared" si="254"/>
        <v/>
      </c>
    </row>
    <row r="4344" spans="18:20">
      <c r="R4344" s="24" t="str">
        <f t="shared" si="255"/>
        <v/>
      </c>
      <c r="S4344" s="24" t="str">
        <f t="shared" si="256"/>
        <v/>
      </c>
      <c r="T4344" t="str">
        <f t="shared" si="254"/>
        <v/>
      </c>
    </row>
    <row r="4345" spans="18:20">
      <c r="R4345" s="24" t="str">
        <f t="shared" si="255"/>
        <v/>
      </c>
      <c r="S4345" s="24" t="str">
        <f t="shared" si="256"/>
        <v/>
      </c>
      <c r="T4345" t="str">
        <f t="shared" si="254"/>
        <v/>
      </c>
    </row>
    <row r="4346" spans="18:20">
      <c r="R4346" s="24" t="str">
        <f t="shared" si="255"/>
        <v/>
      </c>
      <c r="S4346" s="24" t="str">
        <f t="shared" si="256"/>
        <v/>
      </c>
      <c r="T4346" t="str">
        <f t="shared" si="254"/>
        <v/>
      </c>
    </row>
    <row r="4347" spans="18:20">
      <c r="R4347" s="24" t="str">
        <f t="shared" si="255"/>
        <v/>
      </c>
      <c r="S4347" s="24" t="str">
        <f t="shared" si="256"/>
        <v/>
      </c>
      <c r="T4347" t="str">
        <f t="shared" si="254"/>
        <v/>
      </c>
    </row>
    <row r="4348" spans="18:20">
      <c r="R4348" s="24" t="str">
        <f t="shared" si="255"/>
        <v/>
      </c>
      <c r="S4348" s="24" t="str">
        <f t="shared" si="256"/>
        <v/>
      </c>
      <c r="T4348" t="str">
        <f t="shared" si="254"/>
        <v/>
      </c>
    </row>
    <row r="4349" spans="18:20">
      <c r="R4349" s="24" t="str">
        <f t="shared" si="255"/>
        <v/>
      </c>
      <c r="S4349" s="24" t="str">
        <f t="shared" si="256"/>
        <v/>
      </c>
      <c r="T4349" t="str">
        <f t="shared" si="254"/>
        <v/>
      </c>
    </row>
    <row r="4350" spans="18:20">
      <c r="R4350" s="24" t="str">
        <f t="shared" si="255"/>
        <v/>
      </c>
      <c r="S4350" s="24" t="str">
        <f t="shared" si="256"/>
        <v/>
      </c>
      <c r="T4350" t="str">
        <f t="shared" si="254"/>
        <v/>
      </c>
    </row>
    <row r="4351" spans="18:20">
      <c r="R4351" s="24" t="str">
        <f t="shared" si="255"/>
        <v/>
      </c>
      <c r="S4351" s="24" t="str">
        <f t="shared" si="256"/>
        <v/>
      </c>
      <c r="T4351" t="str">
        <f t="shared" si="254"/>
        <v/>
      </c>
    </row>
    <row r="4352" spans="18:20">
      <c r="R4352" s="24" t="str">
        <f t="shared" si="255"/>
        <v/>
      </c>
      <c r="S4352" s="24" t="str">
        <f t="shared" si="256"/>
        <v/>
      </c>
      <c r="T4352" t="str">
        <f t="shared" si="254"/>
        <v/>
      </c>
    </row>
    <row r="4353" spans="18:20">
      <c r="R4353" s="24" t="str">
        <f t="shared" si="255"/>
        <v/>
      </c>
      <c r="S4353" s="24" t="str">
        <f t="shared" si="256"/>
        <v/>
      </c>
      <c r="T4353" t="str">
        <f t="shared" si="254"/>
        <v/>
      </c>
    </row>
    <row r="4354" spans="18:20">
      <c r="R4354" s="24" t="str">
        <f t="shared" si="255"/>
        <v/>
      </c>
      <c r="S4354" s="24" t="str">
        <f t="shared" si="256"/>
        <v/>
      </c>
      <c r="T4354" t="str">
        <f t="shared" si="254"/>
        <v/>
      </c>
    </row>
    <row r="4355" spans="18:20">
      <c r="R4355" s="24" t="str">
        <f t="shared" si="255"/>
        <v/>
      </c>
      <c r="S4355" s="24" t="str">
        <f t="shared" si="256"/>
        <v/>
      </c>
      <c r="T4355" t="str">
        <f t="shared" si="254"/>
        <v/>
      </c>
    </row>
    <row r="4356" spans="18:20">
      <c r="R4356" s="24" t="str">
        <f t="shared" si="255"/>
        <v/>
      </c>
      <c r="S4356" s="24" t="str">
        <f t="shared" si="256"/>
        <v/>
      </c>
      <c r="T4356" t="str">
        <f t="shared" si="254"/>
        <v/>
      </c>
    </row>
    <row r="4357" spans="18:20">
      <c r="R4357" s="24" t="str">
        <f t="shared" si="255"/>
        <v/>
      </c>
      <c r="S4357" s="24" t="str">
        <f t="shared" si="256"/>
        <v/>
      </c>
      <c r="T4357" t="str">
        <f t="shared" si="254"/>
        <v/>
      </c>
    </row>
    <row r="4358" spans="18:20">
      <c r="R4358" s="24" t="str">
        <f t="shared" si="255"/>
        <v/>
      </c>
      <c r="S4358" s="24" t="str">
        <f t="shared" si="256"/>
        <v/>
      </c>
      <c r="T4358" t="str">
        <f t="shared" si="254"/>
        <v/>
      </c>
    </row>
    <row r="4359" spans="18:20">
      <c r="R4359" s="24" t="str">
        <f t="shared" si="255"/>
        <v/>
      </c>
      <c r="S4359" s="24" t="str">
        <f t="shared" si="256"/>
        <v/>
      </c>
      <c r="T4359" t="str">
        <f t="shared" si="254"/>
        <v/>
      </c>
    </row>
    <row r="4360" spans="18:20">
      <c r="R4360" s="24" t="str">
        <f t="shared" si="255"/>
        <v/>
      </c>
      <c r="S4360" s="24" t="str">
        <f t="shared" si="256"/>
        <v/>
      </c>
      <c r="T4360" t="str">
        <f t="shared" si="254"/>
        <v/>
      </c>
    </row>
    <row r="4361" spans="18:20">
      <c r="R4361" s="24" t="str">
        <f t="shared" si="255"/>
        <v/>
      </c>
      <c r="S4361" s="24" t="str">
        <f t="shared" si="256"/>
        <v/>
      </c>
      <c r="T4361" t="str">
        <f t="shared" si="254"/>
        <v/>
      </c>
    </row>
    <row r="4362" spans="18:20">
      <c r="R4362" s="24" t="str">
        <f t="shared" si="255"/>
        <v/>
      </c>
      <c r="S4362" s="24" t="str">
        <f t="shared" si="256"/>
        <v/>
      </c>
      <c r="T4362" t="str">
        <f t="shared" si="254"/>
        <v/>
      </c>
    </row>
    <row r="4363" spans="18:20">
      <c r="R4363" s="24" t="str">
        <f t="shared" si="255"/>
        <v/>
      </c>
      <c r="S4363" s="24" t="str">
        <f t="shared" si="256"/>
        <v/>
      </c>
      <c r="T4363" t="str">
        <f t="shared" si="254"/>
        <v/>
      </c>
    </row>
    <row r="4364" spans="18:20">
      <c r="R4364" s="24" t="str">
        <f t="shared" si="255"/>
        <v/>
      </c>
      <c r="S4364" s="24" t="str">
        <f t="shared" si="256"/>
        <v/>
      </c>
      <c r="T4364" t="str">
        <f t="shared" si="254"/>
        <v/>
      </c>
    </row>
    <row r="4365" spans="18:20">
      <c r="R4365" s="24" t="str">
        <f t="shared" si="255"/>
        <v/>
      </c>
      <c r="S4365" s="24" t="str">
        <f t="shared" si="256"/>
        <v/>
      </c>
      <c r="T4365" t="str">
        <f t="shared" si="254"/>
        <v/>
      </c>
    </row>
    <row r="4366" spans="18:20">
      <c r="R4366" s="24" t="str">
        <f t="shared" si="255"/>
        <v/>
      </c>
      <c r="S4366" s="24" t="str">
        <f t="shared" si="256"/>
        <v/>
      </c>
      <c r="T4366" t="str">
        <f t="shared" si="254"/>
        <v/>
      </c>
    </row>
    <row r="4367" spans="18:20">
      <c r="R4367" s="24" t="str">
        <f t="shared" si="255"/>
        <v/>
      </c>
      <c r="S4367" s="24" t="str">
        <f t="shared" si="256"/>
        <v/>
      </c>
      <c r="T4367" t="str">
        <f t="shared" ref="T4367:T4430" si="257">IF(OR(C4367="",I4367&lt;&gt;"ENTRADA"),"",TEXT(B4367,"AAMMDD")&amp;"-"&amp;TEXT(VALUE(SUBSTITUTE(A4367,"MOV-","")),"000"))</f>
        <v/>
      </c>
    </row>
    <row r="4368" spans="18:20">
      <c r="R4368" s="24" t="str">
        <f t="shared" ref="R4368:R4431" si="258">IF(H4368="","",H4368&amp;I4368)</f>
        <v/>
      </c>
      <c r="S4368" s="24" t="str">
        <f t="shared" ref="S4368:S4431" si="259">IF(C4368="","",C4368&amp;I4368)</f>
        <v/>
      </c>
      <c r="T4368" t="str">
        <f t="shared" si="257"/>
        <v/>
      </c>
    </row>
    <row r="4369" spans="18:20">
      <c r="R4369" s="24" t="str">
        <f t="shared" si="258"/>
        <v/>
      </c>
      <c r="S4369" s="24" t="str">
        <f t="shared" si="259"/>
        <v/>
      </c>
      <c r="T4369" t="str">
        <f t="shared" si="257"/>
        <v/>
      </c>
    </row>
    <row r="4370" spans="18:20">
      <c r="R4370" s="24" t="str">
        <f t="shared" si="258"/>
        <v/>
      </c>
      <c r="S4370" s="24" t="str">
        <f t="shared" si="259"/>
        <v/>
      </c>
      <c r="T4370" t="str">
        <f t="shared" si="257"/>
        <v/>
      </c>
    </row>
    <row r="4371" spans="18:20">
      <c r="R4371" s="24" t="str">
        <f t="shared" si="258"/>
        <v/>
      </c>
      <c r="S4371" s="24" t="str">
        <f t="shared" si="259"/>
        <v/>
      </c>
      <c r="T4371" t="str">
        <f t="shared" si="257"/>
        <v/>
      </c>
    </row>
    <row r="4372" spans="18:20">
      <c r="R4372" s="24" t="str">
        <f t="shared" si="258"/>
        <v/>
      </c>
      <c r="S4372" s="24" t="str">
        <f t="shared" si="259"/>
        <v/>
      </c>
      <c r="T4372" t="str">
        <f t="shared" si="257"/>
        <v/>
      </c>
    </row>
    <row r="4373" spans="18:20">
      <c r="R4373" s="24" t="str">
        <f t="shared" si="258"/>
        <v/>
      </c>
      <c r="S4373" s="24" t="str">
        <f t="shared" si="259"/>
        <v/>
      </c>
      <c r="T4373" t="str">
        <f t="shared" si="257"/>
        <v/>
      </c>
    </row>
    <row r="4374" spans="18:20">
      <c r="R4374" s="24" t="str">
        <f t="shared" si="258"/>
        <v/>
      </c>
      <c r="S4374" s="24" t="str">
        <f t="shared" si="259"/>
        <v/>
      </c>
      <c r="T4374" t="str">
        <f t="shared" si="257"/>
        <v/>
      </c>
    </row>
    <row r="4375" spans="18:20">
      <c r="R4375" s="24" t="str">
        <f t="shared" si="258"/>
        <v/>
      </c>
      <c r="S4375" s="24" t="str">
        <f t="shared" si="259"/>
        <v/>
      </c>
      <c r="T4375" t="str">
        <f t="shared" si="257"/>
        <v/>
      </c>
    </row>
    <row r="4376" spans="18:20">
      <c r="R4376" s="24" t="str">
        <f t="shared" si="258"/>
        <v/>
      </c>
      <c r="S4376" s="24" t="str">
        <f t="shared" si="259"/>
        <v/>
      </c>
      <c r="T4376" t="str">
        <f t="shared" si="257"/>
        <v/>
      </c>
    </row>
    <row r="4377" spans="18:20">
      <c r="R4377" s="24" t="str">
        <f t="shared" si="258"/>
        <v/>
      </c>
      <c r="S4377" s="24" t="str">
        <f t="shared" si="259"/>
        <v/>
      </c>
      <c r="T4377" t="str">
        <f t="shared" si="257"/>
        <v/>
      </c>
    </row>
    <row r="4378" spans="18:20">
      <c r="R4378" s="24" t="str">
        <f t="shared" si="258"/>
        <v/>
      </c>
      <c r="S4378" s="24" t="str">
        <f t="shared" si="259"/>
        <v/>
      </c>
      <c r="T4378" t="str">
        <f t="shared" si="257"/>
        <v/>
      </c>
    </row>
    <row r="4379" spans="18:20">
      <c r="R4379" s="24" t="str">
        <f t="shared" si="258"/>
        <v/>
      </c>
      <c r="S4379" s="24" t="str">
        <f t="shared" si="259"/>
        <v/>
      </c>
      <c r="T4379" t="str">
        <f t="shared" si="257"/>
        <v/>
      </c>
    </row>
    <row r="4380" spans="18:20">
      <c r="R4380" s="24" t="str">
        <f t="shared" si="258"/>
        <v/>
      </c>
      <c r="S4380" s="24" t="str">
        <f t="shared" si="259"/>
        <v/>
      </c>
      <c r="T4380" t="str">
        <f t="shared" si="257"/>
        <v/>
      </c>
    </row>
    <row r="4381" spans="18:20">
      <c r="R4381" s="24" t="str">
        <f t="shared" si="258"/>
        <v/>
      </c>
      <c r="S4381" s="24" t="str">
        <f t="shared" si="259"/>
        <v/>
      </c>
      <c r="T4381" t="str">
        <f t="shared" si="257"/>
        <v/>
      </c>
    </row>
    <row r="4382" spans="18:20">
      <c r="R4382" s="24" t="str">
        <f t="shared" si="258"/>
        <v/>
      </c>
      <c r="S4382" s="24" t="str">
        <f t="shared" si="259"/>
        <v/>
      </c>
      <c r="T4382" t="str">
        <f t="shared" si="257"/>
        <v/>
      </c>
    </row>
    <row r="4383" spans="18:20">
      <c r="R4383" s="24" t="str">
        <f t="shared" si="258"/>
        <v/>
      </c>
      <c r="S4383" s="24" t="str">
        <f t="shared" si="259"/>
        <v/>
      </c>
      <c r="T4383" t="str">
        <f t="shared" si="257"/>
        <v/>
      </c>
    </row>
    <row r="4384" spans="18:20">
      <c r="R4384" s="24" t="str">
        <f t="shared" si="258"/>
        <v/>
      </c>
      <c r="S4384" s="24" t="str">
        <f t="shared" si="259"/>
        <v/>
      </c>
      <c r="T4384" t="str">
        <f t="shared" si="257"/>
        <v/>
      </c>
    </row>
    <row r="4385" spans="18:20">
      <c r="R4385" s="24" t="str">
        <f t="shared" si="258"/>
        <v/>
      </c>
      <c r="S4385" s="24" t="str">
        <f t="shared" si="259"/>
        <v/>
      </c>
      <c r="T4385" t="str">
        <f t="shared" si="257"/>
        <v/>
      </c>
    </row>
    <row r="4386" spans="18:20">
      <c r="R4386" s="24" t="str">
        <f t="shared" si="258"/>
        <v/>
      </c>
      <c r="S4386" s="24" t="str">
        <f t="shared" si="259"/>
        <v/>
      </c>
      <c r="T4386" t="str">
        <f t="shared" si="257"/>
        <v/>
      </c>
    </row>
    <row r="4387" spans="18:20">
      <c r="R4387" s="24" t="str">
        <f t="shared" si="258"/>
        <v/>
      </c>
      <c r="S4387" s="24" t="str">
        <f t="shared" si="259"/>
        <v/>
      </c>
      <c r="T4387" t="str">
        <f t="shared" si="257"/>
        <v/>
      </c>
    </row>
    <row r="4388" spans="18:20">
      <c r="R4388" s="24" t="str">
        <f t="shared" si="258"/>
        <v/>
      </c>
      <c r="S4388" s="24" t="str">
        <f t="shared" si="259"/>
        <v/>
      </c>
      <c r="T4388" t="str">
        <f t="shared" si="257"/>
        <v/>
      </c>
    </row>
    <row r="4389" spans="18:20">
      <c r="R4389" s="24" t="str">
        <f t="shared" si="258"/>
        <v/>
      </c>
      <c r="S4389" s="24" t="str">
        <f t="shared" si="259"/>
        <v/>
      </c>
      <c r="T4389" t="str">
        <f t="shared" si="257"/>
        <v/>
      </c>
    </row>
    <row r="4390" spans="18:20">
      <c r="R4390" s="24" t="str">
        <f t="shared" si="258"/>
        <v/>
      </c>
      <c r="S4390" s="24" t="str">
        <f t="shared" si="259"/>
        <v/>
      </c>
      <c r="T4390" t="str">
        <f t="shared" si="257"/>
        <v/>
      </c>
    </row>
    <row r="4391" spans="18:20">
      <c r="R4391" s="24" t="str">
        <f t="shared" si="258"/>
        <v/>
      </c>
      <c r="S4391" s="24" t="str">
        <f t="shared" si="259"/>
        <v/>
      </c>
      <c r="T4391" t="str">
        <f t="shared" si="257"/>
        <v/>
      </c>
    </row>
    <row r="4392" spans="18:20">
      <c r="R4392" s="24" t="str">
        <f t="shared" si="258"/>
        <v/>
      </c>
      <c r="S4392" s="24" t="str">
        <f t="shared" si="259"/>
        <v/>
      </c>
      <c r="T4392" t="str">
        <f t="shared" si="257"/>
        <v/>
      </c>
    </row>
    <row r="4393" spans="18:20">
      <c r="R4393" s="24" t="str">
        <f t="shared" si="258"/>
        <v/>
      </c>
      <c r="S4393" s="24" t="str">
        <f t="shared" si="259"/>
        <v/>
      </c>
      <c r="T4393" t="str">
        <f t="shared" si="257"/>
        <v/>
      </c>
    </row>
    <row r="4394" spans="18:20">
      <c r="R4394" s="24" t="str">
        <f t="shared" si="258"/>
        <v/>
      </c>
      <c r="S4394" s="24" t="str">
        <f t="shared" si="259"/>
        <v/>
      </c>
      <c r="T4394" t="str">
        <f t="shared" si="257"/>
        <v/>
      </c>
    </row>
    <row r="4395" spans="18:20">
      <c r="R4395" s="24" t="str">
        <f t="shared" si="258"/>
        <v/>
      </c>
      <c r="S4395" s="24" t="str">
        <f t="shared" si="259"/>
        <v/>
      </c>
      <c r="T4395" t="str">
        <f t="shared" si="257"/>
        <v/>
      </c>
    </row>
    <row r="4396" spans="18:20">
      <c r="R4396" s="24" t="str">
        <f t="shared" si="258"/>
        <v/>
      </c>
      <c r="S4396" s="24" t="str">
        <f t="shared" si="259"/>
        <v/>
      </c>
      <c r="T4396" t="str">
        <f t="shared" si="257"/>
        <v/>
      </c>
    </row>
    <row r="4397" spans="18:20">
      <c r="R4397" s="24" t="str">
        <f t="shared" si="258"/>
        <v/>
      </c>
      <c r="S4397" s="24" t="str">
        <f t="shared" si="259"/>
        <v/>
      </c>
      <c r="T4397" t="str">
        <f t="shared" si="257"/>
        <v/>
      </c>
    </row>
    <row r="4398" spans="18:20">
      <c r="R4398" s="24" t="str">
        <f t="shared" si="258"/>
        <v/>
      </c>
      <c r="S4398" s="24" t="str">
        <f t="shared" si="259"/>
        <v/>
      </c>
      <c r="T4398" t="str">
        <f t="shared" si="257"/>
        <v/>
      </c>
    </row>
    <row r="4399" spans="18:20">
      <c r="R4399" s="24" t="str">
        <f t="shared" si="258"/>
        <v/>
      </c>
      <c r="S4399" s="24" t="str">
        <f t="shared" si="259"/>
        <v/>
      </c>
      <c r="T4399" t="str">
        <f t="shared" si="257"/>
        <v/>
      </c>
    </row>
    <row r="4400" spans="18:20">
      <c r="R4400" s="24" t="str">
        <f t="shared" si="258"/>
        <v/>
      </c>
      <c r="S4400" s="24" t="str">
        <f t="shared" si="259"/>
        <v/>
      </c>
      <c r="T4400" t="str">
        <f t="shared" si="257"/>
        <v/>
      </c>
    </row>
    <row r="4401" spans="18:20">
      <c r="R4401" s="24" t="str">
        <f t="shared" si="258"/>
        <v/>
      </c>
      <c r="S4401" s="24" t="str">
        <f t="shared" si="259"/>
        <v/>
      </c>
      <c r="T4401" t="str">
        <f t="shared" si="257"/>
        <v/>
      </c>
    </row>
    <row r="4402" spans="18:20">
      <c r="R4402" s="24" t="str">
        <f t="shared" si="258"/>
        <v/>
      </c>
      <c r="S4402" s="24" t="str">
        <f t="shared" si="259"/>
        <v/>
      </c>
      <c r="T4402" t="str">
        <f t="shared" si="257"/>
        <v/>
      </c>
    </row>
    <row r="4403" spans="18:20">
      <c r="R4403" s="24" t="str">
        <f t="shared" si="258"/>
        <v/>
      </c>
      <c r="S4403" s="24" t="str">
        <f t="shared" si="259"/>
        <v/>
      </c>
      <c r="T4403" t="str">
        <f t="shared" si="257"/>
        <v/>
      </c>
    </row>
    <row r="4404" spans="18:20">
      <c r="R4404" s="24" t="str">
        <f t="shared" si="258"/>
        <v/>
      </c>
      <c r="S4404" s="24" t="str">
        <f t="shared" si="259"/>
        <v/>
      </c>
      <c r="T4404" t="str">
        <f t="shared" si="257"/>
        <v/>
      </c>
    </row>
    <row r="4405" spans="18:20">
      <c r="R4405" s="24" t="str">
        <f t="shared" si="258"/>
        <v/>
      </c>
      <c r="S4405" s="24" t="str">
        <f t="shared" si="259"/>
        <v/>
      </c>
      <c r="T4405" t="str">
        <f t="shared" si="257"/>
        <v/>
      </c>
    </row>
    <row r="4406" spans="18:20">
      <c r="R4406" s="24" t="str">
        <f t="shared" si="258"/>
        <v/>
      </c>
      <c r="S4406" s="24" t="str">
        <f t="shared" si="259"/>
        <v/>
      </c>
      <c r="T4406" t="str">
        <f t="shared" si="257"/>
        <v/>
      </c>
    </row>
    <row r="4407" spans="18:20">
      <c r="R4407" s="24" t="str">
        <f t="shared" si="258"/>
        <v/>
      </c>
      <c r="S4407" s="24" t="str">
        <f t="shared" si="259"/>
        <v/>
      </c>
      <c r="T4407" t="str">
        <f t="shared" si="257"/>
        <v/>
      </c>
    </row>
    <row r="4408" spans="18:20">
      <c r="R4408" s="24" t="str">
        <f t="shared" si="258"/>
        <v/>
      </c>
      <c r="S4408" s="24" t="str">
        <f t="shared" si="259"/>
        <v/>
      </c>
      <c r="T4408" t="str">
        <f t="shared" si="257"/>
        <v/>
      </c>
    </row>
    <row r="4409" spans="18:20">
      <c r="R4409" s="24" t="str">
        <f t="shared" si="258"/>
        <v/>
      </c>
      <c r="S4409" s="24" t="str">
        <f t="shared" si="259"/>
        <v/>
      </c>
      <c r="T4409" t="str">
        <f t="shared" si="257"/>
        <v/>
      </c>
    </row>
    <row r="4410" spans="18:20">
      <c r="R4410" s="24" t="str">
        <f t="shared" si="258"/>
        <v/>
      </c>
      <c r="S4410" s="24" t="str">
        <f t="shared" si="259"/>
        <v/>
      </c>
      <c r="T4410" t="str">
        <f t="shared" si="257"/>
        <v/>
      </c>
    </row>
    <row r="4411" spans="18:20">
      <c r="R4411" s="24" t="str">
        <f t="shared" si="258"/>
        <v/>
      </c>
      <c r="S4411" s="24" t="str">
        <f t="shared" si="259"/>
        <v/>
      </c>
      <c r="T4411" t="str">
        <f t="shared" si="257"/>
        <v/>
      </c>
    </row>
    <row r="4412" spans="18:20">
      <c r="R4412" s="24" t="str">
        <f t="shared" si="258"/>
        <v/>
      </c>
      <c r="S4412" s="24" t="str">
        <f t="shared" si="259"/>
        <v/>
      </c>
      <c r="T4412" t="str">
        <f t="shared" si="257"/>
        <v/>
      </c>
    </row>
    <row r="4413" spans="18:20">
      <c r="R4413" s="24" t="str">
        <f t="shared" si="258"/>
        <v/>
      </c>
      <c r="S4413" s="24" t="str">
        <f t="shared" si="259"/>
        <v/>
      </c>
      <c r="T4413" t="str">
        <f t="shared" si="257"/>
        <v/>
      </c>
    </row>
    <row r="4414" spans="18:20">
      <c r="R4414" s="24" t="str">
        <f t="shared" si="258"/>
        <v/>
      </c>
      <c r="S4414" s="24" t="str">
        <f t="shared" si="259"/>
        <v/>
      </c>
      <c r="T4414" t="str">
        <f t="shared" si="257"/>
        <v/>
      </c>
    </row>
    <row r="4415" spans="18:20">
      <c r="R4415" s="24" t="str">
        <f t="shared" si="258"/>
        <v/>
      </c>
      <c r="S4415" s="24" t="str">
        <f t="shared" si="259"/>
        <v/>
      </c>
      <c r="T4415" t="str">
        <f t="shared" si="257"/>
        <v/>
      </c>
    </row>
    <row r="4416" spans="18:20">
      <c r="R4416" s="24" t="str">
        <f t="shared" si="258"/>
        <v/>
      </c>
      <c r="S4416" s="24" t="str">
        <f t="shared" si="259"/>
        <v/>
      </c>
      <c r="T4416" t="str">
        <f t="shared" si="257"/>
        <v/>
      </c>
    </row>
    <row r="4417" spans="18:20">
      <c r="R4417" s="24" t="str">
        <f t="shared" si="258"/>
        <v/>
      </c>
      <c r="S4417" s="24" t="str">
        <f t="shared" si="259"/>
        <v/>
      </c>
      <c r="T4417" t="str">
        <f t="shared" si="257"/>
        <v/>
      </c>
    </row>
    <row r="4418" spans="18:20">
      <c r="R4418" s="24" t="str">
        <f t="shared" si="258"/>
        <v/>
      </c>
      <c r="S4418" s="24" t="str">
        <f t="shared" si="259"/>
        <v/>
      </c>
      <c r="T4418" t="str">
        <f t="shared" si="257"/>
        <v/>
      </c>
    </row>
    <row r="4419" spans="18:20">
      <c r="R4419" s="24" t="str">
        <f t="shared" si="258"/>
        <v/>
      </c>
      <c r="S4419" s="24" t="str">
        <f t="shared" si="259"/>
        <v/>
      </c>
      <c r="T4419" t="str">
        <f t="shared" si="257"/>
        <v/>
      </c>
    </row>
    <row r="4420" spans="18:20">
      <c r="R4420" s="24" t="str">
        <f t="shared" si="258"/>
        <v/>
      </c>
      <c r="S4420" s="24" t="str">
        <f t="shared" si="259"/>
        <v/>
      </c>
      <c r="T4420" t="str">
        <f t="shared" si="257"/>
        <v/>
      </c>
    </row>
    <row r="4421" spans="18:20">
      <c r="R4421" s="24" t="str">
        <f t="shared" si="258"/>
        <v/>
      </c>
      <c r="S4421" s="24" t="str">
        <f t="shared" si="259"/>
        <v/>
      </c>
      <c r="T4421" t="str">
        <f t="shared" si="257"/>
        <v/>
      </c>
    </row>
    <row r="4422" spans="18:20">
      <c r="R4422" s="24" t="str">
        <f t="shared" si="258"/>
        <v/>
      </c>
      <c r="S4422" s="24" t="str">
        <f t="shared" si="259"/>
        <v/>
      </c>
      <c r="T4422" t="str">
        <f t="shared" si="257"/>
        <v/>
      </c>
    </row>
    <row r="4423" spans="18:20">
      <c r="R4423" s="24" t="str">
        <f t="shared" si="258"/>
        <v/>
      </c>
      <c r="S4423" s="24" t="str">
        <f t="shared" si="259"/>
        <v/>
      </c>
      <c r="T4423" t="str">
        <f t="shared" si="257"/>
        <v/>
      </c>
    </row>
    <row r="4424" spans="18:20">
      <c r="R4424" s="24" t="str">
        <f t="shared" si="258"/>
        <v/>
      </c>
      <c r="S4424" s="24" t="str">
        <f t="shared" si="259"/>
        <v/>
      </c>
      <c r="T4424" t="str">
        <f t="shared" si="257"/>
        <v/>
      </c>
    </row>
    <row r="4425" spans="18:20">
      <c r="R4425" s="24" t="str">
        <f t="shared" si="258"/>
        <v/>
      </c>
      <c r="S4425" s="24" t="str">
        <f t="shared" si="259"/>
        <v/>
      </c>
      <c r="T4425" t="str">
        <f t="shared" si="257"/>
        <v/>
      </c>
    </row>
    <row r="4426" spans="18:20">
      <c r="R4426" s="24" t="str">
        <f t="shared" si="258"/>
        <v/>
      </c>
      <c r="S4426" s="24" t="str">
        <f t="shared" si="259"/>
        <v/>
      </c>
      <c r="T4426" t="str">
        <f t="shared" si="257"/>
        <v/>
      </c>
    </row>
    <row r="4427" spans="18:20">
      <c r="R4427" s="24" t="str">
        <f t="shared" si="258"/>
        <v/>
      </c>
      <c r="S4427" s="24" t="str">
        <f t="shared" si="259"/>
        <v/>
      </c>
      <c r="T4427" t="str">
        <f t="shared" si="257"/>
        <v/>
      </c>
    </row>
    <row r="4428" spans="18:20">
      <c r="R4428" s="24" t="str">
        <f t="shared" si="258"/>
        <v/>
      </c>
      <c r="S4428" s="24" t="str">
        <f t="shared" si="259"/>
        <v/>
      </c>
      <c r="T4428" t="str">
        <f t="shared" si="257"/>
        <v/>
      </c>
    </row>
    <row r="4429" spans="18:20">
      <c r="R4429" s="24" t="str">
        <f t="shared" si="258"/>
        <v/>
      </c>
      <c r="S4429" s="24" t="str">
        <f t="shared" si="259"/>
        <v/>
      </c>
      <c r="T4429" t="str">
        <f t="shared" si="257"/>
        <v/>
      </c>
    </row>
    <row r="4430" spans="18:20">
      <c r="R4430" s="24" t="str">
        <f t="shared" si="258"/>
        <v/>
      </c>
      <c r="S4430" s="24" t="str">
        <f t="shared" si="259"/>
        <v/>
      </c>
      <c r="T4430" t="str">
        <f t="shared" si="257"/>
        <v/>
      </c>
    </row>
    <row r="4431" spans="18:20">
      <c r="R4431" s="24" t="str">
        <f t="shared" si="258"/>
        <v/>
      </c>
      <c r="S4431" s="24" t="str">
        <f t="shared" si="259"/>
        <v/>
      </c>
      <c r="T4431" t="str">
        <f t="shared" ref="T4431:T4494" si="260">IF(OR(C4431="",I4431&lt;&gt;"ENTRADA"),"",TEXT(B4431,"AAMMDD")&amp;"-"&amp;TEXT(VALUE(SUBSTITUTE(A4431,"MOV-","")),"000"))</f>
        <v/>
      </c>
    </row>
    <row r="4432" spans="18:20">
      <c r="R4432" s="24" t="str">
        <f t="shared" ref="R4432:R4495" si="261">IF(H4432="","",H4432&amp;I4432)</f>
        <v/>
      </c>
      <c r="S4432" s="24" t="str">
        <f t="shared" ref="S4432:S4495" si="262">IF(C4432="","",C4432&amp;I4432)</f>
        <v/>
      </c>
      <c r="T4432" t="str">
        <f t="shared" si="260"/>
        <v/>
      </c>
    </row>
    <row r="4433" spans="18:20">
      <c r="R4433" s="24" t="str">
        <f t="shared" si="261"/>
        <v/>
      </c>
      <c r="S4433" s="24" t="str">
        <f t="shared" si="262"/>
        <v/>
      </c>
      <c r="T4433" t="str">
        <f t="shared" si="260"/>
        <v/>
      </c>
    </row>
    <row r="4434" spans="18:20">
      <c r="R4434" s="24" t="str">
        <f t="shared" si="261"/>
        <v/>
      </c>
      <c r="S4434" s="24" t="str">
        <f t="shared" si="262"/>
        <v/>
      </c>
      <c r="T4434" t="str">
        <f t="shared" si="260"/>
        <v/>
      </c>
    </row>
    <row r="4435" spans="18:20">
      <c r="R4435" s="24" t="str">
        <f t="shared" si="261"/>
        <v/>
      </c>
      <c r="S4435" s="24" t="str">
        <f t="shared" si="262"/>
        <v/>
      </c>
      <c r="T4435" t="str">
        <f t="shared" si="260"/>
        <v/>
      </c>
    </row>
    <row r="4436" spans="18:20">
      <c r="R4436" s="24" t="str">
        <f t="shared" si="261"/>
        <v/>
      </c>
      <c r="S4436" s="24" t="str">
        <f t="shared" si="262"/>
        <v/>
      </c>
      <c r="T4436" t="str">
        <f t="shared" si="260"/>
        <v/>
      </c>
    </row>
    <row r="4437" spans="18:20">
      <c r="R4437" s="24" t="str">
        <f t="shared" si="261"/>
        <v/>
      </c>
      <c r="S4437" s="24" t="str">
        <f t="shared" si="262"/>
        <v/>
      </c>
      <c r="T4437" t="str">
        <f t="shared" si="260"/>
        <v/>
      </c>
    </row>
    <row r="4438" spans="18:20">
      <c r="R4438" s="24" t="str">
        <f t="shared" si="261"/>
        <v/>
      </c>
      <c r="S4438" s="24" t="str">
        <f t="shared" si="262"/>
        <v/>
      </c>
      <c r="T4438" t="str">
        <f t="shared" si="260"/>
        <v/>
      </c>
    </row>
    <row r="4439" spans="18:20">
      <c r="R4439" s="24" t="str">
        <f t="shared" si="261"/>
        <v/>
      </c>
      <c r="S4439" s="24" t="str">
        <f t="shared" si="262"/>
        <v/>
      </c>
      <c r="T4439" t="str">
        <f t="shared" si="260"/>
        <v/>
      </c>
    </row>
    <row r="4440" spans="18:20">
      <c r="R4440" s="24" t="str">
        <f t="shared" si="261"/>
        <v/>
      </c>
      <c r="S4440" s="24" t="str">
        <f t="shared" si="262"/>
        <v/>
      </c>
      <c r="T4440" t="str">
        <f t="shared" si="260"/>
        <v/>
      </c>
    </row>
    <row r="4441" spans="18:20">
      <c r="R4441" s="24" t="str">
        <f t="shared" si="261"/>
        <v/>
      </c>
      <c r="S4441" s="24" t="str">
        <f t="shared" si="262"/>
        <v/>
      </c>
      <c r="T4441" t="str">
        <f t="shared" si="260"/>
        <v/>
      </c>
    </row>
    <row r="4442" spans="18:20">
      <c r="R4442" s="24" t="str">
        <f t="shared" si="261"/>
        <v/>
      </c>
      <c r="S4442" s="24" t="str">
        <f t="shared" si="262"/>
        <v/>
      </c>
      <c r="T4442" t="str">
        <f t="shared" si="260"/>
        <v/>
      </c>
    </row>
    <row r="4443" spans="18:20">
      <c r="R4443" s="24" t="str">
        <f t="shared" si="261"/>
        <v/>
      </c>
      <c r="S4443" s="24" t="str">
        <f t="shared" si="262"/>
        <v/>
      </c>
      <c r="T4443" t="str">
        <f t="shared" si="260"/>
        <v/>
      </c>
    </row>
    <row r="4444" spans="18:20">
      <c r="R4444" s="24" t="str">
        <f t="shared" si="261"/>
        <v/>
      </c>
      <c r="S4444" s="24" t="str">
        <f t="shared" si="262"/>
        <v/>
      </c>
      <c r="T4444" t="str">
        <f t="shared" si="260"/>
        <v/>
      </c>
    </row>
    <row r="4445" spans="18:20">
      <c r="R4445" s="24" t="str">
        <f t="shared" si="261"/>
        <v/>
      </c>
      <c r="S4445" s="24" t="str">
        <f t="shared" si="262"/>
        <v/>
      </c>
      <c r="T4445" t="str">
        <f t="shared" si="260"/>
        <v/>
      </c>
    </row>
    <row r="4446" spans="18:20">
      <c r="R4446" s="24" t="str">
        <f t="shared" si="261"/>
        <v/>
      </c>
      <c r="S4446" s="24" t="str">
        <f t="shared" si="262"/>
        <v/>
      </c>
      <c r="T4446" t="str">
        <f t="shared" si="260"/>
        <v/>
      </c>
    </row>
    <row r="4447" spans="18:20">
      <c r="R4447" s="24" t="str">
        <f t="shared" si="261"/>
        <v/>
      </c>
      <c r="S4447" s="24" t="str">
        <f t="shared" si="262"/>
        <v/>
      </c>
      <c r="T4447" t="str">
        <f t="shared" si="260"/>
        <v/>
      </c>
    </row>
    <row r="4448" spans="18:20">
      <c r="R4448" s="24" t="str">
        <f t="shared" si="261"/>
        <v/>
      </c>
      <c r="S4448" s="24" t="str">
        <f t="shared" si="262"/>
        <v/>
      </c>
      <c r="T4448" t="str">
        <f t="shared" si="260"/>
        <v/>
      </c>
    </row>
    <row r="4449" spans="18:20">
      <c r="R4449" s="24" t="str">
        <f t="shared" si="261"/>
        <v/>
      </c>
      <c r="S4449" s="24" t="str">
        <f t="shared" si="262"/>
        <v/>
      </c>
      <c r="T4449" t="str">
        <f t="shared" si="260"/>
        <v/>
      </c>
    </row>
    <row r="4450" spans="18:20">
      <c r="R4450" s="24" t="str">
        <f t="shared" si="261"/>
        <v/>
      </c>
      <c r="S4450" s="24" t="str">
        <f t="shared" si="262"/>
        <v/>
      </c>
      <c r="T4450" t="str">
        <f t="shared" si="260"/>
        <v/>
      </c>
    </row>
    <row r="4451" spans="18:20">
      <c r="R4451" s="24" t="str">
        <f t="shared" si="261"/>
        <v/>
      </c>
      <c r="S4451" s="24" t="str">
        <f t="shared" si="262"/>
        <v/>
      </c>
      <c r="T4451" t="str">
        <f t="shared" si="260"/>
        <v/>
      </c>
    </row>
    <row r="4452" spans="18:20">
      <c r="R4452" s="24" t="str">
        <f t="shared" si="261"/>
        <v/>
      </c>
      <c r="S4452" s="24" t="str">
        <f t="shared" si="262"/>
        <v/>
      </c>
      <c r="T4452" t="str">
        <f t="shared" si="260"/>
        <v/>
      </c>
    </row>
    <row r="4453" spans="18:20">
      <c r="R4453" s="24" t="str">
        <f t="shared" si="261"/>
        <v/>
      </c>
      <c r="S4453" s="24" t="str">
        <f t="shared" si="262"/>
        <v/>
      </c>
      <c r="T4453" t="str">
        <f t="shared" si="260"/>
        <v/>
      </c>
    </row>
    <row r="4454" spans="18:20">
      <c r="R4454" s="24" t="str">
        <f t="shared" si="261"/>
        <v/>
      </c>
      <c r="S4454" s="24" t="str">
        <f t="shared" si="262"/>
        <v/>
      </c>
      <c r="T4454" t="str">
        <f t="shared" si="260"/>
        <v/>
      </c>
    </row>
    <row r="4455" spans="18:20">
      <c r="R4455" s="24" t="str">
        <f t="shared" si="261"/>
        <v/>
      </c>
      <c r="S4455" s="24" t="str">
        <f t="shared" si="262"/>
        <v/>
      </c>
      <c r="T4455" t="str">
        <f t="shared" si="260"/>
        <v/>
      </c>
    </row>
    <row r="4456" spans="18:20">
      <c r="R4456" s="24" t="str">
        <f t="shared" si="261"/>
        <v/>
      </c>
      <c r="S4456" s="24" t="str">
        <f t="shared" si="262"/>
        <v/>
      </c>
      <c r="T4456" t="str">
        <f t="shared" si="260"/>
        <v/>
      </c>
    </row>
    <row r="4457" spans="18:20">
      <c r="R4457" s="24" t="str">
        <f t="shared" si="261"/>
        <v/>
      </c>
      <c r="S4457" s="24" t="str">
        <f t="shared" si="262"/>
        <v/>
      </c>
      <c r="T4457" t="str">
        <f t="shared" si="260"/>
        <v/>
      </c>
    </row>
    <row r="4458" spans="18:20">
      <c r="R4458" s="24" t="str">
        <f t="shared" si="261"/>
        <v/>
      </c>
      <c r="S4458" s="24" t="str">
        <f t="shared" si="262"/>
        <v/>
      </c>
      <c r="T4458" t="str">
        <f t="shared" si="260"/>
        <v/>
      </c>
    </row>
    <row r="4459" spans="18:20">
      <c r="R4459" s="24" t="str">
        <f t="shared" si="261"/>
        <v/>
      </c>
      <c r="S4459" s="24" t="str">
        <f t="shared" si="262"/>
        <v/>
      </c>
      <c r="T4459" t="str">
        <f t="shared" si="260"/>
        <v/>
      </c>
    </row>
    <row r="4460" spans="18:20">
      <c r="R4460" s="24" t="str">
        <f t="shared" si="261"/>
        <v/>
      </c>
      <c r="S4460" s="24" t="str">
        <f t="shared" si="262"/>
        <v/>
      </c>
      <c r="T4460" t="str">
        <f t="shared" si="260"/>
        <v/>
      </c>
    </row>
    <row r="4461" spans="18:20">
      <c r="R4461" s="24" t="str">
        <f t="shared" si="261"/>
        <v/>
      </c>
      <c r="S4461" s="24" t="str">
        <f t="shared" si="262"/>
        <v/>
      </c>
      <c r="T4461" t="str">
        <f t="shared" si="260"/>
        <v/>
      </c>
    </row>
    <row r="4462" spans="18:20">
      <c r="R4462" s="24" t="str">
        <f t="shared" si="261"/>
        <v/>
      </c>
      <c r="S4462" s="24" t="str">
        <f t="shared" si="262"/>
        <v/>
      </c>
      <c r="T4462" t="str">
        <f t="shared" si="260"/>
        <v/>
      </c>
    </row>
    <row r="4463" spans="18:20">
      <c r="R4463" s="24" t="str">
        <f t="shared" si="261"/>
        <v/>
      </c>
      <c r="S4463" s="24" t="str">
        <f t="shared" si="262"/>
        <v/>
      </c>
      <c r="T4463" t="str">
        <f t="shared" si="260"/>
        <v/>
      </c>
    </row>
    <row r="4464" spans="18:20">
      <c r="R4464" s="24" t="str">
        <f t="shared" si="261"/>
        <v/>
      </c>
      <c r="S4464" s="24" t="str">
        <f t="shared" si="262"/>
        <v/>
      </c>
      <c r="T4464" t="str">
        <f t="shared" si="260"/>
        <v/>
      </c>
    </row>
    <row r="4465" spans="18:20">
      <c r="R4465" s="24" t="str">
        <f t="shared" si="261"/>
        <v/>
      </c>
      <c r="S4465" s="24" t="str">
        <f t="shared" si="262"/>
        <v/>
      </c>
      <c r="T4465" t="str">
        <f t="shared" si="260"/>
        <v/>
      </c>
    </row>
    <row r="4466" spans="18:20">
      <c r="R4466" s="24" t="str">
        <f t="shared" si="261"/>
        <v/>
      </c>
      <c r="S4466" s="24" t="str">
        <f t="shared" si="262"/>
        <v/>
      </c>
      <c r="T4466" t="str">
        <f t="shared" si="260"/>
        <v/>
      </c>
    </row>
    <row r="4467" spans="18:20">
      <c r="R4467" s="24" t="str">
        <f t="shared" si="261"/>
        <v/>
      </c>
      <c r="S4467" s="24" t="str">
        <f t="shared" si="262"/>
        <v/>
      </c>
      <c r="T4467" t="str">
        <f t="shared" si="260"/>
        <v/>
      </c>
    </row>
    <row r="4468" spans="18:20">
      <c r="R4468" s="24" t="str">
        <f t="shared" si="261"/>
        <v/>
      </c>
      <c r="S4468" s="24" t="str">
        <f t="shared" si="262"/>
        <v/>
      </c>
      <c r="T4468" t="str">
        <f t="shared" si="260"/>
        <v/>
      </c>
    </row>
    <row r="4469" spans="18:20">
      <c r="R4469" s="24" t="str">
        <f t="shared" si="261"/>
        <v/>
      </c>
      <c r="S4469" s="24" t="str">
        <f t="shared" si="262"/>
        <v/>
      </c>
      <c r="T4469" t="str">
        <f t="shared" si="260"/>
        <v/>
      </c>
    </row>
    <row r="4470" spans="18:20">
      <c r="R4470" s="24" t="str">
        <f t="shared" si="261"/>
        <v/>
      </c>
      <c r="S4470" s="24" t="str">
        <f t="shared" si="262"/>
        <v/>
      </c>
      <c r="T4470" t="str">
        <f t="shared" si="260"/>
        <v/>
      </c>
    </row>
    <row r="4471" spans="18:20">
      <c r="R4471" s="24" t="str">
        <f t="shared" si="261"/>
        <v/>
      </c>
      <c r="S4471" s="24" t="str">
        <f t="shared" si="262"/>
        <v/>
      </c>
      <c r="T4471" t="str">
        <f t="shared" si="260"/>
        <v/>
      </c>
    </row>
    <row r="4472" spans="18:20">
      <c r="R4472" s="24" t="str">
        <f t="shared" si="261"/>
        <v/>
      </c>
      <c r="S4472" s="24" t="str">
        <f t="shared" si="262"/>
        <v/>
      </c>
      <c r="T4472" t="str">
        <f t="shared" si="260"/>
        <v/>
      </c>
    </row>
    <row r="4473" spans="18:20">
      <c r="R4473" s="24" t="str">
        <f t="shared" si="261"/>
        <v/>
      </c>
      <c r="S4473" s="24" t="str">
        <f t="shared" si="262"/>
        <v/>
      </c>
      <c r="T4473" t="str">
        <f t="shared" si="260"/>
        <v/>
      </c>
    </row>
    <row r="4474" spans="18:20">
      <c r="R4474" s="24" t="str">
        <f t="shared" si="261"/>
        <v/>
      </c>
      <c r="S4474" s="24" t="str">
        <f t="shared" si="262"/>
        <v/>
      </c>
      <c r="T4474" t="str">
        <f t="shared" si="260"/>
        <v/>
      </c>
    </row>
    <row r="4475" spans="18:20">
      <c r="R4475" s="24" t="str">
        <f t="shared" si="261"/>
        <v/>
      </c>
      <c r="S4475" s="24" t="str">
        <f t="shared" si="262"/>
        <v/>
      </c>
      <c r="T4475" t="str">
        <f t="shared" si="260"/>
        <v/>
      </c>
    </row>
    <row r="4476" spans="18:20">
      <c r="R4476" s="24" t="str">
        <f t="shared" si="261"/>
        <v/>
      </c>
      <c r="S4476" s="24" t="str">
        <f t="shared" si="262"/>
        <v/>
      </c>
      <c r="T4476" t="str">
        <f t="shared" si="260"/>
        <v/>
      </c>
    </row>
    <row r="4477" spans="18:20">
      <c r="R4477" s="24" t="str">
        <f t="shared" si="261"/>
        <v/>
      </c>
      <c r="S4477" s="24" t="str">
        <f t="shared" si="262"/>
        <v/>
      </c>
      <c r="T4477" t="str">
        <f t="shared" si="260"/>
        <v/>
      </c>
    </row>
    <row r="4478" spans="18:20">
      <c r="R4478" s="24" t="str">
        <f t="shared" si="261"/>
        <v/>
      </c>
      <c r="S4478" s="24" t="str">
        <f t="shared" si="262"/>
        <v/>
      </c>
      <c r="T4478" t="str">
        <f t="shared" si="260"/>
        <v/>
      </c>
    </row>
    <row r="4479" spans="18:20">
      <c r="R4479" s="24" t="str">
        <f t="shared" si="261"/>
        <v/>
      </c>
      <c r="S4479" s="24" t="str">
        <f t="shared" si="262"/>
        <v/>
      </c>
      <c r="T4479" t="str">
        <f t="shared" si="260"/>
        <v/>
      </c>
    </row>
    <row r="4480" spans="18:20">
      <c r="R4480" s="24" t="str">
        <f t="shared" si="261"/>
        <v/>
      </c>
      <c r="S4480" s="24" t="str">
        <f t="shared" si="262"/>
        <v/>
      </c>
      <c r="T4480" t="str">
        <f t="shared" si="260"/>
        <v/>
      </c>
    </row>
    <row r="4481" spans="18:20">
      <c r="R4481" s="24" t="str">
        <f t="shared" si="261"/>
        <v/>
      </c>
      <c r="S4481" s="24" t="str">
        <f t="shared" si="262"/>
        <v/>
      </c>
      <c r="T4481" t="str">
        <f t="shared" si="260"/>
        <v/>
      </c>
    </row>
    <row r="4482" spans="18:20">
      <c r="R4482" s="24" t="str">
        <f t="shared" si="261"/>
        <v/>
      </c>
      <c r="S4482" s="24" t="str">
        <f t="shared" si="262"/>
        <v/>
      </c>
      <c r="T4482" t="str">
        <f t="shared" si="260"/>
        <v/>
      </c>
    </row>
    <row r="4483" spans="18:20">
      <c r="R4483" s="24" t="str">
        <f t="shared" si="261"/>
        <v/>
      </c>
      <c r="S4483" s="24" t="str">
        <f t="shared" si="262"/>
        <v/>
      </c>
      <c r="T4483" t="str">
        <f t="shared" si="260"/>
        <v/>
      </c>
    </row>
    <row r="4484" spans="18:20">
      <c r="R4484" s="24" t="str">
        <f t="shared" si="261"/>
        <v/>
      </c>
      <c r="S4484" s="24" t="str">
        <f t="shared" si="262"/>
        <v/>
      </c>
      <c r="T4484" t="str">
        <f t="shared" si="260"/>
        <v/>
      </c>
    </row>
    <row r="4485" spans="18:20">
      <c r="R4485" s="24" t="str">
        <f t="shared" si="261"/>
        <v/>
      </c>
      <c r="S4485" s="24" t="str">
        <f t="shared" si="262"/>
        <v/>
      </c>
      <c r="T4485" t="str">
        <f t="shared" si="260"/>
        <v/>
      </c>
    </row>
    <row r="4486" spans="18:20">
      <c r="R4486" s="24" t="str">
        <f t="shared" si="261"/>
        <v/>
      </c>
      <c r="S4486" s="24" t="str">
        <f t="shared" si="262"/>
        <v/>
      </c>
      <c r="T4486" t="str">
        <f t="shared" si="260"/>
        <v/>
      </c>
    </row>
    <row r="4487" spans="18:20">
      <c r="R4487" s="24" t="str">
        <f t="shared" si="261"/>
        <v/>
      </c>
      <c r="S4487" s="24" t="str">
        <f t="shared" si="262"/>
        <v/>
      </c>
      <c r="T4487" t="str">
        <f t="shared" si="260"/>
        <v/>
      </c>
    </row>
    <row r="4488" spans="18:20">
      <c r="R4488" s="24" t="str">
        <f t="shared" si="261"/>
        <v/>
      </c>
      <c r="S4488" s="24" t="str">
        <f t="shared" si="262"/>
        <v/>
      </c>
      <c r="T4488" t="str">
        <f t="shared" si="260"/>
        <v/>
      </c>
    </row>
    <row r="4489" spans="18:20">
      <c r="R4489" s="24" t="str">
        <f t="shared" si="261"/>
        <v/>
      </c>
      <c r="S4489" s="24" t="str">
        <f t="shared" si="262"/>
        <v/>
      </c>
      <c r="T4489" t="str">
        <f t="shared" si="260"/>
        <v/>
      </c>
    </row>
    <row r="4490" spans="18:20">
      <c r="R4490" s="24" t="str">
        <f t="shared" si="261"/>
        <v/>
      </c>
      <c r="S4490" s="24" t="str">
        <f t="shared" si="262"/>
        <v/>
      </c>
      <c r="T4490" t="str">
        <f t="shared" si="260"/>
        <v/>
      </c>
    </row>
    <row r="4491" spans="18:20">
      <c r="R4491" s="24" t="str">
        <f t="shared" si="261"/>
        <v/>
      </c>
      <c r="S4491" s="24" t="str">
        <f t="shared" si="262"/>
        <v/>
      </c>
      <c r="T4491" t="str">
        <f t="shared" si="260"/>
        <v/>
      </c>
    </row>
    <row r="4492" spans="18:20">
      <c r="R4492" s="24" t="str">
        <f t="shared" si="261"/>
        <v/>
      </c>
      <c r="S4492" s="24" t="str">
        <f t="shared" si="262"/>
        <v/>
      </c>
      <c r="T4492" t="str">
        <f t="shared" si="260"/>
        <v/>
      </c>
    </row>
    <row r="4493" spans="18:20">
      <c r="R4493" s="24" t="str">
        <f t="shared" si="261"/>
        <v/>
      </c>
      <c r="S4493" s="24" t="str">
        <f t="shared" si="262"/>
        <v/>
      </c>
      <c r="T4493" t="str">
        <f t="shared" si="260"/>
        <v/>
      </c>
    </row>
    <row r="4494" spans="18:20">
      <c r="R4494" s="24" t="str">
        <f t="shared" si="261"/>
        <v/>
      </c>
      <c r="S4494" s="24" t="str">
        <f t="shared" si="262"/>
        <v/>
      </c>
      <c r="T4494" t="str">
        <f t="shared" si="260"/>
        <v/>
      </c>
    </row>
    <row r="4495" spans="18:20">
      <c r="R4495" s="24" t="str">
        <f t="shared" si="261"/>
        <v/>
      </c>
      <c r="S4495" s="24" t="str">
        <f t="shared" si="262"/>
        <v/>
      </c>
      <c r="T4495" t="str">
        <f t="shared" ref="T4495:T4558" si="263">IF(OR(C4495="",I4495&lt;&gt;"ENTRADA"),"",TEXT(B4495,"AAMMDD")&amp;"-"&amp;TEXT(VALUE(SUBSTITUTE(A4495,"MOV-","")),"000"))</f>
        <v/>
      </c>
    </row>
    <row r="4496" spans="18:20">
      <c r="R4496" s="24" t="str">
        <f t="shared" ref="R4496:R4559" si="264">IF(H4496="","",H4496&amp;I4496)</f>
        <v/>
      </c>
      <c r="S4496" s="24" t="str">
        <f t="shared" ref="S4496:S4559" si="265">IF(C4496="","",C4496&amp;I4496)</f>
        <v/>
      </c>
      <c r="T4496" t="str">
        <f t="shared" si="263"/>
        <v/>
      </c>
    </row>
    <row r="4497" spans="18:20">
      <c r="R4497" s="24" t="str">
        <f t="shared" si="264"/>
        <v/>
      </c>
      <c r="S4497" s="24" t="str">
        <f t="shared" si="265"/>
        <v/>
      </c>
      <c r="T4497" t="str">
        <f t="shared" si="263"/>
        <v/>
      </c>
    </row>
    <row r="4498" spans="18:20">
      <c r="R4498" s="24" t="str">
        <f t="shared" si="264"/>
        <v/>
      </c>
      <c r="S4498" s="24" t="str">
        <f t="shared" si="265"/>
        <v/>
      </c>
      <c r="T4498" t="str">
        <f t="shared" si="263"/>
        <v/>
      </c>
    </row>
    <row r="4499" spans="18:20">
      <c r="R4499" s="24" t="str">
        <f t="shared" si="264"/>
        <v/>
      </c>
      <c r="S4499" s="24" t="str">
        <f t="shared" si="265"/>
        <v/>
      </c>
      <c r="T4499" t="str">
        <f t="shared" si="263"/>
        <v/>
      </c>
    </row>
    <row r="4500" spans="18:20">
      <c r="R4500" s="24" t="str">
        <f t="shared" si="264"/>
        <v/>
      </c>
      <c r="S4500" s="24" t="str">
        <f t="shared" si="265"/>
        <v/>
      </c>
      <c r="T4500" t="str">
        <f t="shared" si="263"/>
        <v/>
      </c>
    </row>
    <row r="4501" spans="18:20">
      <c r="R4501" s="24" t="str">
        <f t="shared" si="264"/>
        <v/>
      </c>
      <c r="S4501" s="24" t="str">
        <f t="shared" si="265"/>
        <v/>
      </c>
      <c r="T4501" t="str">
        <f t="shared" si="263"/>
        <v/>
      </c>
    </row>
    <row r="4502" spans="18:20">
      <c r="R4502" s="24" t="str">
        <f t="shared" si="264"/>
        <v/>
      </c>
      <c r="S4502" s="24" t="str">
        <f t="shared" si="265"/>
        <v/>
      </c>
      <c r="T4502" t="str">
        <f t="shared" si="263"/>
        <v/>
      </c>
    </row>
    <row r="4503" spans="18:20">
      <c r="R4503" s="24" t="str">
        <f t="shared" si="264"/>
        <v/>
      </c>
      <c r="S4503" s="24" t="str">
        <f t="shared" si="265"/>
        <v/>
      </c>
      <c r="T4503" t="str">
        <f t="shared" si="263"/>
        <v/>
      </c>
    </row>
    <row r="4504" spans="18:20">
      <c r="R4504" s="24" t="str">
        <f t="shared" si="264"/>
        <v/>
      </c>
      <c r="S4504" s="24" t="str">
        <f t="shared" si="265"/>
        <v/>
      </c>
      <c r="T4504" t="str">
        <f t="shared" si="263"/>
        <v/>
      </c>
    </row>
    <row r="4505" spans="18:20">
      <c r="R4505" s="24" t="str">
        <f t="shared" si="264"/>
        <v/>
      </c>
      <c r="S4505" s="24" t="str">
        <f t="shared" si="265"/>
        <v/>
      </c>
      <c r="T4505" t="str">
        <f t="shared" si="263"/>
        <v/>
      </c>
    </row>
    <row r="4506" spans="18:20">
      <c r="R4506" s="24" t="str">
        <f t="shared" si="264"/>
        <v/>
      </c>
      <c r="S4506" s="24" t="str">
        <f t="shared" si="265"/>
        <v/>
      </c>
      <c r="T4506" t="str">
        <f t="shared" si="263"/>
        <v/>
      </c>
    </row>
    <row r="4507" spans="18:20">
      <c r="R4507" s="24" t="str">
        <f t="shared" si="264"/>
        <v/>
      </c>
      <c r="S4507" s="24" t="str">
        <f t="shared" si="265"/>
        <v/>
      </c>
      <c r="T4507" t="str">
        <f t="shared" si="263"/>
        <v/>
      </c>
    </row>
    <row r="4508" spans="18:20">
      <c r="R4508" s="24" t="str">
        <f t="shared" si="264"/>
        <v/>
      </c>
      <c r="S4508" s="24" t="str">
        <f t="shared" si="265"/>
        <v/>
      </c>
      <c r="T4508" t="str">
        <f t="shared" si="263"/>
        <v/>
      </c>
    </row>
    <row r="4509" spans="18:20">
      <c r="R4509" s="24" t="str">
        <f t="shared" si="264"/>
        <v/>
      </c>
      <c r="S4509" s="24" t="str">
        <f t="shared" si="265"/>
        <v/>
      </c>
      <c r="T4509" t="str">
        <f t="shared" si="263"/>
        <v/>
      </c>
    </row>
    <row r="4510" spans="18:20">
      <c r="R4510" s="24" t="str">
        <f t="shared" si="264"/>
        <v/>
      </c>
      <c r="S4510" s="24" t="str">
        <f t="shared" si="265"/>
        <v/>
      </c>
      <c r="T4510" t="str">
        <f t="shared" si="263"/>
        <v/>
      </c>
    </row>
    <row r="4511" spans="18:20">
      <c r="R4511" s="24" t="str">
        <f t="shared" si="264"/>
        <v/>
      </c>
      <c r="S4511" s="24" t="str">
        <f t="shared" si="265"/>
        <v/>
      </c>
      <c r="T4511" t="str">
        <f t="shared" si="263"/>
        <v/>
      </c>
    </row>
    <row r="4512" spans="18:20">
      <c r="R4512" s="24" t="str">
        <f t="shared" si="264"/>
        <v/>
      </c>
      <c r="S4512" s="24" t="str">
        <f t="shared" si="265"/>
        <v/>
      </c>
      <c r="T4512" t="str">
        <f t="shared" si="263"/>
        <v/>
      </c>
    </row>
    <row r="4513" spans="18:20">
      <c r="R4513" s="24" t="str">
        <f t="shared" si="264"/>
        <v/>
      </c>
      <c r="S4513" s="24" t="str">
        <f t="shared" si="265"/>
        <v/>
      </c>
      <c r="T4513" t="str">
        <f t="shared" si="263"/>
        <v/>
      </c>
    </row>
    <row r="4514" spans="18:20">
      <c r="R4514" s="24" t="str">
        <f t="shared" si="264"/>
        <v/>
      </c>
      <c r="S4514" s="24" t="str">
        <f t="shared" si="265"/>
        <v/>
      </c>
      <c r="T4514" t="str">
        <f t="shared" si="263"/>
        <v/>
      </c>
    </row>
    <row r="4515" spans="18:20">
      <c r="R4515" s="24" t="str">
        <f t="shared" si="264"/>
        <v/>
      </c>
      <c r="S4515" s="24" t="str">
        <f t="shared" si="265"/>
        <v/>
      </c>
      <c r="T4515" t="str">
        <f t="shared" si="263"/>
        <v/>
      </c>
    </row>
    <row r="4516" spans="18:20">
      <c r="R4516" s="24" t="str">
        <f t="shared" si="264"/>
        <v/>
      </c>
      <c r="S4516" s="24" t="str">
        <f t="shared" si="265"/>
        <v/>
      </c>
      <c r="T4516" t="str">
        <f t="shared" si="263"/>
        <v/>
      </c>
    </row>
    <row r="4517" spans="18:20">
      <c r="R4517" s="24" t="str">
        <f t="shared" si="264"/>
        <v/>
      </c>
      <c r="S4517" s="24" t="str">
        <f t="shared" si="265"/>
        <v/>
      </c>
      <c r="T4517" t="str">
        <f t="shared" si="263"/>
        <v/>
      </c>
    </row>
    <row r="4518" spans="18:20">
      <c r="R4518" s="24" t="str">
        <f t="shared" si="264"/>
        <v/>
      </c>
      <c r="S4518" s="24" t="str">
        <f t="shared" si="265"/>
        <v/>
      </c>
      <c r="T4518" t="str">
        <f t="shared" si="263"/>
        <v/>
      </c>
    </row>
    <row r="4519" spans="18:20">
      <c r="R4519" s="24" t="str">
        <f t="shared" si="264"/>
        <v/>
      </c>
      <c r="S4519" s="24" t="str">
        <f t="shared" si="265"/>
        <v/>
      </c>
      <c r="T4519" t="str">
        <f t="shared" si="263"/>
        <v/>
      </c>
    </row>
    <row r="4520" spans="18:20">
      <c r="R4520" s="24" t="str">
        <f t="shared" si="264"/>
        <v/>
      </c>
      <c r="S4520" s="24" t="str">
        <f t="shared" si="265"/>
        <v/>
      </c>
      <c r="T4520" t="str">
        <f t="shared" si="263"/>
        <v/>
      </c>
    </row>
    <row r="4521" spans="18:20">
      <c r="R4521" s="24" t="str">
        <f t="shared" si="264"/>
        <v/>
      </c>
      <c r="S4521" s="24" t="str">
        <f t="shared" si="265"/>
        <v/>
      </c>
      <c r="T4521" t="str">
        <f t="shared" si="263"/>
        <v/>
      </c>
    </row>
    <row r="4522" spans="18:20">
      <c r="R4522" s="24" t="str">
        <f t="shared" si="264"/>
        <v/>
      </c>
      <c r="S4522" s="24" t="str">
        <f t="shared" si="265"/>
        <v/>
      </c>
      <c r="T4522" t="str">
        <f t="shared" si="263"/>
        <v/>
      </c>
    </row>
    <row r="4523" spans="18:20">
      <c r="R4523" s="24" t="str">
        <f t="shared" si="264"/>
        <v/>
      </c>
      <c r="S4523" s="24" t="str">
        <f t="shared" si="265"/>
        <v/>
      </c>
      <c r="T4523" t="str">
        <f t="shared" si="263"/>
        <v/>
      </c>
    </row>
    <row r="4524" spans="18:20">
      <c r="R4524" s="24" t="str">
        <f t="shared" si="264"/>
        <v/>
      </c>
      <c r="S4524" s="24" t="str">
        <f t="shared" si="265"/>
        <v/>
      </c>
      <c r="T4524" t="str">
        <f t="shared" si="263"/>
        <v/>
      </c>
    </row>
    <row r="4525" spans="18:20">
      <c r="R4525" s="24" t="str">
        <f t="shared" si="264"/>
        <v/>
      </c>
      <c r="S4525" s="24" t="str">
        <f t="shared" si="265"/>
        <v/>
      </c>
      <c r="T4525" t="str">
        <f t="shared" si="263"/>
        <v/>
      </c>
    </row>
    <row r="4526" spans="18:20">
      <c r="R4526" s="24" t="str">
        <f t="shared" si="264"/>
        <v/>
      </c>
      <c r="S4526" s="24" t="str">
        <f t="shared" si="265"/>
        <v/>
      </c>
      <c r="T4526" t="str">
        <f t="shared" si="263"/>
        <v/>
      </c>
    </row>
    <row r="4527" spans="18:20">
      <c r="R4527" s="24" t="str">
        <f t="shared" si="264"/>
        <v/>
      </c>
      <c r="S4527" s="24" t="str">
        <f t="shared" si="265"/>
        <v/>
      </c>
      <c r="T4527" t="str">
        <f t="shared" si="263"/>
        <v/>
      </c>
    </row>
    <row r="4528" spans="18:20">
      <c r="R4528" s="24" t="str">
        <f t="shared" si="264"/>
        <v/>
      </c>
      <c r="S4528" s="24" t="str">
        <f t="shared" si="265"/>
        <v/>
      </c>
      <c r="T4528" t="str">
        <f t="shared" si="263"/>
        <v/>
      </c>
    </row>
    <row r="4529" spans="18:20">
      <c r="R4529" s="24" t="str">
        <f t="shared" si="264"/>
        <v/>
      </c>
      <c r="S4529" s="24" t="str">
        <f t="shared" si="265"/>
        <v/>
      </c>
      <c r="T4529" t="str">
        <f t="shared" si="263"/>
        <v/>
      </c>
    </row>
    <row r="4530" spans="18:20">
      <c r="R4530" s="24" t="str">
        <f t="shared" si="264"/>
        <v/>
      </c>
      <c r="S4530" s="24" t="str">
        <f t="shared" si="265"/>
        <v/>
      </c>
      <c r="T4530" t="str">
        <f t="shared" si="263"/>
        <v/>
      </c>
    </row>
    <row r="4531" spans="18:20">
      <c r="R4531" s="24" t="str">
        <f t="shared" si="264"/>
        <v/>
      </c>
      <c r="S4531" s="24" t="str">
        <f t="shared" si="265"/>
        <v/>
      </c>
      <c r="T4531" t="str">
        <f t="shared" si="263"/>
        <v/>
      </c>
    </row>
    <row r="4532" spans="18:20">
      <c r="R4532" s="24" t="str">
        <f t="shared" si="264"/>
        <v/>
      </c>
      <c r="S4532" s="24" t="str">
        <f t="shared" si="265"/>
        <v/>
      </c>
      <c r="T4532" t="str">
        <f t="shared" si="263"/>
        <v/>
      </c>
    </row>
    <row r="4533" spans="18:20">
      <c r="R4533" s="24" t="str">
        <f t="shared" si="264"/>
        <v/>
      </c>
      <c r="S4533" s="24" t="str">
        <f t="shared" si="265"/>
        <v/>
      </c>
      <c r="T4533" t="str">
        <f t="shared" si="263"/>
        <v/>
      </c>
    </row>
    <row r="4534" spans="18:20">
      <c r="R4534" s="24" t="str">
        <f t="shared" si="264"/>
        <v/>
      </c>
      <c r="S4534" s="24" t="str">
        <f t="shared" si="265"/>
        <v/>
      </c>
      <c r="T4534" t="str">
        <f t="shared" si="263"/>
        <v/>
      </c>
    </row>
    <row r="4535" spans="18:20">
      <c r="R4535" s="24" t="str">
        <f t="shared" si="264"/>
        <v/>
      </c>
      <c r="S4535" s="24" t="str">
        <f t="shared" si="265"/>
        <v/>
      </c>
      <c r="T4535" t="str">
        <f t="shared" si="263"/>
        <v/>
      </c>
    </row>
    <row r="4536" spans="18:20">
      <c r="R4536" s="24" t="str">
        <f t="shared" si="264"/>
        <v/>
      </c>
      <c r="S4536" s="24" t="str">
        <f t="shared" si="265"/>
        <v/>
      </c>
      <c r="T4536" t="str">
        <f t="shared" si="263"/>
        <v/>
      </c>
    </row>
    <row r="4537" spans="18:20">
      <c r="R4537" s="24" t="str">
        <f t="shared" si="264"/>
        <v/>
      </c>
      <c r="S4537" s="24" t="str">
        <f t="shared" si="265"/>
        <v/>
      </c>
      <c r="T4537" t="str">
        <f t="shared" si="263"/>
        <v/>
      </c>
    </row>
    <row r="4538" spans="18:20">
      <c r="R4538" s="24" t="str">
        <f t="shared" si="264"/>
        <v/>
      </c>
      <c r="S4538" s="24" t="str">
        <f t="shared" si="265"/>
        <v/>
      </c>
      <c r="T4538" t="str">
        <f t="shared" si="263"/>
        <v/>
      </c>
    </row>
    <row r="4539" spans="18:20">
      <c r="R4539" s="24" t="str">
        <f t="shared" si="264"/>
        <v/>
      </c>
      <c r="S4539" s="24" t="str">
        <f t="shared" si="265"/>
        <v/>
      </c>
      <c r="T4539" t="str">
        <f t="shared" si="263"/>
        <v/>
      </c>
    </row>
    <row r="4540" spans="18:20">
      <c r="R4540" s="24" t="str">
        <f t="shared" si="264"/>
        <v/>
      </c>
      <c r="S4540" s="24" t="str">
        <f t="shared" si="265"/>
        <v/>
      </c>
      <c r="T4540" t="str">
        <f t="shared" si="263"/>
        <v/>
      </c>
    </row>
    <row r="4541" spans="18:20">
      <c r="R4541" s="24" t="str">
        <f t="shared" si="264"/>
        <v/>
      </c>
      <c r="S4541" s="24" t="str">
        <f t="shared" si="265"/>
        <v/>
      </c>
      <c r="T4541" t="str">
        <f t="shared" si="263"/>
        <v/>
      </c>
    </row>
    <row r="4542" spans="18:20">
      <c r="R4542" s="24" t="str">
        <f t="shared" si="264"/>
        <v/>
      </c>
      <c r="S4542" s="24" t="str">
        <f t="shared" si="265"/>
        <v/>
      </c>
      <c r="T4542" t="str">
        <f t="shared" si="263"/>
        <v/>
      </c>
    </row>
    <row r="4543" spans="18:20">
      <c r="R4543" s="24" t="str">
        <f t="shared" si="264"/>
        <v/>
      </c>
      <c r="S4543" s="24" t="str">
        <f t="shared" si="265"/>
        <v/>
      </c>
      <c r="T4543" t="str">
        <f t="shared" si="263"/>
        <v/>
      </c>
    </row>
    <row r="4544" spans="18:20">
      <c r="R4544" s="24" t="str">
        <f t="shared" si="264"/>
        <v/>
      </c>
      <c r="S4544" s="24" t="str">
        <f t="shared" si="265"/>
        <v/>
      </c>
      <c r="T4544" t="str">
        <f t="shared" si="263"/>
        <v/>
      </c>
    </row>
    <row r="4545" spans="18:20">
      <c r="R4545" s="24" t="str">
        <f t="shared" si="264"/>
        <v/>
      </c>
      <c r="S4545" s="24" t="str">
        <f t="shared" si="265"/>
        <v/>
      </c>
      <c r="T4545" t="str">
        <f t="shared" si="263"/>
        <v/>
      </c>
    </row>
    <row r="4546" spans="18:20">
      <c r="R4546" s="24" t="str">
        <f t="shared" si="264"/>
        <v/>
      </c>
      <c r="S4546" s="24" t="str">
        <f t="shared" si="265"/>
        <v/>
      </c>
      <c r="T4546" t="str">
        <f t="shared" si="263"/>
        <v/>
      </c>
    </row>
    <row r="4547" spans="18:20">
      <c r="R4547" s="24" t="str">
        <f t="shared" si="264"/>
        <v/>
      </c>
      <c r="S4547" s="24" t="str">
        <f t="shared" si="265"/>
        <v/>
      </c>
      <c r="T4547" t="str">
        <f t="shared" si="263"/>
        <v/>
      </c>
    </row>
    <row r="4548" spans="18:20">
      <c r="R4548" s="24" t="str">
        <f t="shared" si="264"/>
        <v/>
      </c>
      <c r="S4548" s="24" t="str">
        <f t="shared" si="265"/>
        <v/>
      </c>
      <c r="T4548" t="str">
        <f t="shared" si="263"/>
        <v/>
      </c>
    </row>
    <row r="4549" spans="18:20">
      <c r="R4549" s="24" t="str">
        <f t="shared" si="264"/>
        <v/>
      </c>
      <c r="S4549" s="24" t="str">
        <f t="shared" si="265"/>
        <v/>
      </c>
      <c r="T4549" t="str">
        <f t="shared" si="263"/>
        <v/>
      </c>
    </row>
    <row r="4550" spans="18:20">
      <c r="R4550" s="24" t="str">
        <f t="shared" si="264"/>
        <v/>
      </c>
      <c r="S4550" s="24" t="str">
        <f t="shared" si="265"/>
        <v/>
      </c>
      <c r="T4550" t="str">
        <f t="shared" si="263"/>
        <v/>
      </c>
    </row>
    <row r="4551" spans="18:20">
      <c r="R4551" s="24" t="str">
        <f t="shared" si="264"/>
        <v/>
      </c>
      <c r="S4551" s="24" t="str">
        <f t="shared" si="265"/>
        <v/>
      </c>
      <c r="T4551" t="str">
        <f t="shared" si="263"/>
        <v/>
      </c>
    </row>
    <row r="4552" spans="18:20">
      <c r="R4552" s="24" t="str">
        <f t="shared" si="264"/>
        <v/>
      </c>
      <c r="S4552" s="24" t="str">
        <f t="shared" si="265"/>
        <v/>
      </c>
      <c r="T4552" t="str">
        <f t="shared" si="263"/>
        <v/>
      </c>
    </row>
    <row r="4553" spans="18:20">
      <c r="R4553" s="24" t="str">
        <f t="shared" si="264"/>
        <v/>
      </c>
      <c r="S4553" s="24" t="str">
        <f t="shared" si="265"/>
        <v/>
      </c>
      <c r="T4553" t="str">
        <f t="shared" si="263"/>
        <v/>
      </c>
    </row>
    <row r="4554" spans="18:20">
      <c r="R4554" s="24" t="str">
        <f t="shared" si="264"/>
        <v/>
      </c>
      <c r="S4554" s="24" t="str">
        <f t="shared" si="265"/>
        <v/>
      </c>
      <c r="T4554" t="str">
        <f t="shared" si="263"/>
        <v/>
      </c>
    </row>
    <row r="4555" spans="18:20">
      <c r="R4555" s="24" t="str">
        <f t="shared" si="264"/>
        <v/>
      </c>
      <c r="S4555" s="24" t="str">
        <f t="shared" si="265"/>
        <v/>
      </c>
      <c r="T4555" t="str">
        <f t="shared" si="263"/>
        <v/>
      </c>
    </row>
    <row r="4556" spans="18:20">
      <c r="R4556" s="24" t="str">
        <f t="shared" si="264"/>
        <v/>
      </c>
      <c r="S4556" s="24" t="str">
        <f t="shared" si="265"/>
        <v/>
      </c>
      <c r="T4556" t="str">
        <f t="shared" si="263"/>
        <v/>
      </c>
    </row>
    <row r="4557" spans="18:20">
      <c r="R4557" s="24" t="str">
        <f t="shared" si="264"/>
        <v/>
      </c>
      <c r="S4557" s="24" t="str">
        <f t="shared" si="265"/>
        <v/>
      </c>
      <c r="T4557" t="str">
        <f t="shared" si="263"/>
        <v/>
      </c>
    </row>
    <row r="4558" spans="18:20">
      <c r="R4558" s="24" t="str">
        <f t="shared" si="264"/>
        <v/>
      </c>
      <c r="S4558" s="24" t="str">
        <f t="shared" si="265"/>
        <v/>
      </c>
      <c r="T4558" t="str">
        <f t="shared" si="263"/>
        <v/>
      </c>
    </row>
    <row r="4559" spans="18:20">
      <c r="R4559" s="24" t="str">
        <f t="shared" si="264"/>
        <v/>
      </c>
      <c r="S4559" s="24" t="str">
        <f t="shared" si="265"/>
        <v/>
      </c>
      <c r="T4559" t="str">
        <f t="shared" ref="T4559:T4622" si="266">IF(OR(C4559="",I4559&lt;&gt;"ENTRADA"),"",TEXT(B4559,"AAMMDD")&amp;"-"&amp;TEXT(VALUE(SUBSTITUTE(A4559,"MOV-","")),"000"))</f>
        <v/>
      </c>
    </row>
    <row r="4560" spans="18:20">
      <c r="R4560" s="24" t="str">
        <f t="shared" ref="R4560:R4623" si="267">IF(H4560="","",H4560&amp;I4560)</f>
        <v/>
      </c>
      <c r="S4560" s="24" t="str">
        <f t="shared" ref="S4560:S4623" si="268">IF(C4560="","",C4560&amp;I4560)</f>
        <v/>
      </c>
      <c r="T4560" t="str">
        <f t="shared" si="266"/>
        <v/>
      </c>
    </row>
    <row r="4561" spans="18:20">
      <c r="R4561" s="24" t="str">
        <f t="shared" si="267"/>
        <v/>
      </c>
      <c r="S4561" s="24" t="str">
        <f t="shared" si="268"/>
        <v/>
      </c>
      <c r="T4561" t="str">
        <f t="shared" si="266"/>
        <v/>
      </c>
    </row>
    <row r="4562" spans="18:20">
      <c r="R4562" s="24" t="str">
        <f t="shared" si="267"/>
        <v/>
      </c>
      <c r="S4562" s="24" t="str">
        <f t="shared" si="268"/>
        <v/>
      </c>
      <c r="T4562" t="str">
        <f t="shared" si="266"/>
        <v/>
      </c>
    </row>
    <row r="4563" spans="18:20">
      <c r="R4563" s="24" t="str">
        <f t="shared" si="267"/>
        <v/>
      </c>
      <c r="S4563" s="24" t="str">
        <f t="shared" si="268"/>
        <v/>
      </c>
      <c r="T4563" t="str">
        <f t="shared" si="266"/>
        <v/>
      </c>
    </row>
    <row r="4564" spans="18:20">
      <c r="R4564" s="24" t="str">
        <f t="shared" si="267"/>
        <v/>
      </c>
      <c r="S4564" s="24" t="str">
        <f t="shared" si="268"/>
        <v/>
      </c>
      <c r="T4564" t="str">
        <f t="shared" si="266"/>
        <v/>
      </c>
    </row>
    <row r="4565" spans="18:20">
      <c r="R4565" s="24" t="str">
        <f t="shared" si="267"/>
        <v/>
      </c>
      <c r="S4565" s="24" t="str">
        <f t="shared" si="268"/>
        <v/>
      </c>
      <c r="T4565" t="str">
        <f t="shared" si="266"/>
        <v/>
      </c>
    </row>
    <row r="4566" spans="18:20">
      <c r="R4566" s="24" t="str">
        <f t="shared" si="267"/>
        <v/>
      </c>
      <c r="S4566" s="24" t="str">
        <f t="shared" si="268"/>
        <v/>
      </c>
      <c r="T4566" t="str">
        <f t="shared" si="266"/>
        <v/>
      </c>
    </row>
    <row r="4567" spans="18:20">
      <c r="R4567" s="24" t="str">
        <f t="shared" si="267"/>
        <v/>
      </c>
      <c r="S4567" s="24" t="str">
        <f t="shared" si="268"/>
        <v/>
      </c>
      <c r="T4567" t="str">
        <f t="shared" si="266"/>
        <v/>
      </c>
    </row>
    <row r="4568" spans="18:20">
      <c r="R4568" s="24" t="str">
        <f t="shared" si="267"/>
        <v/>
      </c>
      <c r="S4568" s="24" t="str">
        <f t="shared" si="268"/>
        <v/>
      </c>
      <c r="T4568" t="str">
        <f t="shared" si="266"/>
        <v/>
      </c>
    </row>
    <row r="4569" spans="18:20">
      <c r="R4569" s="24" t="str">
        <f t="shared" si="267"/>
        <v/>
      </c>
      <c r="S4569" s="24" t="str">
        <f t="shared" si="268"/>
        <v/>
      </c>
      <c r="T4569" t="str">
        <f t="shared" si="266"/>
        <v/>
      </c>
    </row>
    <row r="4570" spans="18:20">
      <c r="R4570" s="24" t="str">
        <f t="shared" si="267"/>
        <v/>
      </c>
      <c r="S4570" s="24" t="str">
        <f t="shared" si="268"/>
        <v/>
      </c>
      <c r="T4570" t="str">
        <f t="shared" si="266"/>
        <v/>
      </c>
    </row>
    <row r="4571" spans="18:20">
      <c r="R4571" s="24" t="str">
        <f t="shared" si="267"/>
        <v/>
      </c>
      <c r="S4571" s="24" t="str">
        <f t="shared" si="268"/>
        <v/>
      </c>
      <c r="T4571" t="str">
        <f t="shared" si="266"/>
        <v/>
      </c>
    </row>
    <row r="4572" spans="18:20">
      <c r="R4572" s="24" t="str">
        <f t="shared" si="267"/>
        <v/>
      </c>
      <c r="S4572" s="24" t="str">
        <f t="shared" si="268"/>
        <v/>
      </c>
      <c r="T4572" t="str">
        <f t="shared" si="266"/>
        <v/>
      </c>
    </row>
    <row r="4573" spans="18:20">
      <c r="R4573" s="24" t="str">
        <f t="shared" si="267"/>
        <v/>
      </c>
      <c r="S4573" s="24" t="str">
        <f t="shared" si="268"/>
        <v/>
      </c>
      <c r="T4573" t="str">
        <f t="shared" si="266"/>
        <v/>
      </c>
    </row>
    <row r="4574" spans="18:20">
      <c r="R4574" s="24" t="str">
        <f t="shared" si="267"/>
        <v/>
      </c>
      <c r="S4574" s="24" t="str">
        <f t="shared" si="268"/>
        <v/>
      </c>
      <c r="T4574" t="str">
        <f t="shared" si="266"/>
        <v/>
      </c>
    </row>
    <row r="4575" spans="18:20">
      <c r="R4575" s="24" t="str">
        <f t="shared" si="267"/>
        <v/>
      </c>
      <c r="S4575" s="24" t="str">
        <f t="shared" si="268"/>
        <v/>
      </c>
      <c r="T4575" t="str">
        <f t="shared" si="266"/>
        <v/>
      </c>
    </row>
    <row r="4576" spans="18:20">
      <c r="R4576" s="24" t="str">
        <f t="shared" si="267"/>
        <v/>
      </c>
      <c r="S4576" s="24" t="str">
        <f t="shared" si="268"/>
        <v/>
      </c>
      <c r="T4576" t="str">
        <f t="shared" si="266"/>
        <v/>
      </c>
    </row>
    <row r="4577" spans="18:20">
      <c r="R4577" s="24" t="str">
        <f t="shared" si="267"/>
        <v/>
      </c>
      <c r="S4577" s="24" t="str">
        <f t="shared" si="268"/>
        <v/>
      </c>
      <c r="T4577" t="str">
        <f t="shared" si="266"/>
        <v/>
      </c>
    </row>
    <row r="4578" spans="18:20">
      <c r="R4578" s="24" t="str">
        <f t="shared" si="267"/>
        <v/>
      </c>
      <c r="S4578" s="24" t="str">
        <f t="shared" si="268"/>
        <v/>
      </c>
      <c r="T4578" t="str">
        <f t="shared" si="266"/>
        <v/>
      </c>
    </row>
    <row r="4579" spans="18:20">
      <c r="R4579" s="24" t="str">
        <f t="shared" si="267"/>
        <v/>
      </c>
      <c r="S4579" s="24" t="str">
        <f t="shared" si="268"/>
        <v/>
      </c>
      <c r="T4579" t="str">
        <f t="shared" si="266"/>
        <v/>
      </c>
    </row>
    <row r="4580" spans="18:20">
      <c r="R4580" s="24" t="str">
        <f t="shared" si="267"/>
        <v/>
      </c>
      <c r="S4580" s="24" t="str">
        <f t="shared" si="268"/>
        <v/>
      </c>
      <c r="T4580" t="str">
        <f t="shared" si="266"/>
        <v/>
      </c>
    </row>
    <row r="4581" spans="18:20">
      <c r="R4581" s="24" t="str">
        <f t="shared" si="267"/>
        <v/>
      </c>
      <c r="S4581" s="24" t="str">
        <f t="shared" si="268"/>
        <v/>
      </c>
      <c r="T4581" t="str">
        <f t="shared" si="266"/>
        <v/>
      </c>
    </row>
    <row r="4582" spans="18:20">
      <c r="R4582" s="24" t="str">
        <f t="shared" si="267"/>
        <v/>
      </c>
      <c r="S4582" s="24" t="str">
        <f t="shared" si="268"/>
        <v/>
      </c>
      <c r="T4582" t="str">
        <f t="shared" si="266"/>
        <v/>
      </c>
    </row>
    <row r="4583" spans="18:20">
      <c r="R4583" s="24" t="str">
        <f t="shared" si="267"/>
        <v/>
      </c>
      <c r="S4583" s="24" t="str">
        <f t="shared" si="268"/>
        <v/>
      </c>
      <c r="T4583" t="str">
        <f t="shared" si="266"/>
        <v/>
      </c>
    </row>
    <row r="4584" spans="18:20">
      <c r="R4584" s="24" t="str">
        <f t="shared" si="267"/>
        <v/>
      </c>
      <c r="S4584" s="24" t="str">
        <f t="shared" si="268"/>
        <v/>
      </c>
      <c r="T4584" t="str">
        <f t="shared" si="266"/>
        <v/>
      </c>
    </row>
    <row r="4585" spans="18:20">
      <c r="R4585" s="24" t="str">
        <f t="shared" si="267"/>
        <v/>
      </c>
      <c r="S4585" s="24" t="str">
        <f t="shared" si="268"/>
        <v/>
      </c>
      <c r="T4585" t="str">
        <f t="shared" si="266"/>
        <v/>
      </c>
    </row>
    <row r="4586" spans="18:20">
      <c r="R4586" s="24" t="str">
        <f t="shared" si="267"/>
        <v/>
      </c>
      <c r="S4586" s="24" t="str">
        <f t="shared" si="268"/>
        <v/>
      </c>
      <c r="T4586" t="str">
        <f t="shared" si="266"/>
        <v/>
      </c>
    </row>
    <row r="4587" spans="18:20">
      <c r="R4587" s="24" t="str">
        <f t="shared" si="267"/>
        <v/>
      </c>
      <c r="S4587" s="24" t="str">
        <f t="shared" si="268"/>
        <v/>
      </c>
      <c r="T4587" t="str">
        <f t="shared" si="266"/>
        <v/>
      </c>
    </row>
    <row r="4588" spans="18:20">
      <c r="R4588" s="24" t="str">
        <f t="shared" si="267"/>
        <v/>
      </c>
      <c r="S4588" s="24" t="str">
        <f t="shared" si="268"/>
        <v/>
      </c>
      <c r="T4588" t="str">
        <f t="shared" si="266"/>
        <v/>
      </c>
    </row>
    <row r="4589" spans="18:20">
      <c r="R4589" s="24" t="str">
        <f t="shared" si="267"/>
        <v/>
      </c>
      <c r="S4589" s="24" t="str">
        <f t="shared" si="268"/>
        <v/>
      </c>
      <c r="T4589" t="str">
        <f t="shared" si="266"/>
        <v/>
      </c>
    </row>
    <row r="4590" spans="18:20">
      <c r="R4590" s="24" t="str">
        <f t="shared" si="267"/>
        <v/>
      </c>
      <c r="S4590" s="24" t="str">
        <f t="shared" si="268"/>
        <v/>
      </c>
      <c r="T4590" t="str">
        <f t="shared" si="266"/>
        <v/>
      </c>
    </row>
    <row r="4591" spans="18:20">
      <c r="R4591" s="24" t="str">
        <f t="shared" si="267"/>
        <v/>
      </c>
      <c r="S4591" s="24" t="str">
        <f t="shared" si="268"/>
        <v/>
      </c>
      <c r="T4591" t="str">
        <f t="shared" si="266"/>
        <v/>
      </c>
    </row>
    <row r="4592" spans="18:20">
      <c r="R4592" s="24" t="str">
        <f t="shared" si="267"/>
        <v/>
      </c>
      <c r="S4592" s="24" t="str">
        <f t="shared" si="268"/>
        <v/>
      </c>
      <c r="T4592" t="str">
        <f t="shared" si="266"/>
        <v/>
      </c>
    </row>
    <row r="4593" spans="18:20">
      <c r="R4593" s="24" t="str">
        <f t="shared" si="267"/>
        <v/>
      </c>
      <c r="S4593" s="24" t="str">
        <f t="shared" si="268"/>
        <v/>
      </c>
      <c r="T4593" t="str">
        <f t="shared" si="266"/>
        <v/>
      </c>
    </row>
    <row r="4594" spans="18:20">
      <c r="R4594" s="24" t="str">
        <f t="shared" si="267"/>
        <v/>
      </c>
      <c r="S4594" s="24" t="str">
        <f t="shared" si="268"/>
        <v/>
      </c>
      <c r="T4594" t="str">
        <f t="shared" si="266"/>
        <v/>
      </c>
    </row>
    <row r="4595" spans="18:20">
      <c r="R4595" s="24" t="str">
        <f t="shared" si="267"/>
        <v/>
      </c>
      <c r="S4595" s="24" t="str">
        <f t="shared" si="268"/>
        <v/>
      </c>
      <c r="T4595" t="str">
        <f t="shared" si="266"/>
        <v/>
      </c>
    </row>
    <row r="4596" spans="18:20">
      <c r="R4596" s="24" t="str">
        <f t="shared" si="267"/>
        <v/>
      </c>
      <c r="S4596" s="24" t="str">
        <f t="shared" si="268"/>
        <v/>
      </c>
      <c r="T4596" t="str">
        <f t="shared" si="266"/>
        <v/>
      </c>
    </row>
    <row r="4597" spans="18:20">
      <c r="R4597" s="24" t="str">
        <f t="shared" si="267"/>
        <v/>
      </c>
      <c r="S4597" s="24" t="str">
        <f t="shared" si="268"/>
        <v/>
      </c>
      <c r="T4597" t="str">
        <f t="shared" si="266"/>
        <v/>
      </c>
    </row>
    <row r="4598" spans="18:20">
      <c r="R4598" s="24" t="str">
        <f t="shared" si="267"/>
        <v/>
      </c>
      <c r="S4598" s="24" t="str">
        <f t="shared" si="268"/>
        <v/>
      </c>
      <c r="T4598" t="str">
        <f t="shared" si="266"/>
        <v/>
      </c>
    </row>
    <row r="4599" spans="18:20">
      <c r="R4599" s="24" t="str">
        <f t="shared" si="267"/>
        <v/>
      </c>
      <c r="S4599" s="24" t="str">
        <f t="shared" si="268"/>
        <v/>
      </c>
      <c r="T4599" t="str">
        <f t="shared" si="266"/>
        <v/>
      </c>
    </row>
    <row r="4600" spans="18:20">
      <c r="R4600" s="24" t="str">
        <f t="shared" si="267"/>
        <v/>
      </c>
      <c r="S4600" s="24" t="str">
        <f t="shared" si="268"/>
        <v/>
      </c>
      <c r="T4600" t="str">
        <f t="shared" si="266"/>
        <v/>
      </c>
    </row>
    <row r="4601" spans="18:20">
      <c r="R4601" s="24" t="str">
        <f t="shared" si="267"/>
        <v/>
      </c>
      <c r="S4601" s="24" t="str">
        <f t="shared" si="268"/>
        <v/>
      </c>
      <c r="T4601" t="str">
        <f t="shared" si="266"/>
        <v/>
      </c>
    </row>
    <row r="4602" spans="18:20">
      <c r="R4602" s="24" t="str">
        <f t="shared" si="267"/>
        <v/>
      </c>
      <c r="S4602" s="24" t="str">
        <f t="shared" si="268"/>
        <v/>
      </c>
      <c r="T4602" t="str">
        <f t="shared" si="266"/>
        <v/>
      </c>
    </row>
    <row r="4603" spans="18:20">
      <c r="R4603" s="24" t="str">
        <f t="shared" si="267"/>
        <v/>
      </c>
      <c r="S4603" s="24" t="str">
        <f t="shared" si="268"/>
        <v/>
      </c>
      <c r="T4603" t="str">
        <f t="shared" si="266"/>
        <v/>
      </c>
    </row>
    <row r="4604" spans="18:20">
      <c r="R4604" s="24" t="str">
        <f t="shared" si="267"/>
        <v/>
      </c>
      <c r="S4604" s="24" t="str">
        <f t="shared" si="268"/>
        <v/>
      </c>
      <c r="T4604" t="str">
        <f t="shared" si="266"/>
        <v/>
      </c>
    </row>
    <row r="4605" spans="18:20">
      <c r="R4605" s="24" t="str">
        <f t="shared" si="267"/>
        <v/>
      </c>
      <c r="S4605" s="24" t="str">
        <f t="shared" si="268"/>
        <v/>
      </c>
      <c r="T4605" t="str">
        <f t="shared" si="266"/>
        <v/>
      </c>
    </row>
    <row r="4606" spans="18:20">
      <c r="R4606" s="24" t="str">
        <f t="shared" si="267"/>
        <v/>
      </c>
      <c r="S4606" s="24" t="str">
        <f t="shared" si="268"/>
        <v/>
      </c>
      <c r="T4606" t="str">
        <f t="shared" si="266"/>
        <v/>
      </c>
    </row>
    <row r="4607" spans="18:20">
      <c r="R4607" s="24" t="str">
        <f t="shared" si="267"/>
        <v/>
      </c>
      <c r="S4607" s="24" t="str">
        <f t="shared" si="268"/>
        <v/>
      </c>
      <c r="T4607" t="str">
        <f t="shared" si="266"/>
        <v/>
      </c>
    </row>
    <row r="4608" spans="18:20">
      <c r="R4608" s="24" t="str">
        <f t="shared" si="267"/>
        <v/>
      </c>
      <c r="S4608" s="24" t="str">
        <f t="shared" si="268"/>
        <v/>
      </c>
      <c r="T4608" t="str">
        <f t="shared" si="266"/>
        <v/>
      </c>
    </row>
    <row r="4609" spans="18:20">
      <c r="R4609" s="24" t="str">
        <f t="shared" si="267"/>
        <v/>
      </c>
      <c r="S4609" s="24" t="str">
        <f t="shared" si="268"/>
        <v/>
      </c>
      <c r="T4609" t="str">
        <f t="shared" si="266"/>
        <v/>
      </c>
    </row>
    <row r="4610" spans="18:20">
      <c r="R4610" s="24" t="str">
        <f t="shared" si="267"/>
        <v/>
      </c>
      <c r="S4610" s="24" t="str">
        <f t="shared" si="268"/>
        <v/>
      </c>
      <c r="T4610" t="str">
        <f t="shared" si="266"/>
        <v/>
      </c>
    </row>
    <row r="4611" spans="18:20">
      <c r="R4611" s="24" t="str">
        <f t="shared" si="267"/>
        <v/>
      </c>
      <c r="S4611" s="24" t="str">
        <f t="shared" si="268"/>
        <v/>
      </c>
      <c r="T4611" t="str">
        <f t="shared" si="266"/>
        <v/>
      </c>
    </row>
    <row r="4612" spans="18:20">
      <c r="R4612" s="24" t="str">
        <f t="shared" si="267"/>
        <v/>
      </c>
      <c r="S4612" s="24" t="str">
        <f t="shared" si="268"/>
        <v/>
      </c>
      <c r="T4612" t="str">
        <f t="shared" si="266"/>
        <v/>
      </c>
    </row>
    <row r="4613" spans="18:20">
      <c r="R4613" s="24" t="str">
        <f t="shared" si="267"/>
        <v/>
      </c>
      <c r="S4613" s="24" t="str">
        <f t="shared" si="268"/>
        <v/>
      </c>
      <c r="T4613" t="str">
        <f t="shared" si="266"/>
        <v/>
      </c>
    </row>
    <row r="4614" spans="18:20">
      <c r="R4614" s="24" t="str">
        <f t="shared" si="267"/>
        <v/>
      </c>
      <c r="S4614" s="24" t="str">
        <f t="shared" si="268"/>
        <v/>
      </c>
      <c r="T4614" t="str">
        <f t="shared" si="266"/>
        <v/>
      </c>
    </row>
    <row r="4615" spans="18:20">
      <c r="R4615" s="24" t="str">
        <f t="shared" si="267"/>
        <v/>
      </c>
      <c r="S4615" s="24" t="str">
        <f t="shared" si="268"/>
        <v/>
      </c>
      <c r="T4615" t="str">
        <f t="shared" si="266"/>
        <v/>
      </c>
    </row>
    <row r="4616" spans="18:20">
      <c r="R4616" s="24" t="str">
        <f t="shared" si="267"/>
        <v/>
      </c>
      <c r="S4616" s="24" t="str">
        <f t="shared" si="268"/>
        <v/>
      </c>
      <c r="T4616" t="str">
        <f t="shared" si="266"/>
        <v/>
      </c>
    </row>
    <row r="4617" spans="18:20">
      <c r="R4617" s="24" t="str">
        <f t="shared" si="267"/>
        <v/>
      </c>
      <c r="S4617" s="24" t="str">
        <f t="shared" si="268"/>
        <v/>
      </c>
      <c r="T4617" t="str">
        <f t="shared" si="266"/>
        <v/>
      </c>
    </row>
    <row r="4618" spans="18:20">
      <c r="R4618" s="24" t="str">
        <f t="shared" si="267"/>
        <v/>
      </c>
      <c r="S4618" s="24" t="str">
        <f t="shared" si="268"/>
        <v/>
      </c>
      <c r="T4618" t="str">
        <f t="shared" si="266"/>
        <v/>
      </c>
    </row>
    <row r="4619" spans="18:20">
      <c r="R4619" s="24" t="str">
        <f t="shared" si="267"/>
        <v/>
      </c>
      <c r="S4619" s="24" t="str">
        <f t="shared" si="268"/>
        <v/>
      </c>
      <c r="T4619" t="str">
        <f t="shared" si="266"/>
        <v/>
      </c>
    </row>
    <row r="4620" spans="18:20">
      <c r="R4620" s="24" t="str">
        <f t="shared" si="267"/>
        <v/>
      </c>
      <c r="S4620" s="24" t="str">
        <f t="shared" si="268"/>
        <v/>
      </c>
      <c r="T4620" t="str">
        <f t="shared" si="266"/>
        <v/>
      </c>
    </row>
    <row r="4621" spans="18:20">
      <c r="R4621" s="24" t="str">
        <f t="shared" si="267"/>
        <v/>
      </c>
      <c r="S4621" s="24" t="str">
        <f t="shared" si="268"/>
        <v/>
      </c>
      <c r="T4621" t="str">
        <f t="shared" si="266"/>
        <v/>
      </c>
    </row>
    <row r="4622" spans="18:20">
      <c r="R4622" s="24" t="str">
        <f t="shared" si="267"/>
        <v/>
      </c>
      <c r="S4622" s="24" t="str">
        <f t="shared" si="268"/>
        <v/>
      </c>
      <c r="T4622" t="str">
        <f t="shared" si="266"/>
        <v/>
      </c>
    </row>
    <row r="4623" spans="18:20">
      <c r="R4623" s="24" t="str">
        <f t="shared" si="267"/>
        <v/>
      </c>
      <c r="S4623" s="24" t="str">
        <f t="shared" si="268"/>
        <v/>
      </c>
      <c r="T4623" t="str">
        <f t="shared" ref="T4623:T4686" si="269">IF(OR(C4623="",I4623&lt;&gt;"ENTRADA"),"",TEXT(B4623,"AAMMDD")&amp;"-"&amp;TEXT(VALUE(SUBSTITUTE(A4623,"MOV-","")),"000"))</f>
        <v/>
      </c>
    </row>
    <row r="4624" spans="18:20">
      <c r="R4624" s="24" t="str">
        <f t="shared" ref="R4624:R4687" si="270">IF(H4624="","",H4624&amp;I4624)</f>
        <v/>
      </c>
      <c r="S4624" s="24" t="str">
        <f t="shared" ref="S4624:S4687" si="271">IF(C4624="","",C4624&amp;I4624)</f>
        <v/>
      </c>
      <c r="T4624" t="str">
        <f t="shared" si="269"/>
        <v/>
      </c>
    </row>
    <row r="4625" spans="18:20">
      <c r="R4625" s="24" t="str">
        <f t="shared" si="270"/>
        <v/>
      </c>
      <c r="S4625" s="24" t="str">
        <f t="shared" si="271"/>
        <v/>
      </c>
      <c r="T4625" t="str">
        <f t="shared" si="269"/>
        <v/>
      </c>
    </row>
    <row r="4626" spans="18:20">
      <c r="R4626" s="24" t="str">
        <f t="shared" si="270"/>
        <v/>
      </c>
      <c r="S4626" s="24" t="str">
        <f t="shared" si="271"/>
        <v/>
      </c>
      <c r="T4626" t="str">
        <f t="shared" si="269"/>
        <v/>
      </c>
    </row>
    <row r="4627" spans="18:20">
      <c r="R4627" s="24" t="str">
        <f t="shared" si="270"/>
        <v/>
      </c>
      <c r="S4627" s="24" t="str">
        <f t="shared" si="271"/>
        <v/>
      </c>
      <c r="T4627" t="str">
        <f t="shared" si="269"/>
        <v/>
      </c>
    </row>
    <row r="4628" spans="18:20">
      <c r="R4628" s="24" t="str">
        <f t="shared" si="270"/>
        <v/>
      </c>
      <c r="S4628" s="24" t="str">
        <f t="shared" si="271"/>
        <v/>
      </c>
      <c r="T4628" t="str">
        <f t="shared" si="269"/>
        <v/>
      </c>
    </row>
    <row r="4629" spans="18:20">
      <c r="R4629" s="24" t="str">
        <f t="shared" si="270"/>
        <v/>
      </c>
      <c r="S4629" s="24" t="str">
        <f t="shared" si="271"/>
        <v/>
      </c>
      <c r="T4629" t="str">
        <f t="shared" si="269"/>
        <v/>
      </c>
    </row>
    <row r="4630" spans="18:20">
      <c r="R4630" s="24" t="str">
        <f t="shared" si="270"/>
        <v/>
      </c>
      <c r="S4630" s="24" t="str">
        <f t="shared" si="271"/>
        <v/>
      </c>
      <c r="T4630" t="str">
        <f t="shared" si="269"/>
        <v/>
      </c>
    </row>
    <row r="4631" spans="18:20">
      <c r="R4631" s="24" t="str">
        <f t="shared" si="270"/>
        <v/>
      </c>
      <c r="S4631" s="24" t="str">
        <f t="shared" si="271"/>
        <v/>
      </c>
      <c r="T4631" t="str">
        <f t="shared" si="269"/>
        <v/>
      </c>
    </row>
    <row r="4632" spans="18:20">
      <c r="R4632" s="24" t="str">
        <f t="shared" si="270"/>
        <v/>
      </c>
      <c r="S4632" s="24" t="str">
        <f t="shared" si="271"/>
        <v/>
      </c>
      <c r="T4632" t="str">
        <f t="shared" si="269"/>
        <v/>
      </c>
    </row>
    <row r="4633" spans="18:20">
      <c r="R4633" s="24" t="str">
        <f t="shared" si="270"/>
        <v/>
      </c>
      <c r="S4633" s="24" t="str">
        <f t="shared" si="271"/>
        <v/>
      </c>
      <c r="T4633" t="str">
        <f t="shared" si="269"/>
        <v/>
      </c>
    </row>
    <row r="4634" spans="18:20">
      <c r="R4634" s="24" t="str">
        <f t="shared" si="270"/>
        <v/>
      </c>
      <c r="S4634" s="24" t="str">
        <f t="shared" si="271"/>
        <v/>
      </c>
      <c r="T4634" t="str">
        <f t="shared" si="269"/>
        <v/>
      </c>
    </row>
    <row r="4635" spans="18:20">
      <c r="R4635" s="24" t="str">
        <f t="shared" si="270"/>
        <v/>
      </c>
      <c r="S4635" s="24" t="str">
        <f t="shared" si="271"/>
        <v/>
      </c>
      <c r="T4635" t="str">
        <f t="shared" si="269"/>
        <v/>
      </c>
    </row>
    <row r="4636" spans="18:20">
      <c r="R4636" s="24" t="str">
        <f t="shared" si="270"/>
        <v/>
      </c>
      <c r="S4636" s="24" t="str">
        <f t="shared" si="271"/>
        <v/>
      </c>
      <c r="T4636" t="str">
        <f t="shared" si="269"/>
        <v/>
      </c>
    </row>
    <row r="4637" spans="18:20">
      <c r="R4637" s="24" t="str">
        <f t="shared" si="270"/>
        <v/>
      </c>
      <c r="S4637" s="24" t="str">
        <f t="shared" si="271"/>
        <v/>
      </c>
      <c r="T4637" t="str">
        <f t="shared" si="269"/>
        <v/>
      </c>
    </row>
    <row r="4638" spans="18:20">
      <c r="R4638" s="24" t="str">
        <f t="shared" si="270"/>
        <v/>
      </c>
      <c r="S4638" s="24" t="str">
        <f t="shared" si="271"/>
        <v/>
      </c>
      <c r="T4638" t="str">
        <f t="shared" si="269"/>
        <v/>
      </c>
    </row>
    <row r="4639" spans="18:20">
      <c r="R4639" s="24" t="str">
        <f t="shared" si="270"/>
        <v/>
      </c>
      <c r="S4639" s="24" t="str">
        <f t="shared" si="271"/>
        <v/>
      </c>
      <c r="T4639" t="str">
        <f t="shared" si="269"/>
        <v/>
      </c>
    </row>
    <row r="4640" spans="18:20">
      <c r="R4640" s="24" t="str">
        <f t="shared" si="270"/>
        <v/>
      </c>
      <c r="S4640" s="24" t="str">
        <f t="shared" si="271"/>
        <v/>
      </c>
      <c r="T4640" t="str">
        <f t="shared" si="269"/>
        <v/>
      </c>
    </row>
    <row r="4641" spans="18:20">
      <c r="R4641" s="24" t="str">
        <f t="shared" si="270"/>
        <v/>
      </c>
      <c r="S4641" s="24" t="str">
        <f t="shared" si="271"/>
        <v/>
      </c>
      <c r="T4641" t="str">
        <f t="shared" si="269"/>
        <v/>
      </c>
    </row>
    <row r="4642" spans="18:20">
      <c r="R4642" s="24" t="str">
        <f t="shared" si="270"/>
        <v/>
      </c>
      <c r="S4642" s="24" t="str">
        <f t="shared" si="271"/>
        <v/>
      </c>
      <c r="T4642" t="str">
        <f t="shared" si="269"/>
        <v/>
      </c>
    </row>
    <row r="4643" spans="18:20">
      <c r="R4643" s="24" t="str">
        <f t="shared" si="270"/>
        <v/>
      </c>
      <c r="S4643" s="24" t="str">
        <f t="shared" si="271"/>
        <v/>
      </c>
      <c r="T4643" t="str">
        <f t="shared" si="269"/>
        <v/>
      </c>
    </row>
    <row r="4644" spans="18:20">
      <c r="R4644" s="24" t="str">
        <f t="shared" si="270"/>
        <v/>
      </c>
      <c r="S4644" s="24" t="str">
        <f t="shared" si="271"/>
        <v/>
      </c>
      <c r="T4644" t="str">
        <f t="shared" si="269"/>
        <v/>
      </c>
    </row>
    <row r="4645" spans="18:20">
      <c r="R4645" s="24" t="str">
        <f t="shared" si="270"/>
        <v/>
      </c>
      <c r="S4645" s="24" t="str">
        <f t="shared" si="271"/>
        <v/>
      </c>
      <c r="T4645" t="str">
        <f t="shared" si="269"/>
        <v/>
      </c>
    </row>
    <row r="4646" spans="18:20">
      <c r="R4646" s="24" t="str">
        <f t="shared" si="270"/>
        <v/>
      </c>
      <c r="S4646" s="24" t="str">
        <f t="shared" si="271"/>
        <v/>
      </c>
      <c r="T4646" t="str">
        <f t="shared" si="269"/>
        <v/>
      </c>
    </row>
    <row r="4647" spans="18:20">
      <c r="R4647" s="24" t="str">
        <f t="shared" si="270"/>
        <v/>
      </c>
      <c r="S4647" s="24" t="str">
        <f t="shared" si="271"/>
        <v/>
      </c>
      <c r="T4647" t="str">
        <f t="shared" si="269"/>
        <v/>
      </c>
    </row>
    <row r="4648" spans="18:20">
      <c r="R4648" s="24" t="str">
        <f t="shared" si="270"/>
        <v/>
      </c>
      <c r="S4648" s="24" t="str">
        <f t="shared" si="271"/>
        <v/>
      </c>
      <c r="T4648" t="str">
        <f t="shared" si="269"/>
        <v/>
      </c>
    </row>
    <row r="4649" spans="18:20">
      <c r="R4649" s="24" t="str">
        <f t="shared" si="270"/>
        <v/>
      </c>
      <c r="S4649" s="24" t="str">
        <f t="shared" si="271"/>
        <v/>
      </c>
      <c r="T4649" t="str">
        <f t="shared" si="269"/>
        <v/>
      </c>
    </row>
    <row r="4650" spans="18:20">
      <c r="R4650" s="24" t="str">
        <f t="shared" si="270"/>
        <v/>
      </c>
      <c r="S4650" s="24" t="str">
        <f t="shared" si="271"/>
        <v/>
      </c>
      <c r="T4650" t="str">
        <f t="shared" si="269"/>
        <v/>
      </c>
    </row>
    <row r="4651" spans="18:20">
      <c r="R4651" s="24" t="str">
        <f t="shared" si="270"/>
        <v/>
      </c>
      <c r="S4651" s="24" t="str">
        <f t="shared" si="271"/>
        <v/>
      </c>
      <c r="T4651" t="str">
        <f t="shared" si="269"/>
        <v/>
      </c>
    </row>
    <row r="4652" spans="18:20">
      <c r="R4652" s="24" t="str">
        <f t="shared" si="270"/>
        <v/>
      </c>
      <c r="S4652" s="24" t="str">
        <f t="shared" si="271"/>
        <v/>
      </c>
      <c r="T4652" t="str">
        <f t="shared" si="269"/>
        <v/>
      </c>
    </row>
    <row r="4653" spans="18:20">
      <c r="R4653" s="24" t="str">
        <f t="shared" si="270"/>
        <v/>
      </c>
      <c r="S4653" s="24" t="str">
        <f t="shared" si="271"/>
        <v/>
      </c>
      <c r="T4653" t="str">
        <f t="shared" si="269"/>
        <v/>
      </c>
    </row>
    <row r="4654" spans="18:20">
      <c r="R4654" s="24" t="str">
        <f t="shared" si="270"/>
        <v/>
      </c>
      <c r="S4654" s="24" t="str">
        <f t="shared" si="271"/>
        <v/>
      </c>
      <c r="T4654" t="str">
        <f t="shared" si="269"/>
        <v/>
      </c>
    </row>
    <row r="4655" spans="18:20">
      <c r="R4655" s="24" t="str">
        <f t="shared" si="270"/>
        <v/>
      </c>
      <c r="S4655" s="24" t="str">
        <f t="shared" si="271"/>
        <v/>
      </c>
      <c r="T4655" t="str">
        <f t="shared" si="269"/>
        <v/>
      </c>
    </row>
    <row r="4656" spans="18:20">
      <c r="R4656" s="24" t="str">
        <f t="shared" si="270"/>
        <v/>
      </c>
      <c r="S4656" s="24" t="str">
        <f t="shared" si="271"/>
        <v/>
      </c>
      <c r="T4656" t="str">
        <f t="shared" si="269"/>
        <v/>
      </c>
    </row>
    <row r="4657" spans="18:20">
      <c r="R4657" s="24" t="str">
        <f t="shared" si="270"/>
        <v/>
      </c>
      <c r="S4657" s="24" t="str">
        <f t="shared" si="271"/>
        <v/>
      </c>
      <c r="T4657" t="str">
        <f t="shared" si="269"/>
        <v/>
      </c>
    </row>
    <row r="4658" spans="18:20">
      <c r="R4658" s="24" t="str">
        <f t="shared" si="270"/>
        <v/>
      </c>
      <c r="S4658" s="24" t="str">
        <f t="shared" si="271"/>
        <v/>
      </c>
      <c r="T4658" t="str">
        <f t="shared" si="269"/>
        <v/>
      </c>
    </row>
    <row r="4659" spans="18:20">
      <c r="R4659" s="24" t="str">
        <f t="shared" si="270"/>
        <v/>
      </c>
      <c r="S4659" s="24" t="str">
        <f t="shared" si="271"/>
        <v/>
      </c>
      <c r="T4659" t="str">
        <f t="shared" si="269"/>
        <v/>
      </c>
    </row>
    <row r="4660" spans="18:20">
      <c r="R4660" s="24" t="str">
        <f t="shared" si="270"/>
        <v/>
      </c>
      <c r="S4660" s="24" t="str">
        <f t="shared" si="271"/>
        <v/>
      </c>
      <c r="T4660" t="str">
        <f t="shared" si="269"/>
        <v/>
      </c>
    </row>
    <row r="4661" spans="18:20">
      <c r="R4661" s="24" t="str">
        <f t="shared" si="270"/>
        <v/>
      </c>
      <c r="S4661" s="24" t="str">
        <f t="shared" si="271"/>
        <v/>
      </c>
      <c r="T4661" t="str">
        <f t="shared" si="269"/>
        <v/>
      </c>
    </row>
    <row r="4662" spans="18:20">
      <c r="R4662" s="24" t="str">
        <f t="shared" si="270"/>
        <v/>
      </c>
      <c r="S4662" s="24" t="str">
        <f t="shared" si="271"/>
        <v/>
      </c>
      <c r="T4662" t="str">
        <f t="shared" si="269"/>
        <v/>
      </c>
    </row>
    <row r="4663" spans="18:20">
      <c r="R4663" s="24" t="str">
        <f t="shared" si="270"/>
        <v/>
      </c>
      <c r="S4663" s="24" t="str">
        <f t="shared" si="271"/>
        <v/>
      </c>
      <c r="T4663" t="str">
        <f t="shared" si="269"/>
        <v/>
      </c>
    </row>
    <row r="4664" spans="18:20">
      <c r="R4664" s="24" t="str">
        <f t="shared" si="270"/>
        <v/>
      </c>
      <c r="S4664" s="24" t="str">
        <f t="shared" si="271"/>
        <v/>
      </c>
      <c r="T4664" t="str">
        <f t="shared" si="269"/>
        <v/>
      </c>
    </row>
    <row r="4665" spans="18:20">
      <c r="R4665" s="24" t="str">
        <f t="shared" si="270"/>
        <v/>
      </c>
      <c r="S4665" s="24" t="str">
        <f t="shared" si="271"/>
        <v/>
      </c>
      <c r="T4665" t="str">
        <f t="shared" si="269"/>
        <v/>
      </c>
    </row>
    <row r="4666" spans="18:20">
      <c r="R4666" s="24" t="str">
        <f t="shared" si="270"/>
        <v/>
      </c>
      <c r="S4666" s="24" t="str">
        <f t="shared" si="271"/>
        <v/>
      </c>
      <c r="T4666" t="str">
        <f t="shared" si="269"/>
        <v/>
      </c>
    </row>
    <row r="4667" spans="18:20">
      <c r="R4667" s="24" t="str">
        <f t="shared" si="270"/>
        <v/>
      </c>
      <c r="S4667" s="24" t="str">
        <f t="shared" si="271"/>
        <v/>
      </c>
      <c r="T4667" t="str">
        <f t="shared" si="269"/>
        <v/>
      </c>
    </row>
    <row r="4668" spans="18:20">
      <c r="R4668" s="24" t="str">
        <f t="shared" si="270"/>
        <v/>
      </c>
      <c r="S4668" s="24" t="str">
        <f t="shared" si="271"/>
        <v/>
      </c>
      <c r="T4668" t="str">
        <f t="shared" si="269"/>
        <v/>
      </c>
    </row>
    <row r="4669" spans="18:20">
      <c r="R4669" s="24" t="str">
        <f t="shared" si="270"/>
        <v/>
      </c>
      <c r="S4669" s="24" t="str">
        <f t="shared" si="271"/>
        <v/>
      </c>
      <c r="T4669" t="str">
        <f t="shared" si="269"/>
        <v/>
      </c>
    </row>
    <row r="4670" spans="18:20">
      <c r="R4670" s="24" t="str">
        <f t="shared" si="270"/>
        <v/>
      </c>
      <c r="S4670" s="24" t="str">
        <f t="shared" si="271"/>
        <v/>
      </c>
      <c r="T4670" t="str">
        <f t="shared" si="269"/>
        <v/>
      </c>
    </row>
    <row r="4671" spans="18:20">
      <c r="R4671" s="24" t="str">
        <f t="shared" si="270"/>
        <v/>
      </c>
      <c r="S4671" s="24" t="str">
        <f t="shared" si="271"/>
        <v/>
      </c>
      <c r="T4671" t="str">
        <f t="shared" si="269"/>
        <v/>
      </c>
    </row>
    <row r="4672" spans="18:20">
      <c r="R4672" s="24" t="str">
        <f t="shared" si="270"/>
        <v/>
      </c>
      <c r="S4672" s="24" t="str">
        <f t="shared" si="271"/>
        <v/>
      </c>
      <c r="T4672" t="str">
        <f t="shared" si="269"/>
        <v/>
      </c>
    </row>
    <row r="4673" spans="18:20">
      <c r="R4673" s="24" t="str">
        <f t="shared" si="270"/>
        <v/>
      </c>
      <c r="S4673" s="24" t="str">
        <f t="shared" si="271"/>
        <v/>
      </c>
      <c r="T4673" t="str">
        <f t="shared" si="269"/>
        <v/>
      </c>
    </row>
    <row r="4674" spans="18:20">
      <c r="R4674" s="24" t="str">
        <f t="shared" si="270"/>
        <v/>
      </c>
      <c r="S4674" s="24" t="str">
        <f t="shared" si="271"/>
        <v/>
      </c>
      <c r="T4674" t="str">
        <f t="shared" si="269"/>
        <v/>
      </c>
    </row>
    <row r="4675" spans="18:20">
      <c r="R4675" s="24" t="str">
        <f t="shared" si="270"/>
        <v/>
      </c>
      <c r="S4675" s="24" t="str">
        <f t="shared" si="271"/>
        <v/>
      </c>
      <c r="T4675" t="str">
        <f t="shared" si="269"/>
        <v/>
      </c>
    </row>
    <row r="4676" spans="18:20">
      <c r="R4676" s="24" t="str">
        <f t="shared" si="270"/>
        <v/>
      </c>
      <c r="S4676" s="24" t="str">
        <f t="shared" si="271"/>
        <v/>
      </c>
      <c r="T4676" t="str">
        <f t="shared" si="269"/>
        <v/>
      </c>
    </row>
    <row r="4677" spans="18:20">
      <c r="R4677" s="24" t="str">
        <f t="shared" si="270"/>
        <v/>
      </c>
      <c r="S4677" s="24" t="str">
        <f t="shared" si="271"/>
        <v/>
      </c>
      <c r="T4677" t="str">
        <f t="shared" si="269"/>
        <v/>
      </c>
    </row>
    <row r="4678" spans="18:20">
      <c r="R4678" s="24" t="str">
        <f t="shared" si="270"/>
        <v/>
      </c>
      <c r="S4678" s="24" t="str">
        <f t="shared" si="271"/>
        <v/>
      </c>
      <c r="T4678" t="str">
        <f t="shared" si="269"/>
        <v/>
      </c>
    </row>
    <row r="4679" spans="18:20">
      <c r="R4679" s="24" t="str">
        <f t="shared" si="270"/>
        <v/>
      </c>
      <c r="S4679" s="24" t="str">
        <f t="shared" si="271"/>
        <v/>
      </c>
      <c r="T4679" t="str">
        <f t="shared" si="269"/>
        <v/>
      </c>
    </row>
    <row r="4680" spans="18:20">
      <c r="R4680" s="24" t="str">
        <f t="shared" si="270"/>
        <v/>
      </c>
      <c r="S4680" s="24" t="str">
        <f t="shared" si="271"/>
        <v/>
      </c>
      <c r="T4680" t="str">
        <f t="shared" si="269"/>
        <v/>
      </c>
    </row>
    <row r="4681" spans="18:20">
      <c r="R4681" s="24" t="str">
        <f t="shared" si="270"/>
        <v/>
      </c>
      <c r="S4681" s="24" t="str">
        <f t="shared" si="271"/>
        <v/>
      </c>
      <c r="T4681" t="str">
        <f t="shared" si="269"/>
        <v/>
      </c>
    </row>
    <row r="4682" spans="18:20">
      <c r="R4682" s="24" t="str">
        <f t="shared" si="270"/>
        <v/>
      </c>
      <c r="S4682" s="24" t="str">
        <f t="shared" si="271"/>
        <v/>
      </c>
      <c r="T4682" t="str">
        <f t="shared" si="269"/>
        <v/>
      </c>
    </row>
    <row r="4683" spans="18:20">
      <c r="R4683" s="24" t="str">
        <f t="shared" si="270"/>
        <v/>
      </c>
      <c r="S4683" s="24" t="str">
        <f t="shared" si="271"/>
        <v/>
      </c>
      <c r="T4683" t="str">
        <f t="shared" si="269"/>
        <v/>
      </c>
    </row>
    <row r="4684" spans="18:20">
      <c r="R4684" s="24" t="str">
        <f t="shared" si="270"/>
        <v/>
      </c>
      <c r="S4684" s="24" t="str">
        <f t="shared" si="271"/>
        <v/>
      </c>
      <c r="T4684" t="str">
        <f t="shared" si="269"/>
        <v/>
      </c>
    </row>
    <row r="4685" spans="18:20">
      <c r="R4685" s="24" t="str">
        <f t="shared" si="270"/>
        <v/>
      </c>
      <c r="S4685" s="24" t="str">
        <f t="shared" si="271"/>
        <v/>
      </c>
      <c r="T4685" t="str">
        <f t="shared" si="269"/>
        <v/>
      </c>
    </row>
    <row r="4686" spans="18:20">
      <c r="R4686" s="24" t="str">
        <f t="shared" si="270"/>
        <v/>
      </c>
      <c r="S4686" s="24" t="str">
        <f t="shared" si="271"/>
        <v/>
      </c>
      <c r="T4686" t="str">
        <f t="shared" si="269"/>
        <v/>
      </c>
    </row>
    <row r="4687" spans="18:20">
      <c r="R4687" s="24" t="str">
        <f t="shared" si="270"/>
        <v/>
      </c>
      <c r="S4687" s="24" t="str">
        <f t="shared" si="271"/>
        <v/>
      </c>
      <c r="T4687" t="str">
        <f t="shared" ref="T4687:T4750" si="272">IF(OR(C4687="",I4687&lt;&gt;"ENTRADA"),"",TEXT(B4687,"AAMMDD")&amp;"-"&amp;TEXT(VALUE(SUBSTITUTE(A4687,"MOV-","")),"000"))</f>
        <v/>
      </c>
    </row>
    <row r="4688" spans="18:20">
      <c r="R4688" s="24" t="str">
        <f t="shared" ref="R4688:R4751" si="273">IF(H4688="","",H4688&amp;I4688)</f>
        <v/>
      </c>
      <c r="S4688" s="24" t="str">
        <f t="shared" ref="S4688:S4751" si="274">IF(C4688="","",C4688&amp;I4688)</f>
        <v/>
      </c>
      <c r="T4688" t="str">
        <f t="shared" si="272"/>
        <v/>
      </c>
    </row>
    <row r="4689" spans="18:20">
      <c r="R4689" s="24" t="str">
        <f t="shared" si="273"/>
        <v/>
      </c>
      <c r="S4689" s="24" t="str">
        <f t="shared" si="274"/>
        <v/>
      </c>
      <c r="T4689" t="str">
        <f t="shared" si="272"/>
        <v/>
      </c>
    </row>
    <row r="4690" spans="18:20">
      <c r="R4690" s="24" t="str">
        <f t="shared" si="273"/>
        <v/>
      </c>
      <c r="S4690" s="24" t="str">
        <f t="shared" si="274"/>
        <v/>
      </c>
      <c r="T4690" t="str">
        <f t="shared" si="272"/>
        <v/>
      </c>
    </row>
    <row r="4691" spans="18:20">
      <c r="R4691" s="24" t="str">
        <f t="shared" si="273"/>
        <v/>
      </c>
      <c r="S4691" s="24" t="str">
        <f t="shared" si="274"/>
        <v/>
      </c>
      <c r="T4691" t="str">
        <f t="shared" si="272"/>
        <v/>
      </c>
    </row>
    <row r="4692" spans="18:20">
      <c r="R4692" s="24" t="str">
        <f t="shared" si="273"/>
        <v/>
      </c>
      <c r="S4692" s="24" t="str">
        <f t="shared" si="274"/>
        <v/>
      </c>
      <c r="T4692" t="str">
        <f t="shared" si="272"/>
        <v/>
      </c>
    </row>
    <row r="4693" spans="18:20">
      <c r="R4693" s="24" t="str">
        <f t="shared" si="273"/>
        <v/>
      </c>
      <c r="S4693" s="24" t="str">
        <f t="shared" si="274"/>
        <v/>
      </c>
      <c r="T4693" t="str">
        <f t="shared" si="272"/>
        <v/>
      </c>
    </row>
    <row r="4694" spans="18:20">
      <c r="R4694" s="24" t="str">
        <f t="shared" si="273"/>
        <v/>
      </c>
      <c r="S4694" s="24" t="str">
        <f t="shared" si="274"/>
        <v/>
      </c>
      <c r="T4694" t="str">
        <f t="shared" si="272"/>
        <v/>
      </c>
    </row>
    <row r="4695" spans="18:20">
      <c r="R4695" s="24" t="str">
        <f t="shared" si="273"/>
        <v/>
      </c>
      <c r="S4695" s="24" t="str">
        <f t="shared" si="274"/>
        <v/>
      </c>
      <c r="T4695" t="str">
        <f t="shared" si="272"/>
        <v/>
      </c>
    </row>
    <row r="4696" spans="18:20">
      <c r="R4696" s="24" t="str">
        <f t="shared" si="273"/>
        <v/>
      </c>
      <c r="S4696" s="24" t="str">
        <f t="shared" si="274"/>
        <v/>
      </c>
      <c r="T4696" t="str">
        <f t="shared" si="272"/>
        <v/>
      </c>
    </row>
    <row r="4697" spans="18:20">
      <c r="R4697" s="24" t="str">
        <f t="shared" si="273"/>
        <v/>
      </c>
      <c r="S4697" s="24" t="str">
        <f t="shared" si="274"/>
        <v/>
      </c>
      <c r="T4697" t="str">
        <f t="shared" si="272"/>
        <v/>
      </c>
    </row>
    <row r="4698" spans="18:20">
      <c r="R4698" s="24" t="str">
        <f t="shared" si="273"/>
        <v/>
      </c>
      <c r="S4698" s="24" t="str">
        <f t="shared" si="274"/>
        <v/>
      </c>
      <c r="T4698" t="str">
        <f t="shared" si="272"/>
        <v/>
      </c>
    </row>
    <row r="4699" spans="18:20">
      <c r="R4699" s="24" t="str">
        <f t="shared" si="273"/>
        <v/>
      </c>
      <c r="S4699" s="24" t="str">
        <f t="shared" si="274"/>
        <v/>
      </c>
      <c r="T4699" t="str">
        <f t="shared" si="272"/>
        <v/>
      </c>
    </row>
    <row r="4700" spans="18:20">
      <c r="R4700" s="24" t="str">
        <f t="shared" si="273"/>
        <v/>
      </c>
      <c r="S4700" s="24" t="str">
        <f t="shared" si="274"/>
        <v/>
      </c>
      <c r="T4700" t="str">
        <f t="shared" si="272"/>
        <v/>
      </c>
    </row>
    <row r="4701" spans="18:20">
      <c r="R4701" s="24" t="str">
        <f t="shared" si="273"/>
        <v/>
      </c>
      <c r="S4701" s="24" t="str">
        <f t="shared" si="274"/>
        <v/>
      </c>
      <c r="T4701" t="str">
        <f t="shared" si="272"/>
        <v/>
      </c>
    </row>
    <row r="4702" spans="18:20">
      <c r="R4702" s="24" t="str">
        <f t="shared" si="273"/>
        <v/>
      </c>
      <c r="S4702" s="24" t="str">
        <f t="shared" si="274"/>
        <v/>
      </c>
      <c r="T4702" t="str">
        <f t="shared" si="272"/>
        <v/>
      </c>
    </row>
    <row r="4703" spans="18:20">
      <c r="R4703" s="24" t="str">
        <f t="shared" si="273"/>
        <v/>
      </c>
      <c r="S4703" s="24" t="str">
        <f t="shared" si="274"/>
        <v/>
      </c>
      <c r="T4703" t="str">
        <f t="shared" si="272"/>
        <v/>
      </c>
    </row>
    <row r="4704" spans="18:20">
      <c r="R4704" s="24" t="str">
        <f t="shared" si="273"/>
        <v/>
      </c>
      <c r="S4704" s="24" t="str">
        <f t="shared" si="274"/>
        <v/>
      </c>
      <c r="T4704" t="str">
        <f t="shared" si="272"/>
        <v/>
      </c>
    </row>
    <row r="4705" spans="18:20">
      <c r="R4705" s="24" t="str">
        <f t="shared" si="273"/>
        <v/>
      </c>
      <c r="S4705" s="24" t="str">
        <f t="shared" si="274"/>
        <v/>
      </c>
      <c r="T4705" t="str">
        <f t="shared" si="272"/>
        <v/>
      </c>
    </row>
    <row r="4706" spans="18:20">
      <c r="R4706" s="24" t="str">
        <f t="shared" si="273"/>
        <v/>
      </c>
      <c r="S4706" s="24" t="str">
        <f t="shared" si="274"/>
        <v/>
      </c>
      <c r="T4706" t="str">
        <f t="shared" si="272"/>
        <v/>
      </c>
    </row>
    <row r="4707" spans="18:20">
      <c r="R4707" s="24" t="str">
        <f t="shared" si="273"/>
        <v/>
      </c>
      <c r="S4707" s="24" t="str">
        <f t="shared" si="274"/>
        <v/>
      </c>
      <c r="T4707" t="str">
        <f t="shared" si="272"/>
        <v/>
      </c>
    </row>
    <row r="4708" spans="18:20">
      <c r="R4708" s="24" t="str">
        <f t="shared" si="273"/>
        <v/>
      </c>
      <c r="S4708" s="24" t="str">
        <f t="shared" si="274"/>
        <v/>
      </c>
      <c r="T4708" t="str">
        <f t="shared" si="272"/>
        <v/>
      </c>
    </row>
    <row r="4709" spans="18:20">
      <c r="R4709" s="24" t="str">
        <f t="shared" si="273"/>
        <v/>
      </c>
      <c r="S4709" s="24" t="str">
        <f t="shared" si="274"/>
        <v/>
      </c>
      <c r="T4709" t="str">
        <f t="shared" si="272"/>
        <v/>
      </c>
    </row>
    <row r="4710" spans="18:20">
      <c r="R4710" s="24" t="str">
        <f t="shared" si="273"/>
        <v/>
      </c>
      <c r="S4710" s="24" t="str">
        <f t="shared" si="274"/>
        <v/>
      </c>
      <c r="T4710" t="str">
        <f t="shared" si="272"/>
        <v/>
      </c>
    </row>
    <row r="4711" spans="18:20">
      <c r="R4711" s="24" t="str">
        <f t="shared" si="273"/>
        <v/>
      </c>
      <c r="S4711" s="24" t="str">
        <f t="shared" si="274"/>
        <v/>
      </c>
      <c r="T4711" t="str">
        <f t="shared" si="272"/>
        <v/>
      </c>
    </row>
    <row r="4712" spans="18:20">
      <c r="R4712" s="24" t="str">
        <f t="shared" si="273"/>
        <v/>
      </c>
      <c r="S4712" s="24" t="str">
        <f t="shared" si="274"/>
        <v/>
      </c>
      <c r="T4712" t="str">
        <f t="shared" si="272"/>
        <v/>
      </c>
    </row>
    <row r="4713" spans="18:20">
      <c r="R4713" s="24" t="str">
        <f t="shared" si="273"/>
        <v/>
      </c>
      <c r="S4713" s="24" t="str">
        <f t="shared" si="274"/>
        <v/>
      </c>
      <c r="T4713" t="str">
        <f t="shared" si="272"/>
        <v/>
      </c>
    </row>
    <row r="4714" spans="18:20">
      <c r="R4714" s="24" t="str">
        <f t="shared" si="273"/>
        <v/>
      </c>
      <c r="S4714" s="24" t="str">
        <f t="shared" si="274"/>
        <v/>
      </c>
      <c r="T4714" t="str">
        <f t="shared" si="272"/>
        <v/>
      </c>
    </row>
    <row r="4715" spans="18:20">
      <c r="R4715" s="24" t="str">
        <f t="shared" si="273"/>
        <v/>
      </c>
      <c r="S4715" s="24" t="str">
        <f t="shared" si="274"/>
        <v/>
      </c>
      <c r="T4715" t="str">
        <f t="shared" si="272"/>
        <v/>
      </c>
    </row>
    <row r="4716" spans="18:20">
      <c r="R4716" s="24" t="str">
        <f t="shared" si="273"/>
        <v/>
      </c>
      <c r="S4716" s="24" t="str">
        <f t="shared" si="274"/>
        <v/>
      </c>
      <c r="T4716" t="str">
        <f t="shared" si="272"/>
        <v/>
      </c>
    </row>
    <row r="4717" spans="18:20">
      <c r="R4717" s="24" t="str">
        <f t="shared" si="273"/>
        <v/>
      </c>
      <c r="S4717" s="24" t="str">
        <f t="shared" si="274"/>
        <v/>
      </c>
      <c r="T4717" t="str">
        <f t="shared" si="272"/>
        <v/>
      </c>
    </row>
    <row r="4718" spans="18:20">
      <c r="R4718" s="24" t="str">
        <f t="shared" si="273"/>
        <v/>
      </c>
      <c r="S4718" s="24" t="str">
        <f t="shared" si="274"/>
        <v/>
      </c>
      <c r="T4718" t="str">
        <f t="shared" si="272"/>
        <v/>
      </c>
    </row>
    <row r="4719" spans="18:20">
      <c r="R4719" s="24" t="str">
        <f t="shared" si="273"/>
        <v/>
      </c>
      <c r="S4719" s="24" t="str">
        <f t="shared" si="274"/>
        <v/>
      </c>
      <c r="T4719" t="str">
        <f t="shared" si="272"/>
        <v/>
      </c>
    </row>
    <row r="4720" spans="18:20">
      <c r="R4720" s="24" t="str">
        <f t="shared" si="273"/>
        <v/>
      </c>
      <c r="S4720" s="24" t="str">
        <f t="shared" si="274"/>
        <v/>
      </c>
      <c r="T4720" t="str">
        <f t="shared" si="272"/>
        <v/>
      </c>
    </row>
    <row r="4721" spans="18:20">
      <c r="R4721" s="24" t="str">
        <f t="shared" si="273"/>
        <v/>
      </c>
      <c r="S4721" s="24" t="str">
        <f t="shared" si="274"/>
        <v/>
      </c>
      <c r="T4721" t="str">
        <f t="shared" si="272"/>
        <v/>
      </c>
    </row>
    <row r="4722" spans="18:20">
      <c r="R4722" s="24" t="str">
        <f t="shared" si="273"/>
        <v/>
      </c>
      <c r="S4722" s="24" t="str">
        <f t="shared" si="274"/>
        <v/>
      </c>
      <c r="T4722" t="str">
        <f t="shared" si="272"/>
        <v/>
      </c>
    </row>
    <row r="4723" spans="18:20">
      <c r="R4723" s="24" t="str">
        <f t="shared" si="273"/>
        <v/>
      </c>
      <c r="S4723" s="24" t="str">
        <f t="shared" si="274"/>
        <v/>
      </c>
      <c r="T4723" t="str">
        <f t="shared" si="272"/>
        <v/>
      </c>
    </row>
    <row r="4724" spans="18:20">
      <c r="R4724" s="24" t="str">
        <f t="shared" si="273"/>
        <v/>
      </c>
      <c r="S4724" s="24" t="str">
        <f t="shared" si="274"/>
        <v/>
      </c>
      <c r="T4724" t="str">
        <f t="shared" si="272"/>
        <v/>
      </c>
    </row>
    <row r="4725" spans="18:20">
      <c r="R4725" s="24" t="str">
        <f t="shared" si="273"/>
        <v/>
      </c>
      <c r="S4725" s="24" t="str">
        <f t="shared" si="274"/>
        <v/>
      </c>
      <c r="T4725" t="str">
        <f t="shared" si="272"/>
        <v/>
      </c>
    </row>
    <row r="4726" spans="18:20">
      <c r="R4726" s="24" t="str">
        <f t="shared" si="273"/>
        <v/>
      </c>
      <c r="S4726" s="24" t="str">
        <f t="shared" si="274"/>
        <v/>
      </c>
      <c r="T4726" t="str">
        <f t="shared" si="272"/>
        <v/>
      </c>
    </row>
    <row r="4727" spans="18:20">
      <c r="R4727" s="24" t="str">
        <f t="shared" si="273"/>
        <v/>
      </c>
      <c r="S4727" s="24" t="str">
        <f t="shared" si="274"/>
        <v/>
      </c>
      <c r="T4727" t="str">
        <f t="shared" si="272"/>
        <v/>
      </c>
    </row>
    <row r="4728" spans="18:20">
      <c r="R4728" s="24" t="str">
        <f t="shared" si="273"/>
        <v/>
      </c>
      <c r="S4728" s="24" t="str">
        <f t="shared" si="274"/>
        <v/>
      </c>
      <c r="T4728" t="str">
        <f t="shared" si="272"/>
        <v/>
      </c>
    </row>
    <row r="4729" spans="18:20">
      <c r="R4729" s="24" t="str">
        <f t="shared" si="273"/>
        <v/>
      </c>
      <c r="S4729" s="24" t="str">
        <f t="shared" si="274"/>
        <v/>
      </c>
      <c r="T4729" t="str">
        <f t="shared" si="272"/>
        <v/>
      </c>
    </row>
    <row r="4730" spans="18:20">
      <c r="R4730" s="24" t="str">
        <f t="shared" si="273"/>
        <v/>
      </c>
      <c r="S4730" s="24" t="str">
        <f t="shared" si="274"/>
        <v/>
      </c>
      <c r="T4730" t="str">
        <f t="shared" si="272"/>
        <v/>
      </c>
    </row>
    <row r="4731" spans="18:20">
      <c r="R4731" s="24" t="str">
        <f t="shared" si="273"/>
        <v/>
      </c>
      <c r="S4731" s="24" t="str">
        <f t="shared" si="274"/>
        <v/>
      </c>
      <c r="T4731" t="str">
        <f t="shared" si="272"/>
        <v/>
      </c>
    </row>
    <row r="4732" spans="18:20">
      <c r="R4732" s="24" t="str">
        <f t="shared" si="273"/>
        <v/>
      </c>
      <c r="S4732" s="24" t="str">
        <f t="shared" si="274"/>
        <v/>
      </c>
      <c r="T4732" t="str">
        <f t="shared" si="272"/>
        <v/>
      </c>
    </row>
    <row r="4733" spans="18:20">
      <c r="R4733" s="24" t="str">
        <f t="shared" si="273"/>
        <v/>
      </c>
      <c r="S4733" s="24" t="str">
        <f t="shared" si="274"/>
        <v/>
      </c>
      <c r="T4733" t="str">
        <f t="shared" si="272"/>
        <v/>
      </c>
    </row>
    <row r="4734" spans="18:20">
      <c r="R4734" s="24" t="str">
        <f t="shared" si="273"/>
        <v/>
      </c>
      <c r="S4734" s="24" t="str">
        <f t="shared" si="274"/>
        <v/>
      </c>
      <c r="T4734" t="str">
        <f t="shared" si="272"/>
        <v/>
      </c>
    </row>
    <row r="4735" spans="18:20">
      <c r="R4735" s="24" t="str">
        <f t="shared" si="273"/>
        <v/>
      </c>
      <c r="S4735" s="24" t="str">
        <f t="shared" si="274"/>
        <v/>
      </c>
      <c r="T4735" t="str">
        <f t="shared" si="272"/>
        <v/>
      </c>
    </row>
    <row r="4736" spans="18:20">
      <c r="R4736" s="24" t="str">
        <f t="shared" si="273"/>
        <v/>
      </c>
      <c r="S4736" s="24" t="str">
        <f t="shared" si="274"/>
        <v/>
      </c>
      <c r="T4736" t="str">
        <f t="shared" si="272"/>
        <v/>
      </c>
    </row>
    <row r="4737" spans="18:20">
      <c r="R4737" s="24" t="str">
        <f t="shared" si="273"/>
        <v/>
      </c>
      <c r="S4737" s="24" t="str">
        <f t="shared" si="274"/>
        <v/>
      </c>
      <c r="T4737" t="str">
        <f t="shared" si="272"/>
        <v/>
      </c>
    </row>
    <row r="4738" spans="18:20">
      <c r="R4738" s="24" t="str">
        <f t="shared" si="273"/>
        <v/>
      </c>
      <c r="S4738" s="24" t="str">
        <f t="shared" si="274"/>
        <v/>
      </c>
      <c r="T4738" t="str">
        <f t="shared" si="272"/>
        <v/>
      </c>
    </row>
    <row r="4739" spans="18:20">
      <c r="R4739" s="24" t="str">
        <f t="shared" si="273"/>
        <v/>
      </c>
      <c r="S4739" s="24" t="str">
        <f t="shared" si="274"/>
        <v/>
      </c>
      <c r="T4739" t="str">
        <f t="shared" si="272"/>
        <v/>
      </c>
    </row>
    <row r="4740" spans="18:20">
      <c r="R4740" s="24" t="str">
        <f t="shared" si="273"/>
        <v/>
      </c>
      <c r="S4740" s="24" t="str">
        <f t="shared" si="274"/>
        <v/>
      </c>
      <c r="T4740" t="str">
        <f t="shared" si="272"/>
        <v/>
      </c>
    </row>
    <row r="4741" spans="18:20">
      <c r="R4741" s="24" t="str">
        <f t="shared" si="273"/>
        <v/>
      </c>
      <c r="S4741" s="24" t="str">
        <f t="shared" si="274"/>
        <v/>
      </c>
      <c r="T4741" t="str">
        <f t="shared" si="272"/>
        <v/>
      </c>
    </row>
    <row r="4742" spans="18:20">
      <c r="R4742" s="24" t="str">
        <f t="shared" si="273"/>
        <v/>
      </c>
      <c r="S4742" s="24" t="str">
        <f t="shared" si="274"/>
        <v/>
      </c>
      <c r="T4742" t="str">
        <f t="shared" si="272"/>
        <v/>
      </c>
    </row>
    <row r="4743" spans="18:20">
      <c r="R4743" s="24" t="str">
        <f t="shared" si="273"/>
        <v/>
      </c>
      <c r="S4743" s="24" t="str">
        <f t="shared" si="274"/>
        <v/>
      </c>
      <c r="T4743" t="str">
        <f t="shared" si="272"/>
        <v/>
      </c>
    </row>
    <row r="4744" spans="18:20">
      <c r="R4744" s="24" t="str">
        <f t="shared" si="273"/>
        <v/>
      </c>
      <c r="S4744" s="24" t="str">
        <f t="shared" si="274"/>
        <v/>
      </c>
      <c r="T4744" t="str">
        <f t="shared" si="272"/>
        <v/>
      </c>
    </row>
    <row r="4745" spans="18:20">
      <c r="R4745" s="24" t="str">
        <f t="shared" si="273"/>
        <v/>
      </c>
      <c r="S4745" s="24" t="str">
        <f t="shared" si="274"/>
        <v/>
      </c>
      <c r="T4745" t="str">
        <f t="shared" si="272"/>
        <v/>
      </c>
    </row>
    <row r="4746" spans="18:20">
      <c r="R4746" s="24" t="str">
        <f t="shared" si="273"/>
        <v/>
      </c>
      <c r="S4746" s="24" t="str">
        <f t="shared" si="274"/>
        <v/>
      </c>
      <c r="T4746" t="str">
        <f t="shared" si="272"/>
        <v/>
      </c>
    </row>
    <row r="4747" spans="18:20">
      <c r="R4747" s="24" t="str">
        <f t="shared" si="273"/>
        <v/>
      </c>
      <c r="S4747" s="24" t="str">
        <f t="shared" si="274"/>
        <v/>
      </c>
      <c r="T4747" t="str">
        <f t="shared" si="272"/>
        <v/>
      </c>
    </row>
    <row r="4748" spans="18:20">
      <c r="R4748" s="24" t="str">
        <f t="shared" si="273"/>
        <v/>
      </c>
      <c r="S4748" s="24" t="str">
        <f t="shared" si="274"/>
        <v/>
      </c>
      <c r="T4748" t="str">
        <f t="shared" si="272"/>
        <v/>
      </c>
    </row>
    <row r="4749" spans="18:20">
      <c r="R4749" s="24" t="str">
        <f t="shared" si="273"/>
        <v/>
      </c>
      <c r="S4749" s="24" t="str">
        <f t="shared" si="274"/>
        <v/>
      </c>
      <c r="T4749" t="str">
        <f t="shared" si="272"/>
        <v/>
      </c>
    </row>
    <row r="4750" spans="18:20">
      <c r="R4750" s="24" t="str">
        <f t="shared" si="273"/>
        <v/>
      </c>
      <c r="S4750" s="24" t="str">
        <f t="shared" si="274"/>
        <v/>
      </c>
      <c r="T4750" t="str">
        <f t="shared" si="272"/>
        <v/>
      </c>
    </row>
    <row r="4751" spans="18:20">
      <c r="R4751" s="24" t="str">
        <f t="shared" si="273"/>
        <v/>
      </c>
      <c r="S4751" s="24" t="str">
        <f t="shared" si="274"/>
        <v/>
      </c>
      <c r="T4751" t="str">
        <f t="shared" ref="T4751:T4814" si="275">IF(OR(C4751="",I4751&lt;&gt;"ENTRADA"),"",TEXT(B4751,"AAMMDD")&amp;"-"&amp;TEXT(VALUE(SUBSTITUTE(A4751,"MOV-","")),"000"))</f>
        <v/>
      </c>
    </row>
    <row r="4752" spans="18:20">
      <c r="R4752" s="24" t="str">
        <f t="shared" ref="R4752:R4815" si="276">IF(H4752="","",H4752&amp;I4752)</f>
        <v/>
      </c>
      <c r="S4752" s="24" t="str">
        <f t="shared" ref="S4752:S4815" si="277">IF(C4752="","",C4752&amp;I4752)</f>
        <v/>
      </c>
      <c r="T4752" t="str">
        <f t="shared" si="275"/>
        <v/>
      </c>
    </row>
    <row r="4753" spans="18:20">
      <c r="R4753" s="24" t="str">
        <f t="shared" si="276"/>
        <v/>
      </c>
      <c r="S4753" s="24" t="str">
        <f t="shared" si="277"/>
        <v/>
      </c>
      <c r="T4753" t="str">
        <f t="shared" si="275"/>
        <v/>
      </c>
    </row>
    <row r="4754" spans="18:20">
      <c r="R4754" s="24" t="str">
        <f t="shared" si="276"/>
        <v/>
      </c>
      <c r="S4754" s="24" t="str">
        <f t="shared" si="277"/>
        <v/>
      </c>
      <c r="T4754" t="str">
        <f t="shared" si="275"/>
        <v/>
      </c>
    </row>
    <row r="4755" spans="18:20">
      <c r="R4755" s="24" t="str">
        <f t="shared" si="276"/>
        <v/>
      </c>
      <c r="S4755" s="24" t="str">
        <f t="shared" si="277"/>
        <v/>
      </c>
      <c r="T4755" t="str">
        <f t="shared" si="275"/>
        <v/>
      </c>
    </row>
    <row r="4756" spans="18:20">
      <c r="R4756" s="24" t="str">
        <f t="shared" si="276"/>
        <v/>
      </c>
      <c r="S4756" s="24" t="str">
        <f t="shared" si="277"/>
        <v/>
      </c>
      <c r="T4756" t="str">
        <f t="shared" si="275"/>
        <v/>
      </c>
    </row>
    <row r="4757" spans="18:20">
      <c r="R4757" s="24" t="str">
        <f t="shared" si="276"/>
        <v/>
      </c>
      <c r="S4757" s="24" t="str">
        <f t="shared" si="277"/>
        <v/>
      </c>
      <c r="T4757" t="str">
        <f t="shared" si="275"/>
        <v/>
      </c>
    </row>
    <row r="4758" spans="18:20">
      <c r="R4758" s="24" t="str">
        <f t="shared" si="276"/>
        <v/>
      </c>
      <c r="S4758" s="24" t="str">
        <f t="shared" si="277"/>
        <v/>
      </c>
      <c r="T4758" t="str">
        <f t="shared" si="275"/>
        <v/>
      </c>
    </row>
    <row r="4759" spans="18:20">
      <c r="R4759" s="24" t="str">
        <f t="shared" si="276"/>
        <v/>
      </c>
      <c r="S4759" s="24" t="str">
        <f t="shared" si="277"/>
        <v/>
      </c>
      <c r="T4759" t="str">
        <f t="shared" si="275"/>
        <v/>
      </c>
    </row>
    <row r="4760" spans="18:20">
      <c r="R4760" s="24" t="str">
        <f t="shared" si="276"/>
        <v/>
      </c>
      <c r="S4760" s="24" t="str">
        <f t="shared" si="277"/>
        <v/>
      </c>
      <c r="T4760" t="str">
        <f t="shared" si="275"/>
        <v/>
      </c>
    </row>
    <row r="4761" spans="18:20">
      <c r="R4761" s="24" t="str">
        <f t="shared" si="276"/>
        <v/>
      </c>
      <c r="S4761" s="24" t="str">
        <f t="shared" si="277"/>
        <v/>
      </c>
      <c r="T4761" t="str">
        <f t="shared" si="275"/>
        <v/>
      </c>
    </row>
    <row r="4762" spans="18:20">
      <c r="R4762" s="24" t="str">
        <f t="shared" si="276"/>
        <v/>
      </c>
      <c r="S4762" s="24" t="str">
        <f t="shared" si="277"/>
        <v/>
      </c>
      <c r="T4762" t="str">
        <f t="shared" si="275"/>
        <v/>
      </c>
    </row>
    <row r="4763" spans="18:20">
      <c r="R4763" s="24" t="str">
        <f t="shared" si="276"/>
        <v/>
      </c>
      <c r="S4763" s="24" t="str">
        <f t="shared" si="277"/>
        <v/>
      </c>
      <c r="T4763" t="str">
        <f t="shared" si="275"/>
        <v/>
      </c>
    </row>
    <row r="4764" spans="18:20">
      <c r="R4764" s="24" t="str">
        <f t="shared" si="276"/>
        <v/>
      </c>
      <c r="S4764" s="24" t="str">
        <f t="shared" si="277"/>
        <v/>
      </c>
      <c r="T4764" t="str">
        <f t="shared" si="275"/>
        <v/>
      </c>
    </row>
    <row r="4765" spans="18:20">
      <c r="R4765" s="24" t="str">
        <f t="shared" si="276"/>
        <v/>
      </c>
      <c r="S4765" s="24" t="str">
        <f t="shared" si="277"/>
        <v/>
      </c>
      <c r="T4765" t="str">
        <f t="shared" si="275"/>
        <v/>
      </c>
    </row>
    <row r="4766" spans="18:20">
      <c r="R4766" s="24" t="str">
        <f t="shared" si="276"/>
        <v/>
      </c>
      <c r="S4766" s="24" t="str">
        <f t="shared" si="277"/>
        <v/>
      </c>
      <c r="T4766" t="str">
        <f t="shared" si="275"/>
        <v/>
      </c>
    </row>
    <row r="4767" spans="18:20">
      <c r="R4767" s="24" t="str">
        <f t="shared" si="276"/>
        <v/>
      </c>
      <c r="S4767" s="24" t="str">
        <f t="shared" si="277"/>
        <v/>
      </c>
      <c r="T4767" t="str">
        <f t="shared" si="275"/>
        <v/>
      </c>
    </row>
    <row r="4768" spans="18:20">
      <c r="R4768" s="24" t="str">
        <f t="shared" si="276"/>
        <v/>
      </c>
      <c r="S4768" s="24" t="str">
        <f t="shared" si="277"/>
        <v/>
      </c>
      <c r="T4768" t="str">
        <f t="shared" si="275"/>
        <v/>
      </c>
    </row>
    <row r="4769" spans="18:20">
      <c r="R4769" s="24" t="str">
        <f t="shared" si="276"/>
        <v/>
      </c>
      <c r="S4769" s="24" t="str">
        <f t="shared" si="277"/>
        <v/>
      </c>
      <c r="T4769" t="str">
        <f t="shared" si="275"/>
        <v/>
      </c>
    </row>
    <row r="4770" spans="18:20">
      <c r="R4770" s="24" t="str">
        <f t="shared" si="276"/>
        <v/>
      </c>
      <c r="S4770" s="24" t="str">
        <f t="shared" si="277"/>
        <v/>
      </c>
      <c r="T4770" t="str">
        <f t="shared" si="275"/>
        <v/>
      </c>
    </row>
    <row r="4771" spans="18:20">
      <c r="R4771" s="24" t="str">
        <f t="shared" si="276"/>
        <v/>
      </c>
      <c r="S4771" s="24" t="str">
        <f t="shared" si="277"/>
        <v/>
      </c>
      <c r="T4771" t="str">
        <f t="shared" si="275"/>
        <v/>
      </c>
    </row>
    <row r="4772" spans="18:20">
      <c r="R4772" s="24" t="str">
        <f t="shared" si="276"/>
        <v/>
      </c>
      <c r="S4772" s="24" t="str">
        <f t="shared" si="277"/>
        <v/>
      </c>
      <c r="T4772" t="str">
        <f t="shared" si="275"/>
        <v/>
      </c>
    </row>
    <row r="4773" spans="18:20">
      <c r="R4773" s="24" t="str">
        <f t="shared" si="276"/>
        <v/>
      </c>
      <c r="S4773" s="24" t="str">
        <f t="shared" si="277"/>
        <v/>
      </c>
      <c r="T4773" t="str">
        <f t="shared" si="275"/>
        <v/>
      </c>
    </row>
    <row r="4774" spans="18:20">
      <c r="R4774" s="24" t="str">
        <f t="shared" si="276"/>
        <v/>
      </c>
      <c r="S4774" s="24" t="str">
        <f t="shared" si="277"/>
        <v/>
      </c>
      <c r="T4774" t="str">
        <f t="shared" si="275"/>
        <v/>
      </c>
    </row>
    <row r="4775" spans="18:20">
      <c r="R4775" s="24" t="str">
        <f t="shared" si="276"/>
        <v/>
      </c>
      <c r="S4775" s="24" t="str">
        <f t="shared" si="277"/>
        <v/>
      </c>
      <c r="T4775" t="str">
        <f t="shared" si="275"/>
        <v/>
      </c>
    </row>
    <row r="4776" spans="18:20">
      <c r="R4776" s="24" t="str">
        <f t="shared" si="276"/>
        <v/>
      </c>
      <c r="S4776" s="24" t="str">
        <f t="shared" si="277"/>
        <v/>
      </c>
      <c r="T4776" t="str">
        <f t="shared" si="275"/>
        <v/>
      </c>
    </row>
    <row r="4777" spans="18:20">
      <c r="R4777" s="24" t="str">
        <f t="shared" si="276"/>
        <v/>
      </c>
      <c r="S4777" s="24" t="str">
        <f t="shared" si="277"/>
        <v/>
      </c>
      <c r="T4777" t="str">
        <f t="shared" si="275"/>
        <v/>
      </c>
    </row>
    <row r="4778" spans="18:20">
      <c r="R4778" s="24" t="str">
        <f t="shared" si="276"/>
        <v/>
      </c>
      <c r="S4778" s="24" t="str">
        <f t="shared" si="277"/>
        <v/>
      </c>
      <c r="T4778" t="str">
        <f t="shared" si="275"/>
        <v/>
      </c>
    </row>
    <row r="4779" spans="18:20">
      <c r="R4779" s="24" t="str">
        <f t="shared" si="276"/>
        <v/>
      </c>
      <c r="S4779" s="24" t="str">
        <f t="shared" si="277"/>
        <v/>
      </c>
      <c r="T4779" t="str">
        <f t="shared" si="275"/>
        <v/>
      </c>
    </row>
    <row r="4780" spans="18:20">
      <c r="R4780" s="24" t="str">
        <f t="shared" si="276"/>
        <v/>
      </c>
      <c r="S4780" s="24" t="str">
        <f t="shared" si="277"/>
        <v/>
      </c>
      <c r="T4780" t="str">
        <f t="shared" si="275"/>
        <v/>
      </c>
    </row>
    <row r="4781" spans="18:20">
      <c r="R4781" s="24" t="str">
        <f t="shared" si="276"/>
        <v/>
      </c>
      <c r="S4781" s="24" t="str">
        <f t="shared" si="277"/>
        <v/>
      </c>
      <c r="T4781" t="str">
        <f t="shared" si="275"/>
        <v/>
      </c>
    </row>
    <row r="4782" spans="18:20">
      <c r="R4782" s="24" t="str">
        <f t="shared" si="276"/>
        <v/>
      </c>
      <c r="S4782" s="24" t="str">
        <f t="shared" si="277"/>
        <v/>
      </c>
      <c r="T4782" t="str">
        <f t="shared" si="275"/>
        <v/>
      </c>
    </row>
    <row r="4783" spans="18:20">
      <c r="R4783" s="24" t="str">
        <f t="shared" si="276"/>
        <v/>
      </c>
      <c r="S4783" s="24" t="str">
        <f t="shared" si="277"/>
        <v/>
      </c>
      <c r="T4783" t="str">
        <f t="shared" si="275"/>
        <v/>
      </c>
    </row>
    <row r="4784" spans="18:20">
      <c r="R4784" s="24" t="str">
        <f t="shared" si="276"/>
        <v/>
      </c>
      <c r="S4784" s="24" t="str">
        <f t="shared" si="277"/>
        <v/>
      </c>
      <c r="T4784" t="str">
        <f t="shared" si="275"/>
        <v/>
      </c>
    </row>
    <row r="4785" spans="18:20">
      <c r="R4785" s="24" t="str">
        <f t="shared" si="276"/>
        <v/>
      </c>
      <c r="S4785" s="24" t="str">
        <f t="shared" si="277"/>
        <v/>
      </c>
      <c r="T4785" t="str">
        <f t="shared" si="275"/>
        <v/>
      </c>
    </row>
    <row r="4786" spans="18:20">
      <c r="R4786" s="24" t="str">
        <f t="shared" si="276"/>
        <v/>
      </c>
      <c r="S4786" s="24" t="str">
        <f t="shared" si="277"/>
        <v/>
      </c>
      <c r="T4786" t="str">
        <f t="shared" si="275"/>
        <v/>
      </c>
    </row>
    <row r="4787" spans="18:20">
      <c r="R4787" s="24" t="str">
        <f t="shared" si="276"/>
        <v/>
      </c>
      <c r="S4787" s="24" t="str">
        <f t="shared" si="277"/>
        <v/>
      </c>
      <c r="T4787" t="str">
        <f t="shared" si="275"/>
        <v/>
      </c>
    </row>
    <row r="4788" spans="18:20">
      <c r="R4788" s="24" t="str">
        <f t="shared" si="276"/>
        <v/>
      </c>
      <c r="S4788" s="24" t="str">
        <f t="shared" si="277"/>
        <v/>
      </c>
      <c r="T4788" t="str">
        <f t="shared" si="275"/>
        <v/>
      </c>
    </row>
    <row r="4789" spans="18:20">
      <c r="R4789" s="24" t="str">
        <f t="shared" si="276"/>
        <v/>
      </c>
      <c r="S4789" s="24" t="str">
        <f t="shared" si="277"/>
        <v/>
      </c>
      <c r="T4789" t="str">
        <f t="shared" si="275"/>
        <v/>
      </c>
    </row>
    <row r="4790" spans="18:20">
      <c r="R4790" s="24" t="str">
        <f t="shared" si="276"/>
        <v/>
      </c>
      <c r="S4790" s="24" t="str">
        <f t="shared" si="277"/>
        <v/>
      </c>
      <c r="T4790" t="str">
        <f t="shared" si="275"/>
        <v/>
      </c>
    </row>
    <row r="4791" spans="18:20">
      <c r="R4791" s="24" t="str">
        <f t="shared" si="276"/>
        <v/>
      </c>
      <c r="S4791" s="24" t="str">
        <f t="shared" si="277"/>
        <v/>
      </c>
      <c r="T4791" t="str">
        <f t="shared" si="275"/>
        <v/>
      </c>
    </row>
    <row r="4792" spans="18:20">
      <c r="R4792" s="24" t="str">
        <f t="shared" si="276"/>
        <v/>
      </c>
      <c r="S4792" s="24" t="str">
        <f t="shared" si="277"/>
        <v/>
      </c>
      <c r="T4792" t="str">
        <f t="shared" si="275"/>
        <v/>
      </c>
    </row>
    <row r="4793" spans="18:20">
      <c r="R4793" s="24" t="str">
        <f t="shared" si="276"/>
        <v/>
      </c>
      <c r="S4793" s="24" t="str">
        <f t="shared" si="277"/>
        <v/>
      </c>
      <c r="T4793" t="str">
        <f t="shared" si="275"/>
        <v/>
      </c>
    </row>
    <row r="4794" spans="18:20">
      <c r="R4794" s="24" t="str">
        <f t="shared" si="276"/>
        <v/>
      </c>
      <c r="S4794" s="24" t="str">
        <f t="shared" si="277"/>
        <v/>
      </c>
      <c r="T4794" t="str">
        <f t="shared" si="275"/>
        <v/>
      </c>
    </row>
    <row r="4795" spans="18:20">
      <c r="R4795" s="24" t="str">
        <f t="shared" si="276"/>
        <v/>
      </c>
      <c r="S4795" s="24" t="str">
        <f t="shared" si="277"/>
        <v/>
      </c>
      <c r="T4795" t="str">
        <f t="shared" si="275"/>
        <v/>
      </c>
    </row>
    <row r="4796" spans="18:20">
      <c r="R4796" s="24" t="str">
        <f t="shared" si="276"/>
        <v/>
      </c>
      <c r="S4796" s="24" t="str">
        <f t="shared" si="277"/>
        <v/>
      </c>
      <c r="T4796" t="str">
        <f t="shared" si="275"/>
        <v/>
      </c>
    </row>
    <row r="4797" spans="18:20">
      <c r="R4797" s="24" t="str">
        <f t="shared" si="276"/>
        <v/>
      </c>
      <c r="S4797" s="24" t="str">
        <f t="shared" si="277"/>
        <v/>
      </c>
      <c r="T4797" t="str">
        <f t="shared" si="275"/>
        <v/>
      </c>
    </row>
    <row r="4798" spans="18:20">
      <c r="R4798" s="24" t="str">
        <f t="shared" si="276"/>
        <v/>
      </c>
      <c r="S4798" s="24" t="str">
        <f t="shared" si="277"/>
        <v/>
      </c>
      <c r="T4798" t="str">
        <f t="shared" si="275"/>
        <v/>
      </c>
    </row>
    <row r="4799" spans="18:20">
      <c r="R4799" s="24" t="str">
        <f t="shared" si="276"/>
        <v/>
      </c>
      <c r="S4799" s="24" t="str">
        <f t="shared" si="277"/>
        <v/>
      </c>
      <c r="T4799" t="str">
        <f t="shared" si="275"/>
        <v/>
      </c>
    </row>
    <row r="4800" spans="18:20">
      <c r="R4800" s="24" t="str">
        <f t="shared" si="276"/>
        <v/>
      </c>
      <c r="S4800" s="24" t="str">
        <f t="shared" si="277"/>
        <v/>
      </c>
      <c r="T4800" t="str">
        <f t="shared" si="275"/>
        <v/>
      </c>
    </row>
    <row r="4801" spans="18:20">
      <c r="R4801" s="24" t="str">
        <f t="shared" si="276"/>
        <v/>
      </c>
      <c r="S4801" s="24" t="str">
        <f t="shared" si="277"/>
        <v/>
      </c>
      <c r="T4801" t="str">
        <f t="shared" si="275"/>
        <v/>
      </c>
    </row>
    <row r="4802" spans="18:20">
      <c r="R4802" s="24" t="str">
        <f t="shared" si="276"/>
        <v/>
      </c>
      <c r="S4802" s="24" t="str">
        <f t="shared" si="277"/>
        <v/>
      </c>
      <c r="T4802" t="str">
        <f t="shared" si="275"/>
        <v/>
      </c>
    </row>
    <row r="4803" spans="18:20">
      <c r="R4803" s="24" t="str">
        <f t="shared" si="276"/>
        <v/>
      </c>
      <c r="S4803" s="24" t="str">
        <f t="shared" si="277"/>
        <v/>
      </c>
      <c r="T4803" t="str">
        <f t="shared" si="275"/>
        <v/>
      </c>
    </row>
    <row r="4804" spans="18:20">
      <c r="R4804" s="24" t="str">
        <f t="shared" si="276"/>
        <v/>
      </c>
      <c r="S4804" s="24" t="str">
        <f t="shared" si="277"/>
        <v/>
      </c>
      <c r="T4804" t="str">
        <f t="shared" si="275"/>
        <v/>
      </c>
    </row>
    <row r="4805" spans="18:20">
      <c r="R4805" s="24" t="str">
        <f t="shared" si="276"/>
        <v/>
      </c>
      <c r="S4805" s="24" t="str">
        <f t="shared" si="277"/>
        <v/>
      </c>
      <c r="T4805" t="str">
        <f t="shared" si="275"/>
        <v/>
      </c>
    </row>
    <row r="4806" spans="18:20">
      <c r="R4806" s="24" t="str">
        <f t="shared" si="276"/>
        <v/>
      </c>
      <c r="S4806" s="24" t="str">
        <f t="shared" si="277"/>
        <v/>
      </c>
      <c r="T4806" t="str">
        <f t="shared" si="275"/>
        <v/>
      </c>
    </row>
    <row r="4807" spans="18:20">
      <c r="R4807" s="24" t="str">
        <f t="shared" si="276"/>
        <v/>
      </c>
      <c r="S4807" s="24" t="str">
        <f t="shared" si="277"/>
        <v/>
      </c>
      <c r="T4807" t="str">
        <f t="shared" si="275"/>
        <v/>
      </c>
    </row>
    <row r="4808" spans="18:20">
      <c r="R4808" s="24" t="str">
        <f t="shared" si="276"/>
        <v/>
      </c>
      <c r="S4808" s="24" t="str">
        <f t="shared" si="277"/>
        <v/>
      </c>
      <c r="T4808" t="str">
        <f t="shared" si="275"/>
        <v/>
      </c>
    </row>
    <row r="4809" spans="18:20">
      <c r="R4809" s="24" t="str">
        <f t="shared" si="276"/>
        <v/>
      </c>
      <c r="S4809" s="24" t="str">
        <f t="shared" si="277"/>
        <v/>
      </c>
      <c r="T4809" t="str">
        <f t="shared" si="275"/>
        <v/>
      </c>
    </row>
    <row r="4810" spans="18:20">
      <c r="R4810" s="24" t="str">
        <f t="shared" si="276"/>
        <v/>
      </c>
      <c r="S4810" s="24" t="str">
        <f t="shared" si="277"/>
        <v/>
      </c>
      <c r="T4810" t="str">
        <f t="shared" si="275"/>
        <v/>
      </c>
    </row>
    <row r="4811" spans="18:20">
      <c r="R4811" s="24" t="str">
        <f t="shared" si="276"/>
        <v/>
      </c>
      <c r="S4811" s="24" t="str">
        <f t="shared" si="277"/>
        <v/>
      </c>
      <c r="T4811" t="str">
        <f t="shared" si="275"/>
        <v/>
      </c>
    </row>
    <row r="4812" spans="18:20">
      <c r="R4812" s="24" t="str">
        <f t="shared" si="276"/>
        <v/>
      </c>
      <c r="S4812" s="24" t="str">
        <f t="shared" si="277"/>
        <v/>
      </c>
      <c r="T4812" t="str">
        <f t="shared" si="275"/>
        <v/>
      </c>
    </row>
    <row r="4813" spans="18:20">
      <c r="R4813" s="24" t="str">
        <f t="shared" si="276"/>
        <v/>
      </c>
      <c r="S4813" s="24" t="str">
        <f t="shared" si="277"/>
        <v/>
      </c>
      <c r="T4813" t="str">
        <f t="shared" si="275"/>
        <v/>
      </c>
    </row>
    <row r="4814" spans="18:20">
      <c r="R4814" s="24" t="str">
        <f t="shared" si="276"/>
        <v/>
      </c>
      <c r="S4814" s="24" t="str">
        <f t="shared" si="277"/>
        <v/>
      </c>
      <c r="T4814" t="str">
        <f t="shared" si="275"/>
        <v/>
      </c>
    </row>
    <row r="4815" spans="18:20">
      <c r="R4815" s="24" t="str">
        <f t="shared" si="276"/>
        <v/>
      </c>
      <c r="S4815" s="24" t="str">
        <f t="shared" si="277"/>
        <v/>
      </c>
      <c r="T4815" t="str">
        <f t="shared" ref="T4815:T4878" si="278">IF(OR(C4815="",I4815&lt;&gt;"ENTRADA"),"",TEXT(B4815,"AAMMDD")&amp;"-"&amp;TEXT(VALUE(SUBSTITUTE(A4815,"MOV-","")),"000"))</f>
        <v/>
      </c>
    </row>
    <row r="4816" spans="18:20">
      <c r="R4816" s="24" t="str">
        <f t="shared" ref="R4816:R4879" si="279">IF(H4816="","",H4816&amp;I4816)</f>
        <v/>
      </c>
      <c r="S4816" s="24" t="str">
        <f t="shared" ref="S4816:S4879" si="280">IF(C4816="","",C4816&amp;I4816)</f>
        <v/>
      </c>
      <c r="T4816" t="str">
        <f t="shared" si="278"/>
        <v/>
      </c>
    </row>
    <row r="4817" spans="18:20">
      <c r="R4817" s="24" t="str">
        <f t="shared" si="279"/>
        <v/>
      </c>
      <c r="S4817" s="24" t="str">
        <f t="shared" si="280"/>
        <v/>
      </c>
      <c r="T4817" t="str">
        <f t="shared" si="278"/>
        <v/>
      </c>
    </row>
    <row r="4818" spans="18:20">
      <c r="R4818" s="24" t="str">
        <f t="shared" si="279"/>
        <v/>
      </c>
      <c r="S4818" s="24" t="str">
        <f t="shared" si="280"/>
        <v/>
      </c>
      <c r="T4818" t="str">
        <f t="shared" si="278"/>
        <v/>
      </c>
    </row>
    <row r="4819" spans="18:20">
      <c r="R4819" s="24" t="str">
        <f t="shared" si="279"/>
        <v/>
      </c>
      <c r="S4819" s="24" t="str">
        <f t="shared" si="280"/>
        <v/>
      </c>
      <c r="T4819" t="str">
        <f t="shared" si="278"/>
        <v/>
      </c>
    </row>
    <row r="4820" spans="18:20">
      <c r="R4820" s="24" t="str">
        <f t="shared" si="279"/>
        <v/>
      </c>
      <c r="S4820" s="24" t="str">
        <f t="shared" si="280"/>
        <v/>
      </c>
      <c r="T4820" t="str">
        <f t="shared" si="278"/>
        <v/>
      </c>
    </row>
    <row r="4821" spans="18:20">
      <c r="R4821" s="24" t="str">
        <f t="shared" si="279"/>
        <v/>
      </c>
      <c r="S4821" s="24" t="str">
        <f t="shared" si="280"/>
        <v/>
      </c>
      <c r="T4821" t="str">
        <f t="shared" si="278"/>
        <v/>
      </c>
    </row>
    <row r="4822" spans="18:20">
      <c r="R4822" s="24" t="str">
        <f t="shared" si="279"/>
        <v/>
      </c>
      <c r="S4822" s="24" t="str">
        <f t="shared" si="280"/>
        <v/>
      </c>
      <c r="T4822" t="str">
        <f t="shared" si="278"/>
        <v/>
      </c>
    </row>
    <row r="4823" spans="18:20">
      <c r="R4823" s="24" t="str">
        <f t="shared" si="279"/>
        <v/>
      </c>
      <c r="S4823" s="24" t="str">
        <f t="shared" si="280"/>
        <v/>
      </c>
      <c r="T4823" t="str">
        <f t="shared" si="278"/>
        <v/>
      </c>
    </row>
    <row r="4824" spans="18:20">
      <c r="R4824" s="24" t="str">
        <f t="shared" si="279"/>
        <v/>
      </c>
      <c r="S4824" s="24" t="str">
        <f t="shared" si="280"/>
        <v/>
      </c>
      <c r="T4824" t="str">
        <f t="shared" si="278"/>
        <v/>
      </c>
    </row>
    <row r="4825" spans="18:20">
      <c r="R4825" s="24" t="str">
        <f t="shared" si="279"/>
        <v/>
      </c>
      <c r="S4825" s="24" t="str">
        <f t="shared" si="280"/>
        <v/>
      </c>
      <c r="T4825" t="str">
        <f t="shared" si="278"/>
        <v/>
      </c>
    </row>
    <row r="4826" spans="18:20">
      <c r="R4826" s="24" t="str">
        <f t="shared" si="279"/>
        <v/>
      </c>
      <c r="S4826" s="24" t="str">
        <f t="shared" si="280"/>
        <v/>
      </c>
      <c r="T4826" t="str">
        <f t="shared" si="278"/>
        <v/>
      </c>
    </row>
    <row r="4827" spans="18:20">
      <c r="R4827" s="24" t="str">
        <f t="shared" si="279"/>
        <v/>
      </c>
      <c r="S4827" s="24" t="str">
        <f t="shared" si="280"/>
        <v/>
      </c>
      <c r="T4827" t="str">
        <f t="shared" si="278"/>
        <v/>
      </c>
    </row>
    <row r="4828" spans="18:20">
      <c r="R4828" s="24" t="str">
        <f t="shared" si="279"/>
        <v/>
      </c>
      <c r="S4828" s="24" t="str">
        <f t="shared" si="280"/>
        <v/>
      </c>
      <c r="T4828" t="str">
        <f t="shared" si="278"/>
        <v/>
      </c>
    </row>
    <row r="4829" spans="18:20">
      <c r="R4829" s="24" t="str">
        <f t="shared" si="279"/>
        <v/>
      </c>
      <c r="S4829" s="24" t="str">
        <f t="shared" si="280"/>
        <v/>
      </c>
      <c r="T4829" t="str">
        <f t="shared" si="278"/>
        <v/>
      </c>
    </row>
    <row r="4830" spans="18:20">
      <c r="R4830" s="24" t="str">
        <f t="shared" si="279"/>
        <v/>
      </c>
      <c r="S4830" s="24" t="str">
        <f t="shared" si="280"/>
        <v/>
      </c>
      <c r="T4830" t="str">
        <f t="shared" si="278"/>
        <v/>
      </c>
    </row>
    <row r="4831" spans="18:20">
      <c r="R4831" s="24" t="str">
        <f t="shared" si="279"/>
        <v/>
      </c>
      <c r="S4831" s="24" t="str">
        <f t="shared" si="280"/>
        <v/>
      </c>
      <c r="T4831" t="str">
        <f t="shared" si="278"/>
        <v/>
      </c>
    </row>
    <row r="4832" spans="18:20">
      <c r="R4832" s="24" t="str">
        <f t="shared" si="279"/>
        <v/>
      </c>
      <c r="S4832" s="24" t="str">
        <f t="shared" si="280"/>
        <v/>
      </c>
      <c r="T4832" t="str">
        <f t="shared" si="278"/>
        <v/>
      </c>
    </row>
    <row r="4833" spans="18:20">
      <c r="R4833" s="24" t="str">
        <f t="shared" si="279"/>
        <v/>
      </c>
      <c r="S4833" s="24" t="str">
        <f t="shared" si="280"/>
        <v/>
      </c>
      <c r="T4833" t="str">
        <f t="shared" si="278"/>
        <v/>
      </c>
    </row>
    <row r="4834" spans="18:20">
      <c r="R4834" s="24" t="str">
        <f t="shared" si="279"/>
        <v/>
      </c>
      <c r="S4834" s="24" t="str">
        <f t="shared" si="280"/>
        <v/>
      </c>
      <c r="T4834" t="str">
        <f t="shared" si="278"/>
        <v/>
      </c>
    </row>
    <row r="4835" spans="18:20">
      <c r="R4835" s="24" t="str">
        <f t="shared" si="279"/>
        <v/>
      </c>
      <c r="S4835" s="24" t="str">
        <f t="shared" si="280"/>
        <v/>
      </c>
      <c r="T4835" t="str">
        <f t="shared" si="278"/>
        <v/>
      </c>
    </row>
    <row r="4836" spans="18:20">
      <c r="R4836" s="24" t="str">
        <f t="shared" si="279"/>
        <v/>
      </c>
      <c r="S4836" s="24" t="str">
        <f t="shared" si="280"/>
        <v/>
      </c>
      <c r="T4836" t="str">
        <f t="shared" si="278"/>
        <v/>
      </c>
    </row>
    <row r="4837" spans="18:20">
      <c r="R4837" s="24" t="str">
        <f t="shared" si="279"/>
        <v/>
      </c>
      <c r="S4837" s="24" t="str">
        <f t="shared" si="280"/>
        <v/>
      </c>
      <c r="T4837" t="str">
        <f t="shared" si="278"/>
        <v/>
      </c>
    </row>
    <row r="4838" spans="18:20">
      <c r="R4838" s="24" t="str">
        <f t="shared" si="279"/>
        <v/>
      </c>
      <c r="S4838" s="24" t="str">
        <f t="shared" si="280"/>
        <v/>
      </c>
      <c r="T4838" t="str">
        <f t="shared" si="278"/>
        <v/>
      </c>
    </row>
    <row r="4839" spans="18:20">
      <c r="R4839" s="24" t="str">
        <f t="shared" si="279"/>
        <v/>
      </c>
      <c r="S4839" s="24" t="str">
        <f t="shared" si="280"/>
        <v/>
      </c>
      <c r="T4839" t="str">
        <f t="shared" si="278"/>
        <v/>
      </c>
    </row>
    <row r="4840" spans="18:20">
      <c r="R4840" s="24" t="str">
        <f t="shared" si="279"/>
        <v/>
      </c>
      <c r="S4840" s="24" t="str">
        <f t="shared" si="280"/>
        <v/>
      </c>
      <c r="T4840" t="str">
        <f t="shared" si="278"/>
        <v/>
      </c>
    </row>
    <row r="4841" spans="18:20">
      <c r="R4841" s="24" t="str">
        <f t="shared" si="279"/>
        <v/>
      </c>
      <c r="S4841" s="24" t="str">
        <f t="shared" si="280"/>
        <v/>
      </c>
      <c r="T4841" t="str">
        <f t="shared" si="278"/>
        <v/>
      </c>
    </row>
    <row r="4842" spans="18:20">
      <c r="R4842" s="24" t="str">
        <f t="shared" si="279"/>
        <v/>
      </c>
      <c r="S4842" s="24" t="str">
        <f t="shared" si="280"/>
        <v/>
      </c>
      <c r="T4842" t="str">
        <f t="shared" si="278"/>
        <v/>
      </c>
    </row>
    <row r="4843" spans="18:20">
      <c r="R4843" s="24" t="str">
        <f t="shared" si="279"/>
        <v/>
      </c>
      <c r="S4843" s="24" t="str">
        <f t="shared" si="280"/>
        <v/>
      </c>
      <c r="T4843" t="str">
        <f t="shared" si="278"/>
        <v/>
      </c>
    </row>
    <row r="4844" spans="18:20">
      <c r="R4844" s="24" t="str">
        <f t="shared" si="279"/>
        <v/>
      </c>
      <c r="S4844" s="24" t="str">
        <f t="shared" si="280"/>
        <v/>
      </c>
      <c r="T4844" t="str">
        <f t="shared" si="278"/>
        <v/>
      </c>
    </row>
    <row r="4845" spans="18:20">
      <c r="R4845" s="24" t="str">
        <f t="shared" si="279"/>
        <v/>
      </c>
      <c r="S4845" s="24" t="str">
        <f t="shared" si="280"/>
        <v/>
      </c>
      <c r="T4845" t="str">
        <f t="shared" si="278"/>
        <v/>
      </c>
    </row>
    <row r="4846" spans="18:20">
      <c r="R4846" s="24" t="str">
        <f t="shared" si="279"/>
        <v/>
      </c>
      <c r="S4846" s="24" t="str">
        <f t="shared" si="280"/>
        <v/>
      </c>
      <c r="T4846" t="str">
        <f t="shared" si="278"/>
        <v/>
      </c>
    </row>
    <row r="4847" spans="18:20">
      <c r="R4847" s="24" t="str">
        <f t="shared" si="279"/>
        <v/>
      </c>
      <c r="S4847" s="24" t="str">
        <f t="shared" si="280"/>
        <v/>
      </c>
      <c r="T4847" t="str">
        <f t="shared" si="278"/>
        <v/>
      </c>
    </row>
    <row r="4848" spans="18:20">
      <c r="R4848" s="24" t="str">
        <f t="shared" si="279"/>
        <v/>
      </c>
      <c r="S4848" s="24" t="str">
        <f t="shared" si="280"/>
        <v/>
      </c>
      <c r="T4848" t="str">
        <f t="shared" si="278"/>
        <v/>
      </c>
    </row>
    <row r="4849" spans="18:20">
      <c r="R4849" s="24" t="str">
        <f t="shared" si="279"/>
        <v/>
      </c>
      <c r="S4849" s="24" t="str">
        <f t="shared" si="280"/>
        <v/>
      </c>
      <c r="T4849" t="str">
        <f t="shared" si="278"/>
        <v/>
      </c>
    </row>
    <row r="4850" spans="18:20">
      <c r="R4850" s="24" t="str">
        <f t="shared" si="279"/>
        <v/>
      </c>
      <c r="S4850" s="24" t="str">
        <f t="shared" si="280"/>
        <v/>
      </c>
      <c r="T4850" t="str">
        <f t="shared" si="278"/>
        <v/>
      </c>
    </row>
    <row r="4851" spans="18:20">
      <c r="R4851" s="24" t="str">
        <f t="shared" si="279"/>
        <v/>
      </c>
      <c r="S4851" s="24" t="str">
        <f t="shared" si="280"/>
        <v/>
      </c>
      <c r="T4851" t="str">
        <f t="shared" si="278"/>
        <v/>
      </c>
    </row>
    <row r="4852" spans="18:20">
      <c r="R4852" s="24" t="str">
        <f t="shared" si="279"/>
        <v/>
      </c>
      <c r="S4852" s="24" t="str">
        <f t="shared" si="280"/>
        <v/>
      </c>
      <c r="T4852" t="str">
        <f t="shared" si="278"/>
        <v/>
      </c>
    </row>
    <row r="4853" spans="18:20">
      <c r="R4853" s="24" t="str">
        <f t="shared" si="279"/>
        <v/>
      </c>
      <c r="S4853" s="24" t="str">
        <f t="shared" si="280"/>
        <v/>
      </c>
      <c r="T4853" t="str">
        <f t="shared" si="278"/>
        <v/>
      </c>
    </row>
    <row r="4854" spans="18:20">
      <c r="R4854" s="24" t="str">
        <f t="shared" si="279"/>
        <v/>
      </c>
      <c r="S4854" s="24" t="str">
        <f t="shared" si="280"/>
        <v/>
      </c>
      <c r="T4854" t="str">
        <f t="shared" si="278"/>
        <v/>
      </c>
    </row>
    <row r="4855" spans="18:20">
      <c r="R4855" s="24" t="str">
        <f t="shared" si="279"/>
        <v/>
      </c>
      <c r="S4855" s="24" t="str">
        <f t="shared" si="280"/>
        <v/>
      </c>
      <c r="T4855" t="str">
        <f t="shared" si="278"/>
        <v/>
      </c>
    </row>
    <row r="4856" spans="18:20">
      <c r="R4856" s="24" t="str">
        <f t="shared" si="279"/>
        <v/>
      </c>
      <c r="S4856" s="24" t="str">
        <f t="shared" si="280"/>
        <v/>
      </c>
      <c r="T4856" t="str">
        <f t="shared" si="278"/>
        <v/>
      </c>
    </row>
    <row r="4857" spans="18:20">
      <c r="R4857" s="24" t="str">
        <f t="shared" si="279"/>
        <v/>
      </c>
      <c r="S4857" s="24" t="str">
        <f t="shared" si="280"/>
        <v/>
      </c>
      <c r="T4857" t="str">
        <f t="shared" si="278"/>
        <v/>
      </c>
    </row>
    <row r="4858" spans="18:20">
      <c r="R4858" s="24" t="str">
        <f t="shared" si="279"/>
        <v/>
      </c>
      <c r="S4858" s="24" t="str">
        <f t="shared" si="280"/>
        <v/>
      </c>
      <c r="T4858" t="str">
        <f t="shared" si="278"/>
        <v/>
      </c>
    </row>
    <row r="4859" spans="18:20">
      <c r="R4859" s="24" t="str">
        <f t="shared" si="279"/>
        <v/>
      </c>
      <c r="S4859" s="24" t="str">
        <f t="shared" si="280"/>
        <v/>
      </c>
      <c r="T4859" t="str">
        <f t="shared" si="278"/>
        <v/>
      </c>
    </row>
    <row r="4860" spans="18:20">
      <c r="R4860" s="24" t="str">
        <f t="shared" si="279"/>
        <v/>
      </c>
      <c r="S4860" s="24" t="str">
        <f t="shared" si="280"/>
        <v/>
      </c>
      <c r="T4860" t="str">
        <f t="shared" si="278"/>
        <v/>
      </c>
    </row>
    <row r="4861" spans="18:20">
      <c r="R4861" s="24" t="str">
        <f t="shared" si="279"/>
        <v/>
      </c>
      <c r="S4861" s="24" t="str">
        <f t="shared" si="280"/>
        <v/>
      </c>
      <c r="T4861" t="str">
        <f t="shared" si="278"/>
        <v/>
      </c>
    </row>
    <row r="4862" spans="18:20">
      <c r="R4862" s="24" t="str">
        <f t="shared" si="279"/>
        <v/>
      </c>
      <c r="S4862" s="24" t="str">
        <f t="shared" si="280"/>
        <v/>
      </c>
      <c r="T4862" t="str">
        <f t="shared" si="278"/>
        <v/>
      </c>
    </row>
    <row r="4863" spans="18:20">
      <c r="R4863" s="24" t="str">
        <f t="shared" si="279"/>
        <v/>
      </c>
      <c r="S4863" s="24" t="str">
        <f t="shared" si="280"/>
        <v/>
      </c>
      <c r="T4863" t="str">
        <f t="shared" si="278"/>
        <v/>
      </c>
    </row>
    <row r="4864" spans="18:20">
      <c r="R4864" s="24" t="str">
        <f t="shared" si="279"/>
        <v/>
      </c>
      <c r="S4864" s="24" t="str">
        <f t="shared" si="280"/>
        <v/>
      </c>
      <c r="T4864" t="str">
        <f t="shared" si="278"/>
        <v/>
      </c>
    </row>
    <row r="4865" spans="18:20">
      <c r="R4865" s="24" t="str">
        <f t="shared" si="279"/>
        <v/>
      </c>
      <c r="S4865" s="24" t="str">
        <f t="shared" si="280"/>
        <v/>
      </c>
      <c r="T4865" t="str">
        <f t="shared" si="278"/>
        <v/>
      </c>
    </row>
    <row r="4866" spans="18:20">
      <c r="R4866" s="24" t="str">
        <f t="shared" si="279"/>
        <v/>
      </c>
      <c r="S4866" s="24" t="str">
        <f t="shared" si="280"/>
        <v/>
      </c>
      <c r="T4866" t="str">
        <f t="shared" si="278"/>
        <v/>
      </c>
    </row>
    <row r="4867" spans="18:20">
      <c r="R4867" s="24" t="str">
        <f t="shared" si="279"/>
        <v/>
      </c>
      <c r="S4867" s="24" t="str">
        <f t="shared" si="280"/>
        <v/>
      </c>
      <c r="T4867" t="str">
        <f t="shared" si="278"/>
        <v/>
      </c>
    </row>
    <row r="4868" spans="18:20">
      <c r="R4868" s="24" t="str">
        <f t="shared" si="279"/>
        <v/>
      </c>
      <c r="S4868" s="24" t="str">
        <f t="shared" si="280"/>
        <v/>
      </c>
      <c r="T4868" t="str">
        <f t="shared" si="278"/>
        <v/>
      </c>
    </row>
    <row r="4869" spans="18:20">
      <c r="R4869" s="24" t="str">
        <f t="shared" si="279"/>
        <v/>
      </c>
      <c r="S4869" s="24" t="str">
        <f t="shared" si="280"/>
        <v/>
      </c>
      <c r="T4869" t="str">
        <f t="shared" si="278"/>
        <v/>
      </c>
    </row>
    <row r="4870" spans="18:20">
      <c r="R4870" s="24" t="str">
        <f t="shared" si="279"/>
        <v/>
      </c>
      <c r="S4870" s="24" t="str">
        <f t="shared" si="280"/>
        <v/>
      </c>
      <c r="T4870" t="str">
        <f t="shared" si="278"/>
        <v/>
      </c>
    </row>
    <row r="4871" spans="18:20">
      <c r="R4871" s="24" t="str">
        <f t="shared" si="279"/>
        <v/>
      </c>
      <c r="S4871" s="24" t="str">
        <f t="shared" si="280"/>
        <v/>
      </c>
      <c r="T4871" t="str">
        <f t="shared" si="278"/>
        <v/>
      </c>
    </row>
    <row r="4872" spans="18:20">
      <c r="R4872" s="24" t="str">
        <f t="shared" si="279"/>
        <v/>
      </c>
      <c r="S4872" s="24" t="str">
        <f t="shared" si="280"/>
        <v/>
      </c>
      <c r="T4872" t="str">
        <f t="shared" si="278"/>
        <v/>
      </c>
    </row>
    <row r="4873" spans="18:20">
      <c r="R4873" s="24" t="str">
        <f t="shared" si="279"/>
        <v/>
      </c>
      <c r="S4873" s="24" t="str">
        <f t="shared" si="280"/>
        <v/>
      </c>
      <c r="T4873" t="str">
        <f t="shared" si="278"/>
        <v/>
      </c>
    </row>
    <row r="4874" spans="18:20">
      <c r="R4874" s="24" t="str">
        <f t="shared" si="279"/>
        <v/>
      </c>
      <c r="S4874" s="24" t="str">
        <f t="shared" si="280"/>
        <v/>
      </c>
      <c r="T4874" t="str">
        <f t="shared" si="278"/>
        <v/>
      </c>
    </row>
    <row r="4875" spans="18:20">
      <c r="R4875" s="24" t="str">
        <f t="shared" si="279"/>
        <v/>
      </c>
      <c r="S4875" s="24" t="str">
        <f t="shared" si="280"/>
        <v/>
      </c>
      <c r="T4875" t="str">
        <f t="shared" si="278"/>
        <v/>
      </c>
    </row>
    <row r="4876" spans="18:20">
      <c r="R4876" s="24" t="str">
        <f t="shared" si="279"/>
        <v/>
      </c>
      <c r="S4876" s="24" t="str">
        <f t="shared" si="280"/>
        <v/>
      </c>
      <c r="T4876" t="str">
        <f t="shared" si="278"/>
        <v/>
      </c>
    </row>
    <row r="4877" spans="18:20">
      <c r="R4877" s="24" t="str">
        <f t="shared" si="279"/>
        <v/>
      </c>
      <c r="S4877" s="24" t="str">
        <f t="shared" si="280"/>
        <v/>
      </c>
      <c r="T4877" t="str">
        <f t="shared" si="278"/>
        <v/>
      </c>
    </row>
    <row r="4878" spans="18:20">
      <c r="R4878" s="24" t="str">
        <f t="shared" si="279"/>
        <v/>
      </c>
      <c r="S4878" s="24" t="str">
        <f t="shared" si="280"/>
        <v/>
      </c>
      <c r="T4878" t="str">
        <f t="shared" si="278"/>
        <v/>
      </c>
    </row>
    <row r="4879" spans="18:20">
      <c r="R4879" s="24" t="str">
        <f t="shared" si="279"/>
        <v/>
      </c>
      <c r="S4879" s="24" t="str">
        <f t="shared" si="280"/>
        <v/>
      </c>
      <c r="T4879" t="str">
        <f t="shared" ref="T4879:T4942" si="281">IF(OR(C4879="",I4879&lt;&gt;"ENTRADA"),"",TEXT(B4879,"AAMMDD")&amp;"-"&amp;TEXT(VALUE(SUBSTITUTE(A4879,"MOV-","")),"000"))</f>
        <v/>
      </c>
    </row>
    <row r="4880" spans="18:20">
      <c r="R4880" s="24" t="str">
        <f t="shared" ref="R4880:R4943" si="282">IF(H4880="","",H4880&amp;I4880)</f>
        <v/>
      </c>
      <c r="S4880" s="24" t="str">
        <f t="shared" ref="S4880:S4943" si="283">IF(C4880="","",C4880&amp;I4880)</f>
        <v/>
      </c>
      <c r="T4880" t="str">
        <f t="shared" si="281"/>
        <v/>
      </c>
    </row>
    <row r="4881" spans="18:20">
      <c r="R4881" s="24" t="str">
        <f t="shared" si="282"/>
        <v/>
      </c>
      <c r="S4881" s="24" t="str">
        <f t="shared" si="283"/>
        <v/>
      </c>
      <c r="T4881" t="str">
        <f t="shared" si="281"/>
        <v/>
      </c>
    </row>
    <row r="4882" spans="18:20">
      <c r="R4882" s="24" t="str">
        <f t="shared" si="282"/>
        <v/>
      </c>
      <c r="S4882" s="24" t="str">
        <f t="shared" si="283"/>
        <v/>
      </c>
      <c r="T4882" t="str">
        <f t="shared" si="281"/>
        <v/>
      </c>
    </row>
    <row r="4883" spans="18:20">
      <c r="R4883" s="24" t="str">
        <f t="shared" si="282"/>
        <v/>
      </c>
      <c r="S4883" s="24" t="str">
        <f t="shared" si="283"/>
        <v/>
      </c>
      <c r="T4883" t="str">
        <f t="shared" si="281"/>
        <v/>
      </c>
    </row>
    <row r="4884" spans="18:20">
      <c r="R4884" s="24" t="str">
        <f t="shared" si="282"/>
        <v/>
      </c>
      <c r="S4884" s="24" t="str">
        <f t="shared" si="283"/>
        <v/>
      </c>
      <c r="T4884" t="str">
        <f t="shared" si="281"/>
        <v/>
      </c>
    </row>
    <row r="4885" spans="18:20">
      <c r="R4885" s="24" t="str">
        <f t="shared" si="282"/>
        <v/>
      </c>
      <c r="S4885" s="24" t="str">
        <f t="shared" si="283"/>
        <v/>
      </c>
      <c r="T4885" t="str">
        <f t="shared" si="281"/>
        <v/>
      </c>
    </row>
    <row r="4886" spans="18:20">
      <c r="R4886" s="24" t="str">
        <f t="shared" si="282"/>
        <v/>
      </c>
      <c r="S4886" s="24" t="str">
        <f t="shared" si="283"/>
        <v/>
      </c>
      <c r="T4886" t="str">
        <f t="shared" si="281"/>
        <v/>
      </c>
    </row>
    <row r="4887" spans="18:20">
      <c r="R4887" s="24" t="str">
        <f t="shared" si="282"/>
        <v/>
      </c>
      <c r="S4887" s="24" t="str">
        <f t="shared" si="283"/>
        <v/>
      </c>
      <c r="T4887" t="str">
        <f t="shared" si="281"/>
        <v/>
      </c>
    </row>
    <row r="4888" spans="18:20">
      <c r="R4888" s="24" t="str">
        <f t="shared" si="282"/>
        <v/>
      </c>
      <c r="S4888" s="24" t="str">
        <f t="shared" si="283"/>
        <v/>
      </c>
      <c r="T4888" t="str">
        <f t="shared" si="281"/>
        <v/>
      </c>
    </row>
    <row r="4889" spans="18:20">
      <c r="R4889" s="24" t="str">
        <f t="shared" si="282"/>
        <v/>
      </c>
      <c r="S4889" s="24" t="str">
        <f t="shared" si="283"/>
        <v/>
      </c>
      <c r="T4889" t="str">
        <f t="shared" si="281"/>
        <v/>
      </c>
    </row>
    <row r="4890" spans="18:20">
      <c r="R4890" s="24" t="str">
        <f t="shared" si="282"/>
        <v/>
      </c>
      <c r="S4890" s="24" t="str">
        <f t="shared" si="283"/>
        <v/>
      </c>
      <c r="T4890" t="str">
        <f t="shared" si="281"/>
        <v/>
      </c>
    </row>
    <row r="4891" spans="18:20">
      <c r="R4891" s="24" t="str">
        <f t="shared" si="282"/>
        <v/>
      </c>
      <c r="S4891" s="24" t="str">
        <f t="shared" si="283"/>
        <v/>
      </c>
      <c r="T4891" t="str">
        <f t="shared" si="281"/>
        <v/>
      </c>
    </row>
    <row r="4892" spans="18:20">
      <c r="R4892" s="24" t="str">
        <f t="shared" si="282"/>
        <v/>
      </c>
      <c r="S4892" s="24" t="str">
        <f t="shared" si="283"/>
        <v/>
      </c>
      <c r="T4892" t="str">
        <f t="shared" si="281"/>
        <v/>
      </c>
    </row>
    <row r="4893" spans="18:20">
      <c r="R4893" s="24" t="str">
        <f t="shared" si="282"/>
        <v/>
      </c>
      <c r="S4893" s="24" t="str">
        <f t="shared" si="283"/>
        <v/>
      </c>
      <c r="T4893" t="str">
        <f t="shared" si="281"/>
        <v/>
      </c>
    </row>
    <row r="4894" spans="18:20">
      <c r="R4894" s="24" t="str">
        <f t="shared" si="282"/>
        <v/>
      </c>
      <c r="S4894" s="24" t="str">
        <f t="shared" si="283"/>
        <v/>
      </c>
      <c r="T4894" t="str">
        <f t="shared" si="281"/>
        <v/>
      </c>
    </row>
    <row r="4895" spans="18:20">
      <c r="R4895" s="24" t="str">
        <f t="shared" si="282"/>
        <v/>
      </c>
      <c r="S4895" s="24" t="str">
        <f t="shared" si="283"/>
        <v/>
      </c>
      <c r="T4895" t="str">
        <f t="shared" si="281"/>
        <v/>
      </c>
    </row>
    <row r="4896" spans="18:20">
      <c r="R4896" s="24" t="str">
        <f t="shared" si="282"/>
        <v/>
      </c>
      <c r="S4896" s="24" t="str">
        <f t="shared" si="283"/>
        <v/>
      </c>
      <c r="T4896" t="str">
        <f t="shared" si="281"/>
        <v/>
      </c>
    </row>
    <row r="4897" spans="18:20">
      <c r="R4897" s="24" t="str">
        <f t="shared" si="282"/>
        <v/>
      </c>
      <c r="S4897" s="24" t="str">
        <f t="shared" si="283"/>
        <v/>
      </c>
      <c r="T4897" t="str">
        <f t="shared" si="281"/>
        <v/>
      </c>
    </row>
    <row r="4898" spans="18:20">
      <c r="R4898" s="24" t="str">
        <f t="shared" si="282"/>
        <v/>
      </c>
      <c r="S4898" s="24" t="str">
        <f t="shared" si="283"/>
        <v/>
      </c>
      <c r="T4898" t="str">
        <f t="shared" si="281"/>
        <v/>
      </c>
    </row>
    <row r="4899" spans="18:20">
      <c r="R4899" s="24" t="str">
        <f t="shared" si="282"/>
        <v/>
      </c>
      <c r="S4899" s="24" t="str">
        <f t="shared" si="283"/>
        <v/>
      </c>
      <c r="T4899" t="str">
        <f t="shared" si="281"/>
        <v/>
      </c>
    </row>
    <row r="4900" spans="18:20">
      <c r="R4900" s="24" t="str">
        <f t="shared" si="282"/>
        <v/>
      </c>
      <c r="S4900" s="24" t="str">
        <f t="shared" si="283"/>
        <v/>
      </c>
      <c r="T4900" t="str">
        <f t="shared" si="281"/>
        <v/>
      </c>
    </row>
    <row r="4901" spans="18:20">
      <c r="R4901" s="24" t="str">
        <f t="shared" si="282"/>
        <v/>
      </c>
      <c r="S4901" s="24" t="str">
        <f t="shared" si="283"/>
        <v/>
      </c>
      <c r="T4901" t="str">
        <f t="shared" si="281"/>
        <v/>
      </c>
    </row>
    <row r="4902" spans="18:20">
      <c r="R4902" s="24" t="str">
        <f t="shared" si="282"/>
        <v/>
      </c>
      <c r="S4902" s="24" t="str">
        <f t="shared" si="283"/>
        <v/>
      </c>
      <c r="T4902" t="str">
        <f t="shared" si="281"/>
        <v/>
      </c>
    </row>
    <row r="4903" spans="18:20">
      <c r="R4903" s="24" t="str">
        <f t="shared" si="282"/>
        <v/>
      </c>
      <c r="S4903" s="24" t="str">
        <f t="shared" si="283"/>
        <v/>
      </c>
      <c r="T4903" t="str">
        <f t="shared" si="281"/>
        <v/>
      </c>
    </row>
    <row r="4904" spans="18:20">
      <c r="R4904" s="24" t="str">
        <f t="shared" si="282"/>
        <v/>
      </c>
      <c r="S4904" s="24" t="str">
        <f t="shared" si="283"/>
        <v/>
      </c>
      <c r="T4904" t="str">
        <f t="shared" si="281"/>
        <v/>
      </c>
    </row>
    <row r="4905" spans="18:20">
      <c r="R4905" s="24" t="str">
        <f t="shared" si="282"/>
        <v/>
      </c>
      <c r="S4905" s="24" t="str">
        <f t="shared" si="283"/>
        <v/>
      </c>
      <c r="T4905" t="str">
        <f t="shared" si="281"/>
        <v/>
      </c>
    </row>
    <row r="4906" spans="18:20">
      <c r="R4906" s="24" t="str">
        <f t="shared" si="282"/>
        <v/>
      </c>
      <c r="S4906" s="24" t="str">
        <f t="shared" si="283"/>
        <v/>
      </c>
      <c r="T4906" t="str">
        <f t="shared" si="281"/>
        <v/>
      </c>
    </row>
    <row r="4907" spans="18:20">
      <c r="R4907" s="24" t="str">
        <f t="shared" si="282"/>
        <v/>
      </c>
      <c r="S4907" s="24" t="str">
        <f t="shared" si="283"/>
        <v/>
      </c>
      <c r="T4907" t="str">
        <f t="shared" si="281"/>
        <v/>
      </c>
    </row>
    <row r="4908" spans="18:20">
      <c r="R4908" s="24" t="str">
        <f t="shared" si="282"/>
        <v/>
      </c>
      <c r="S4908" s="24" t="str">
        <f t="shared" si="283"/>
        <v/>
      </c>
      <c r="T4908" t="str">
        <f t="shared" si="281"/>
        <v/>
      </c>
    </row>
    <row r="4909" spans="18:20">
      <c r="R4909" s="24" t="str">
        <f t="shared" si="282"/>
        <v/>
      </c>
      <c r="S4909" s="24" t="str">
        <f t="shared" si="283"/>
        <v/>
      </c>
      <c r="T4909" t="str">
        <f t="shared" si="281"/>
        <v/>
      </c>
    </row>
    <row r="4910" spans="18:20">
      <c r="R4910" s="24" t="str">
        <f t="shared" si="282"/>
        <v/>
      </c>
      <c r="S4910" s="24" t="str">
        <f t="shared" si="283"/>
        <v/>
      </c>
      <c r="T4910" t="str">
        <f t="shared" si="281"/>
        <v/>
      </c>
    </row>
    <row r="4911" spans="18:20">
      <c r="R4911" s="24" t="str">
        <f t="shared" si="282"/>
        <v/>
      </c>
      <c r="S4911" s="24" t="str">
        <f t="shared" si="283"/>
        <v/>
      </c>
      <c r="T4911" t="str">
        <f t="shared" si="281"/>
        <v/>
      </c>
    </row>
    <row r="4912" spans="18:20">
      <c r="R4912" s="24" t="str">
        <f t="shared" si="282"/>
        <v/>
      </c>
      <c r="S4912" s="24" t="str">
        <f t="shared" si="283"/>
        <v/>
      </c>
      <c r="T4912" t="str">
        <f t="shared" si="281"/>
        <v/>
      </c>
    </row>
    <row r="4913" spans="18:20">
      <c r="R4913" s="24" t="str">
        <f t="shared" si="282"/>
        <v/>
      </c>
      <c r="S4913" s="24" t="str">
        <f t="shared" si="283"/>
        <v/>
      </c>
      <c r="T4913" t="str">
        <f t="shared" si="281"/>
        <v/>
      </c>
    </row>
    <row r="4914" spans="18:20">
      <c r="R4914" s="24" t="str">
        <f t="shared" si="282"/>
        <v/>
      </c>
      <c r="S4914" s="24" t="str">
        <f t="shared" si="283"/>
        <v/>
      </c>
      <c r="T4914" t="str">
        <f t="shared" si="281"/>
        <v/>
      </c>
    </row>
    <row r="4915" spans="18:20">
      <c r="R4915" s="24" t="str">
        <f t="shared" si="282"/>
        <v/>
      </c>
      <c r="S4915" s="24" t="str">
        <f t="shared" si="283"/>
        <v/>
      </c>
      <c r="T4915" t="str">
        <f t="shared" si="281"/>
        <v/>
      </c>
    </row>
    <row r="4916" spans="18:20">
      <c r="R4916" s="24" t="str">
        <f t="shared" si="282"/>
        <v/>
      </c>
      <c r="S4916" s="24" t="str">
        <f t="shared" si="283"/>
        <v/>
      </c>
      <c r="T4916" t="str">
        <f t="shared" si="281"/>
        <v/>
      </c>
    </row>
    <row r="4917" spans="18:20">
      <c r="R4917" s="24" t="str">
        <f t="shared" si="282"/>
        <v/>
      </c>
      <c r="S4917" s="24" t="str">
        <f t="shared" si="283"/>
        <v/>
      </c>
      <c r="T4917" t="str">
        <f t="shared" si="281"/>
        <v/>
      </c>
    </row>
    <row r="4918" spans="18:20">
      <c r="R4918" s="24" t="str">
        <f t="shared" si="282"/>
        <v/>
      </c>
      <c r="S4918" s="24" t="str">
        <f t="shared" si="283"/>
        <v/>
      </c>
      <c r="T4918" t="str">
        <f t="shared" si="281"/>
        <v/>
      </c>
    </row>
    <row r="4919" spans="18:20">
      <c r="R4919" s="24" t="str">
        <f t="shared" si="282"/>
        <v/>
      </c>
      <c r="S4919" s="24" t="str">
        <f t="shared" si="283"/>
        <v/>
      </c>
      <c r="T4919" t="str">
        <f t="shared" si="281"/>
        <v/>
      </c>
    </row>
    <row r="4920" spans="18:20">
      <c r="R4920" s="24" t="str">
        <f t="shared" si="282"/>
        <v/>
      </c>
      <c r="S4920" s="24" t="str">
        <f t="shared" si="283"/>
        <v/>
      </c>
      <c r="T4920" t="str">
        <f t="shared" si="281"/>
        <v/>
      </c>
    </row>
    <row r="4921" spans="18:20">
      <c r="R4921" s="24" t="str">
        <f t="shared" si="282"/>
        <v/>
      </c>
      <c r="S4921" s="24" t="str">
        <f t="shared" si="283"/>
        <v/>
      </c>
      <c r="T4921" t="str">
        <f t="shared" si="281"/>
        <v/>
      </c>
    </row>
    <row r="4922" spans="18:20">
      <c r="R4922" s="24" t="str">
        <f t="shared" si="282"/>
        <v/>
      </c>
      <c r="S4922" s="24" t="str">
        <f t="shared" si="283"/>
        <v/>
      </c>
      <c r="T4922" t="str">
        <f t="shared" si="281"/>
        <v/>
      </c>
    </row>
    <row r="4923" spans="18:20">
      <c r="R4923" s="24" t="str">
        <f t="shared" si="282"/>
        <v/>
      </c>
      <c r="S4923" s="24" t="str">
        <f t="shared" si="283"/>
        <v/>
      </c>
      <c r="T4923" t="str">
        <f t="shared" si="281"/>
        <v/>
      </c>
    </row>
    <row r="4924" spans="18:20">
      <c r="R4924" s="24" t="str">
        <f t="shared" si="282"/>
        <v/>
      </c>
      <c r="S4924" s="24" t="str">
        <f t="shared" si="283"/>
        <v/>
      </c>
      <c r="T4924" t="str">
        <f t="shared" si="281"/>
        <v/>
      </c>
    </row>
    <row r="4925" spans="18:20">
      <c r="R4925" s="24" t="str">
        <f t="shared" si="282"/>
        <v/>
      </c>
      <c r="S4925" s="24" t="str">
        <f t="shared" si="283"/>
        <v/>
      </c>
      <c r="T4925" t="str">
        <f t="shared" si="281"/>
        <v/>
      </c>
    </row>
    <row r="4926" spans="18:20">
      <c r="R4926" s="24" t="str">
        <f t="shared" si="282"/>
        <v/>
      </c>
      <c r="S4926" s="24" t="str">
        <f t="shared" si="283"/>
        <v/>
      </c>
      <c r="T4926" t="str">
        <f t="shared" si="281"/>
        <v/>
      </c>
    </row>
    <row r="4927" spans="18:20">
      <c r="R4927" s="24" t="str">
        <f t="shared" si="282"/>
        <v/>
      </c>
      <c r="S4927" s="24" t="str">
        <f t="shared" si="283"/>
        <v/>
      </c>
      <c r="T4927" t="str">
        <f t="shared" si="281"/>
        <v/>
      </c>
    </row>
    <row r="4928" spans="18:20">
      <c r="R4928" s="24" t="str">
        <f t="shared" si="282"/>
        <v/>
      </c>
      <c r="S4928" s="24" t="str">
        <f t="shared" si="283"/>
        <v/>
      </c>
      <c r="T4928" t="str">
        <f t="shared" si="281"/>
        <v/>
      </c>
    </row>
    <row r="4929" spans="18:20">
      <c r="R4929" s="24" t="str">
        <f t="shared" si="282"/>
        <v/>
      </c>
      <c r="S4929" s="24" t="str">
        <f t="shared" si="283"/>
        <v/>
      </c>
      <c r="T4929" t="str">
        <f t="shared" si="281"/>
        <v/>
      </c>
    </row>
    <row r="4930" spans="18:20">
      <c r="R4930" s="24" t="str">
        <f t="shared" si="282"/>
        <v/>
      </c>
      <c r="S4930" s="24" t="str">
        <f t="shared" si="283"/>
        <v/>
      </c>
      <c r="T4930" t="str">
        <f t="shared" si="281"/>
        <v/>
      </c>
    </row>
    <row r="4931" spans="18:20">
      <c r="R4931" s="24" t="str">
        <f t="shared" si="282"/>
        <v/>
      </c>
      <c r="S4931" s="24" t="str">
        <f t="shared" si="283"/>
        <v/>
      </c>
      <c r="T4931" t="str">
        <f t="shared" si="281"/>
        <v/>
      </c>
    </row>
    <row r="4932" spans="18:20">
      <c r="R4932" s="24" t="str">
        <f t="shared" si="282"/>
        <v/>
      </c>
      <c r="S4932" s="24" t="str">
        <f t="shared" si="283"/>
        <v/>
      </c>
      <c r="T4932" t="str">
        <f t="shared" si="281"/>
        <v/>
      </c>
    </row>
    <row r="4933" spans="18:20">
      <c r="R4933" s="24" t="str">
        <f t="shared" si="282"/>
        <v/>
      </c>
      <c r="S4933" s="24" t="str">
        <f t="shared" si="283"/>
        <v/>
      </c>
      <c r="T4933" t="str">
        <f t="shared" si="281"/>
        <v/>
      </c>
    </row>
    <row r="4934" spans="18:20">
      <c r="R4934" s="24" t="str">
        <f t="shared" si="282"/>
        <v/>
      </c>
      <c r="S4934" s="24" t="str">
        <f t="shared" si="283"/>
        <v/>
      </c>
      <c r="T4934" t="str">
        <f t="shared" si="281"/>
        <v/>
      </c>
    </row>
    <row r="4935" spans="18:20">
      <c r="R4935" s="24" t="str">
        <f t="shared" si="282"/>
        <v/>
      </c>
      <c r="S4935" s="24" t="str">
        <f t="shared" si="283"/>
        <v/>
      </c>
      <c r="T4935" t="str">
        <f t="shared" si="281"/>
        <v/>
      </c>
    </row>
    <row r="4936" spans="18:20">
      <c r="R4936" s="24" t="str">
        <f t="shared" si="282"/>
        <v/>
      </c>
      <c r="S4936" s="24" t="str">
        <f t="shared" si="283"/>
        <v/>
      </c>
      <c r="T4936" t="str">
        <f t="shared" si="281"/>
        <v/>
      </c>
    </row>
    <row r="4937" spans="18:20">
      <c r="R4937" s="24" t="str">
        <f t="shared" si="282"/>
        <v/>
      </c>
      <c r="S4937" s="24" t="str">
        <f t="shared" si="283"/>
        <v/>
      </c>
      <c r="T4937" t="str">
        <f t="shared" si="281"/>
        <v/>
      </c>
    </row>
    <row r="4938" spans="18:20">
      <c r="R4938" s="24" t="str">
        <f t="shared" si="282"/>
        <v/>
      </c>
      <c r="S4938" s="24" t="str">
        <f t="shared" si="283"/>
        <v/>
      </c>
      <c r="T4938" t="str">
        <f t="shared" si="281"/>
        <v/>
      </c>
    </row>
    <row r="4939" spans="18:20">
      <c r="R4939" s="24" t="str">
        <f t="shared" si="282"/>
        <v/>
      </c>
      <c r="S4939" s="24" t="str">
        <f t="shared" si="283"/>
        <v/>
      </c>
      <c r="T4939" t="str">
        <f t="shared" si="281"/>
        <v/>
      </c>
    </row>
    <row r="4940" spans="18:20">
      <c r="R4940" s="24" t="str">
        <f t="shared" si="282"/>
        <v/>
      </c>
      <c r="S4940" s="24" t="str">
        <f t="shared" si="283"/>
        <v/>
      </c>
      <c r="T4940" t="str">
        <f t="shared" si="281"/>
        <v/>
      </c>
    </row>
    <row r="4941" spans="18:20">
      <c r="R4941" s="24" t="str">
        <f t="shared" si="282"/>
        <v/>
      </c>
      <c r="S4941" s="24" t="str">
        <f t="shared" si="283"/>
        <v/>
      </c>
      <c r="T4941" t="str">
        <f t="shared" si="281"/>
        <v/>
      </c>
    </row>
    <row r="4942" spans="18:20">
      <c r="R4942" s="24" t="str">
        <f t="shared" si="282"/>
        <v/>
      </c>
      <c r="S4942" s="24" t="str">
        <f t="shared" si="283"/>
        <v/>
      </c>
      <c r="T4942" t="str">
        <f t="shared" si="281"/>
        <v/>
      </c>
    </row>
    <row r="4943" spans="18:20">
      <c r="R4943" s="24" t="str">
        <f t="shared" si="282"/>
        <v/>
      </c>
      <c r="S4943" s="24" t="str">
        <f t="shared" si="283"/>
        <v/>
      </c>
      <c r="T4943" t="str">
        <f t="shared" ref="T4943:T5006" si="284">IF(OR(C4943="",I4943&lt;&gt;"ENTRADA"),"",TEXT(B4943,"AAMMDD")&amp;"-"&amp;TEXT(VALUE(SUBSTITUTE(A4943,"MOV-","")),"000"))</f>
        <v/>
      </c>
    </row>
    <row r="4944" spans="18:20">
      <c r="R4944" s="24" t="str">
        <f t="shared" ref="R4944:R5007" si="285">IF(H4944="","",H4944&amp;I4944)</f>
        <v/>
      </c>
      <c r="S4944" s="24" t="str">
        <f t="shared" ref="S4944:S5007" si="286">IF(C4944="","",C4944&amp;I4944)</f>
        <v/>
      </c>
      <c r="T4944" t="str">
        <f t="shared" si="284"/>
        <v/>
      </c>
    </row>
    <row r="4945" spans="18:20">
      <c r="R4945" s="24" t="str">
        <f t="shared" si="285"/>
        <v/>
      </c>
      <c r="S4945" s="24" t="str">
        <f t="shared" si="286"/>
        <v/>
      </c>
      <c r="T4945" t="str">
        <f t="shared" si="284"/>
        <v/>
      </c>
    </row>
    <row r="4946" spans="18:20">
      <c r="R4946" s="24" t="str">
        <f t="shared" si="285"/>
        <v/>
      </c>
      <c r="S4946" s="24" t="str">
        <f t="shared" si="286"/>
        <v/>
      </c>
      <c r="T4946" t="str">
        <f t="shared" si="284"/>
        <v/>
      </c>
    </row>
    <row r="4947" spans="18:20">
      <c r="R4947" s="24" t="str">
        <f t="shared" si="285"/>
        <v/>
      </c>
      <c r="S4947" s="24" t="str">
        <f t="shared" si="286"/>
        <v/>
      </c>
      <c r="T4947" t="str">
        <f t="shared" si="284"/>
        <v/>
      </c>
    </row>
    <row r="4948" spans="18:20">
      <c r="R4948" s="24" t="str">
        <f t="shared" si="285"/>
        <v/>
      </c>
      <c r="S4948" s="24" t="str">
        <f t="shared" si="286"/>
        <v/>
      </c>
      <c r="T4948" t="str">
        <f t="shared" si="284"/>
        <v/>
      </c>
    </row>
    <row r="4949" spans="18:20">
      <c r="R4949" s="24" t="str">
        <f t="shared" si="285"/>
        <v/>
      </c>
      <c r="S4949" s="24" t="str">
        <f t="shared" si="286"/>
        <v/>
      </c>
      <c r="T4949" t="str">
        <f t="shared" si="284"/>
        <v/>
      </c>
    </row>
    <row r="4950" spans="18:20">
      <c r="R4950" s="24" t="str">
        <f t="shared" si="285"/>
        <v/>
      </c>
      <c r="S4950" s="24" t="str">
        <f t="shared" si="286"/>
        <v/>
      </c>
      <c r="T4950" t="str">
        <f t="shared" si="284"/>
        <v/>
      </c>
    </row>
    <row r="4951" spans="18:20">
      <c r="R4951" s="24" t="str">
        <f t="shared" si="285"/>
        <v/>
      </c>
      <c r="S4951" s="24" t="str">
        <f t="shared" si="286"/>
        <v/>
      </c>
      <c r="T4951" t="str">
        <f t="shared" si="284"/>
        <v/>
      </c>
    </row>
    <row r="4952" spans="18:20">
      <c r="R4952" s="24" t="str">
        <f t="shared" si="285"/>
        <v/>
      </c>
      <c r="S4952" s="24" t="str">
        <f t="shared" si="286"/>
        <v/>
      </c>
      <c r="T4952" t="str">
        <f t="shared" si="284"/>
        <v/>
      </c>
    </row>
    <row r="4953" spans="18:20">
      <c r="R4953" s="24" t="str">
        <f t="shared" si="285"/>
        <v/>
      </c>
      <c r="S4953" s="24" t="str">
        <f t="shared" si="286"/>
        <v/>
      </c>
      <c r="T4953" t="str">
        <f t="shared" si="284"/>
        <v/>
      </c>
    </row>
    <row r="4954" spans="18:20">
      <c r="R4954" s="24" t="str">
        <f t="shared" si="285"/>
        <v/>
      </c>
      <c r="S4954" s="24" t="str">
        <f t="shared" si="286"/>
        <v/>
      </c>
      <c r="T4954" t="str">
        <f t="shared" si="284"/>
        <v/>
      </c>
    </row>
    <row r="4955" spans="18:20">
      <c r="R4955" s="24" t="str">
        <f t="shared" si="285"/>
        <v/>
      </c>
      <c r="S4955" s="24" t="str">
        <f t="shared" si="286"/>
        <v/>
      </c>
      <c r="T4955" t="str">
        <f t="shared" si="284"/>
        <v/>
      </c>
    </row>
    <row r="4956" spans="18:20">
      <c r="R4956" s="24" t="str">
        <f t="shared" si="285"/>
        <v/>
      </c>
      <c r="S4956" s="24" t="str">
        <f t="shared" si="286"/>
        <v/>
      </c>
      <c r="T4956" t="str">
        <f t="shared" si="284"/>
        <v/>
      </c>
    </row>
    <row r="4957" spans="18:20">
      <c r="R4957" s="24" t="str">
        <f t="shared" si="285"/>
        <v/>
      </c>
      <c r="S4957" s="24" t="str">
        <f t="shared" si="286"/>
        <v/>
      </c>
      <c r="T4957" t="str">
        <f t="shared" si="284"/>
        <v/>
      </c>
    </row>
    <row r="4958" spans="18:20">
      <c r="R4958" s="24" t="str">
        <f t="shared" si="285"/>
        <v/>
      </c>
      <c r="S4958" s="24" t="str">
        <f t="shared" si="286"/>
        <v/>
      </c>
      <c r="T4958" t="str">
        <f t="shared" si="284"/>
        <v/>
      </c>
    </row>
    <row r="4959" spans="18:20">
      <c r="R4959" s="24" t="str">
        <f t="shared" si="285"/>
        <v/>
      </c>
      <c r="S4959" s="24" t="str">
        <f t="shared" si="286"/>
        <v/>
      </c>
      <c r="T4959" t="str">
        <f t="shared" si="284"/>
        <v/>
      </c>
    </row>
    <row r="4960" spans="18:20">
      <c r="R4960" s="24" t="str">
        <f t="shared" si="285"/>
        <v/>
      </c>
      <c r="S4960" s="24" t="str">
        <f t="shared" si="286"/>
        <v/>
      </c>
      <c r="T4960" t="str">
        <f t="shared" si="284"/>
        <v/>
      </c>
    </row>
    <row r="4961" spans="18:20">
      <c r="R4961" s="24" t="str">
        <f t="shared" si="285"/>
        <v/>
      </c>
      <c r="S4961" s="24" t="str">
        <f t="shared" si="286"/>
        <v/>
      </c>
      <c r="T4961" t="str">
        <f t="shared" si="284"/>
        <v/>
      </c>
    </row>
    <row r="4962" spans="18:20">
      <c r="R4962" s="24" t="str">
        <f t="shared" si="285"/>
        <v/>
      </c>
      <c r="S4962" s="24" t="str">
        <f t="shared" si="286"/>
        <v/>
      </c>
      <c r="T4962" t="str">
        <f t="shared" si="284"/>
        <v/>
      </c>
    </row>
    <row r="4963" spans="18:20">
      <c r="R4963" s="24" t="str">
        <f t="shared" si="285"/>
        <v/>
      </c>
      <c r="S4963" s="24" t="str">
        <f t="shared" si="286"/>
        <v/>
      </c>
      <c r="T4963" t="str">
        <f t="shared" si="284"/>
        <v/>
      </c>
    </row>
    <row r="4964" spans="18:20">
      <c r="R4964" s="24" t="str">
        <f t="shared" si="285"/>
        <v/>
      </c>
      <c r="S4964" s="24" t="str">
        <f t="shared" si="286"/>
        <v/>
      </c>
      <c r="T4964" t="str">
        <f t="shared" si="284"/>
        <v/>
      </c>
    </row>
    <row r="4965" spans="18:20">
      <c r="R4965" s="24" t="str">
        <f t="shared" si="285"/>
        <v/>
      </c>
      <c r="S4965" s="24" t="str">
        <f t="shared" si="286"/>
        <v/>
      </c>
      <c r="T4965" t="str">
        <f t="shared" si="284"/>
        <v/>
      </c>
    </row>
    <row r="4966" spans="18:20">
      <c r="R4966" s="24" t="str">
        <f t="shared" si="285"/>
        <v/>
      </c>
      <c r="S4966" s="24" t="str">
        <f t="shared" si="286"/>
        <v/>
      </c>
      <c r="T4966" t="str">
        <f t="shared" si="284"/>
        <v/>
      </c>
    </row>
    <row r="4967" spans="18:20">
      <c r="R4967" s="24" t="str">
        <f t="shared" si="285"/>
        <v/>
      </c>
      <c r="S4967" s="24" t="str">
        <f t="shared" si="286"/>
        <v/>
      </c>
      <c r="T4967" t="str">
        <f t="shared" si="284"/>
        <v/>
      </c>
    </row>
    <row r="4968" spans="18:20">
      <c r="R4968" s="24" t="str">
        <f t="shared" si="285"/>
        <v/>
      </c>
      <c r="S4968" s="24" t="str">
        <f t="shared" si="286"/>
        <v/>
      </c>
      <c r="T4968" t="str">
        <f t="shared" si="284"/>
        <v/>
      </c>
    </row>
    <row r="4969" spans="18:20">
      <c r="R4969" s="24" t="str">
        <f t="shared" si="285"/>
        <v/>
      </c>
      <c r="S4969" s="24" t="str">
        <f t="shared" si="286"/>
        <v/>
      </c>
      <c r="T4969" t="str">
        <f t="shared" si="284"/>
        <v/>
      </c>
    </row>
    <row r="4970" spans="18:20">
      <c r="R4970" s="24" t="str">
        <f t="shared" si="285"/>
        <v/>
      </c>
      <c r="S4970" s="24" t="str">
        <f t="shared" si="286"/>
        <v/>
      </c>
      <c r="T4970" t="str">
        <f t="shared" si="284"/>
        <v/>
      </c>
    </row>
    <row r="4971" spans="18:20">
      <c r="R4971" s="24" t="str">
        <f t="shared" si="285"/>
        <v/>
      </c>
      <c r="S4971" s="24" t="str">
        <f t="shared" si="286"/>
        <v/>
      </c>
      <c r="T4971" t="str">
        <f t="shared" si="284"/>
        <v/>
      </c>
    </row>
    <row r="4972" spans="18:20">
      <c r="R4972" s="24" t="str">
        <f t="shared" si="285"/>
        <v/>
      </c>
      <c r="S4972" s="24" t="str">
        <f t="shared" si="286"/>
        <v/>
      </c>
      <c r="T4972" t="str">
        <f t="shared" si="284"/>
        <v/>
      </c>
    </row>
    <row r="4973" spans="18:20">
      <c r="R4973" s="24" t="str">
        <f t="shared" si="285"/>
        <v/>
      </c>
      <c r="S4973" s="24" t="str">
        <f t="shared" si="286"/>
        <v/>
      </c>
      <c r="T4973" t="str">
        <f t="shared" si="284"/>
        <v/>
      </c>
    </row>
    <row r="4974" spans="18:20">
      <c r="R4974" s="24" t="str">
        <f t="shared" si="285"/>
        <v/>
      </c>
      <c r="S4974" s="24" t="str">
        <f t="shared" si="286"/>
        <v/>
      </c>
      <c r="T4974" t="str">
        <f t="shared" si="284"/>
        <v/>
      </c>
    </row>
    <row r="4975" spans="18:20">
      <c r="R4975" s="24" t="str">
        <f t="shared" si="285"/>
        <v/>
      </c>
      <c r="S4975" s="24" t="str">
        <f t="shared" si="286"/>
        <v/>
      </c>
      <c r="T4975" t="str">
        <f t="shared" si="284"/>
        <v/>
      </c>
    </row>
    <row r="4976" spans="18:20">
      <c r="R4976" s="24" t="str">
        <f t="shared" si="285"/>
        <v/>
      </c>
      <c r="S4976" s="24" t="str">
        <f t="shared" si="286"/>
        <v/>
      </c>
      <c r="T4976" t="str">
        <f t="shared" si="284"/>
        <v/>
      </c>
    </row>
    <row r="4977" spans="18:20">
      <c r="R4977" s="24" t="str">
        <f t="shared" si="285"/>
        <v/>
      </c>
      <c r="S4977" s="24" t="str">
        <f t="shared" si="286"/>
        <v/>
      </c>
      <c r="T4977" t="str">
        <f t="shared" si="284"/>
        <v/>
      </c>
    </row>
    <row r="4978" spans="18:20">
      <c r="R4978" s="24" t="str">
        <f t="shared" si="285"/>
        <v/>
      </c>
      <c r="S4978" s="24" t="str">
        <f t="shared" si="286"/>
        <v/>
      </c>
      <c r="T4978" t="str">
        <f t="shared" si="284"/>
        <v/>
      </c>
    </row>
    <row r="4979" spans="18:20">
      <c r="R4979" s="24" t="str">
        <f t="shared" si="285"/>
        <v/>
      </c>
      <c r="S4979" s="24" t="str">
        <f t="shared" si="286"/>
        <v/>
      </c>
      <c r="T4979" t="str">
        <f t="shared" si="284"/>
        <v/>
      </c>
    </row>
    <row r="4980" spans="18:20">
      <c r="R4980" s="24" t="str">
        <f t="shared" si="285"/>
        <v/>
      </c>
      <c r="S4980" s="24" t="str">
        <f t="shared" si="286"/>
        <v/>
      </c>
      <c r="T4980" t="str">
        <f t="shared" si="284"/>
        <v/>
      </c>
    </row>
    <row r="4981" spans="18:20">
      <c r="R4981" s="24" t="str">
        <f t="shared" si="285"/>
        <v/>
      </c>
      <c r="S4981" s="24" t="str">
        <f t="shared" si="286"/>
        <v/>
      </c>
      <c r="T4981" t="str">
        <f t="shared" si="284"/>
        <v/>
      </c>
    </row>
    <row r="4982" spans="18:20">
      <c r="R4982" s="24" t="str">
        <f t="shared" si="285"/>
        <v/>
      </c>
      <c r="S4982" s="24" t="str">
        <f t="shared" si="286"/>
        <v/>
      </c>
      <c r="T4982" t="str">
        <f t="shared" si="284"/>
        <v/>
      </c>
    </row>
    <row r="4983" spans="18:20">
      <c r="R4983" s="24" t="str">
        <f t="shared" si="285"/>
        <v/>
      </c>
      <c r="S4983" s="24" t="str">
        <f t="shared" si="286"/>
        <v/>
      </c>
      <c r="T4983" t="str">
        <f t="shared" si="284"/>
        <v/>
      </c>
    </row>
    <row r="4984" spans="18:20">
      <c r="R4984" s="24" t="str">
        <f t="shared" si="285"/>
        <v/>
      </c>
      <c r="S4984" s="24" t="str">
        <f t="shared" si="286"/>
        <v/>
      </c>
      <c r="T4984" t="str">
        <f t="shared" si="284"/>
        <v/>
      </c>
    </row>
    <row r="4985" spans="18:20">
      <c r="R4985" s="24" t="str">
        <f t="shared" si="285"/>
        <v/>
      </c>
      <c r="S4985" s="24" t="str">
        <f t="shared" si="286"/>
        <v/>
      </c>
      <c r="T4985" t="str">
        <f t="shared" si="284"/>
        <v/>
      </c>
    </row>
    <row r="4986" spans="18:20">
      <c r="R4986" s="24" t="str">
        <f t="shared" si="285"/>
        <v/>
      </c>
      <c r="S4986" s="24" t="str">
        <f t="shared" si="286"/>
        <v/>
      </c>
      <c r="T4986" t="str">
        <f t="shared" si="284"/>
        <v/>
      </c>
    </row>
    <row r="4987" spans="18:20">
      <c r="R4987" s="24" t="str">
        <f t="shared" si="285"/>
        <v/>
      </c>
      <c r="S4987" s="24" t="str">
        <f t="shared" si="286"/>
        <v/>
      </c>
      <c r="T4987" t="str">
        <f t="shared" si="284"/>
        <v/>
      </c>
    </row>
    <row r="4988" spans="18:20">
      <c r="R4988" s="24" t="str">
        <f t="shared" si="285"/>
        <v/>
      </c>
      <c r="S4988" s="24" t="str">
        <f t="shared" si="286"/>
        <v/>
      </c>
      <c r="T4988" t="str">
        <f t="shared" si="284"/>
        <v/>
      </c>
    </row>
    <row r="4989" spans="18:20">
      <c r="R4989" s="24" t="str">
        <f t="shared" si="285"/>
        <v/>
      </c>
      <c r="S4989" s="24" t="str">
        <f t="shared" si="286"/>
        <v/>
      </c>
      <c r="T4989" t="str">
        <f t="shared" si="284"/>
        <v/>
      </c>
    </row>
    <row r="4990" spans="18:20">
      <c r="R4990" s="24" t="str">
        <f t="shared" si="285"/>
        <v/>
      </c>
      <c r="S4990" s="24" t="str">
        <f t="shared" si="286"/>
        <v/>
      </c>
      <c r="T4990" t="str">
        <f t="shared" si="284"/>
        <v/>
      </c>
    </row>
    <row r="4991" spans="18:20">
      <c r="R4991" s="24" t="str">
        <f t="shared" si="285"/>
        <v/>
      </c>
      <c r="S4991" s="24" t="str">
        <f t="shared" si="286"/>
        <v/>
      </c>
      <c r="T4991" t="str">
        <f t="shared" si="284"/>
        <v/>
      </c>
    </row>
    <row r="4992" spans="18:20">
      <c r="R4992" s="24" t="str">
        <f t="shared" si="285"/>
        <v/>
      </c>
      <c r="S4992" s="24" t="str">
        <f t="shared" si="286"/>
        <v/>
      </c>
      <c r="T4992" t="str">
        <f t="shared" si="284"/>
        <v/>
      </c>
    </row>
    <row r="4993" spans="18:20">
      <c r="R4993" s="24" t="str">
        <f t="shared" si="285"/>
        <v/>
      </c>
      <c r="S4993" s="24" t="str">
        <f t="shared" si="286"/>
        <v/>
      </c>
      <c r="T4993" t="str">
        <f t="shared" si="284"/>
        <v/>
      </c>
    </row>
    <row r="4994" spans="18:20">
      <c r="R4994" s="24" t="str">
        <f t="shared" si="285"/>
        <v/>
      </c>
      <c r="S4994" s="24" t="str">
        <f t="shared" si="286"/>
        <v/>
      </c>
      <c r="T4994" t="str">
        <f t="shared" si="284"/>
        <v/>
      </c>
    </row>
    <row r="4995" spans="18:20">
      <c r="R4995" s="24" t="str">
        <f t="shared" si="285"/>
        <v/>
      </c>
      <c r="S4995" s="24" t="str">
        <f t="shared" si="286"/>
        <v/>
      </c>
      <c r="T4995" t="str">
        <f t="shared" si="284"/>
        <v/>
      </c>
    </row>
    <row r="4996" spans="18:20">
      <c r="R4996" s="24" t="str">
        <f t="shared" si="285"/>
        <v/>
      </c>
      <c r="S4996" s="24" t="str">
        <f t="shared" si="286"/>
        <v/>
      </c>
      <c r="T4996" t="str">
        <f t="shared" si="284"/>
        <v/>
      </c>
    </row>
    <row r="4997" spans="18:20">
      <c r="R4997" s="24" t="str">
        <f t="shared" si="285"/>
        <v/>
      </c>
      <c r="S4997" s="24" t="str">
        <f t="shared" si="286"/>
        <v/>
      </c>
      <c r="T4997" t="str">
        <f t="shared" si="284"/>
        <v/>
      </c>
    </row>
    <row r="4998" spans="18:20">
      <c r="R4998" s="24" t="str">
        <f t="shared" si="285"/>
        <v/>
      </c>
      <c r="S4998" s="24" t="str">
        <f t="shared" si="286"/>
        <v/>
      </c>
      <c r="T4998" t="str">
        <f t="shared" si="284"/>
        <v/>
      </c>
    </row>
    <row r="4999" spans="18:20">
      <c r="R4999" s="24" t="str">
        <f t="shared" si="285"/>
        <v/>
      </c>
      <c r="S4999" s="24" t="str">
        <f t="shared" si="286"/>
        <v/>
      </c>
      <c r="T4999" t="str">
        <f t="shared" si="284"/>
        <v/>
      </c>
    </row>
    <row r="5000" spans="18:20">
      <c r="R5000" s="24" t="str">
        <f t="shared" si="285"/>
        <v/>
      </c>
      <c r="S5000" s="24" t="str">
        <f t="shared" si="286"/>
        <v/>
      </c>
      <c r="T5000" t="str">
        <f t="shared" si="284"/>
        <v/>
      </c>
    </row>
    <row r="5001" spans="18:20">
      <c r="R5001" s="24" t="str">
        <f t="shared" si="285"/>
        <v/>
      </c>
      <c r="S5001" s="24" t="str">
        <f t="shared" si="286"/>
        <v/>
      </c>
      <c r="T5001" t="str">
        <f t="shared" si="284"/>
        <v/>
      </c>
    </row>
    <row r="5002" spans="18:20">
      <c r="R5002" s="24" t="str">
        <f t="shared" si="285"/>
        <v/>
      </c>
      <c r="S5002" s="24" t="str">
        <f t="shared" si="286"/>
        <v/>
      </c>
      <c r="T5002" t="str">
        <f t="shared" si="284"/>
        <v/>
      </c>
    </row>
    <row r="5003" spans="18:20">
      <c r="R5003" s="24" t="str">
        <f t="shared" si="285"/>
        <v/>
      </c>
      <c r="S5003" s="24" t="str">
        <f t="shared" si="286"/>
        <v/>
      </c>
      <c r="T5003" t="str">
        <f t="shared" si="284"/>
        <v/>
      </c>
    </row>
    <row r="5004" spans="18:20">
      <c r="R5004" s="24" t="str">
        <f t="shared" si="285"/>
        <v/>
      </c>
      <c r="S5004" s="24" t="str">
        <f t="shared" si="286"/>
        <v/>
      </c>
      <c r="T5004" t="str">
        <f t="shared" si="284"/>
        <v/>
      </c>
    </row>
    <row r="5005" spans="18:20">
      <c r="R5005" s="24" t="str">
        <f t="shared" si="285"/>
        <v/>
      </c>
      <c r="S5005" s="24" t="str">
        <f t="shared" si="286"/>
        <v/>
      </c>
      <c r="T5005" t="str">
        <f t="shared" si="284"/>
        <v/>
      </c>
    </row>
    <row r="5006" spans="18:20">
      <c r="R5006" s="24" t="str">
        <f t="shared" si="285"/>
        <v/>
      </c>
      <c r="S5006" s="24" t="str">
        <f t="shared" si="286"/>
        <v/>
      </c>
      <c r="T5006" t="str">
        <f t="shared" si="284"/>
        <v/>
      </c>
    </row>
    <row r="5007" spans="18:20">
      <c r="R5007" s="24" t="str">
        <f t="shared" si="285"/>
        <v/>
      </c>
      <c r="S5007" s="24" t="str">
        <f t="shared" si="286"/>
        <v/>
      </c>
      <c r="T5007" t="str">
        <f t="shared" ref="T5007:T5070" si="287">IF(OR(C5007="",I5007&lt;&gt;"ENTRADA"),"",TEXT(B5007,"AAMMDD")&amp;"-"&amp;TEXT(VALUE(SUBSTITUTE(A5007,"MOV-","")),"000"))</f>
        <v/>
      </c>
    </row>
    <row r="5008" spans="18:20">
      <c r="R5008" s="24" t="str">
        <f t="shared" ref="R5008:R5071" si="288">IF(H5008="","",H5008&amp;I5008)</f>
        <v/>
      </c>
      <c r="S5008" s="24" t="str">
        <f t="shared" ref="S5008:S5071" si="289">IF(C5008="","",C5008&amp;I5008)</f>
        <v/>
      </c>
      <c r="T5008" t="str">
        <f t="shared" si="287"/>
        <v/>
      </c>
    </row>
    <row r="5009" spans="18:20">
      <c r="R5009" s="24" t="str">
        <f t="shared" si="288"/>
        <v/>
      </c>
      <c r="S5009" s="24" t="str">
        <f t="shared" si="289"/>
        <v/>
      </c>
      <c r="T5009" t="str">
        <f t="shared" si="287"/>
        <v/>
      </c>
    </row>
    <row r="5010" spans="18:20">
      <c r="R5010" s="24" t="str">
        <f t="shared" si="288"/>
        <v/>
      </c>
      <c r="S5010" s="24" t="str">
        <f t="shared" si="289"/>
        <v/>
      </c>
      <c r="T5010" t="str">
        <f t="shared" si="287"/>
        <v/>
      </c>
    </row>
    <row r="5011" spans="18:20">
      <c r="R5011" s="24" t="str">
        <f t="shared" si="288"/>
        <v/>
      </c>
      <c r="S5011" s="24" t="str">
        <f t="shared" si="289"/>
        <v/>
      </c>
      <c r="T5011" t="str">
        <f t="shared" si="287"/>
        <v/>
      </c>
    </row>
    <row r="5012" spans="18:20">
      <c r="R5012" s="24" t="str">
        <f t="shared" si="288"/>
        <v/>
      </c>
      <c r="S5012" s="24" t="str">
        <f t="shared" si="289"/>
        <v/>
      </c>
      <c r="T5012" t="str">
        <f t="shared" si="287"/>
        <v/>
      </c>
    </row>
    <row r="5013" spans="18:20">
      <c r="R5013" s="24" t="str">
        <f t="shared" si="288"/>
        <v/>
      </c>
      <c r="S5013" s="24" t="str">
        <f t="shared" si="289"/>
        <v/>
      </c>
      <c r="T5013" t="str">
        <f t="shared" si="287"/>
        <v/>
      </c>
    </row>
    <row r="5014" spans="18:20">
      <c r="R5014" s="24" t="str">
        <f t="shared" si="288"/>
        <v/>
      </c>
      <c r="S5014" s="24" t="str">
        <f t="shared" si="289"/>
        <v/>
      </c>
      <c r="T5014" t="str">
        <f t="shared" si="287"/>
        <v/>
      </c>
    </row>
    <row r="5015" spans="18:20">
      <c r="R5015" s="24" t="str">
        <f t="shared" si="288"/>
        <v/>
      </c>
      <c r="S5015" s="24" t="str">
        <f t="shared" si="289"/>
        <v/>
      </c>
      <c r="T5015" t="str">
        <f t="shared" si="287"/>
        <v/>
      </c>
    </row>
    <row r="5016" spans="18:20">
      <c r="R5016" s="24" t="str">
        <f t="shared" si="288"/>
        <v/>
      </c>
      <c r="S5016" s="24" t="str">
        <f t="shared" si="289"/>
        <v/>
      </c>
      <c r="T5016" t="str">
        <f t="shared" si="287"/>
        <v/>
      </c>
    </row>
    <row r="5017" spans="18:20">
      <c r="R5017" s="24" t="str">
        <f t="shared" si="288"/>
        <v/>
      </c>
      <c r="S5017" s="24" t="str">
        <f t="shared" si="289"/>
        <v/>
      </c>
      <c r="T5017" t="str">
        <f t="shared" si="287"/>
        <v/>
      </c>
    </row>
    <row r="5018" spans="18:20">
      <c r="R5018" s="24" t="str">
        <f t="shared" si="288"/>
        <v/>
      </c>
      <c r="S5018" s="24" t="str">
        <f t="shared" si="289"/>
        <v/>
      </c>
      <c r="T5018" t="str">
        <f t="shared" si="287"/>
        <v/>
      </c>
    </row>
    <row r="5019" spans="18:20">
      <c r="R5019" s="24" t="str">
        <f t="shared" si="288"/>
        <v/>
      </c>
      <c r="S5019" s="24" t="str">
        <f t="shared" si="289"/>
        <v/>
      </c>
      <c r="T5019" t="str">
        <f t="shared" si="287"/>
        <v/>
      </c>
    </row>
    <row r="5020" spans="18:20">
      <c r="R5020" s="24" t="str">
        <f t="shared" si="288"/>
        <v/>
      </c>
      <c r="S5020" s="24" t="str">
        <f t="shared" si="289"/>
        <v/>
      </c>
      <c r="T5020" t="str">
        <f t="shared" si="287"/>
        <v/>
      </c>
    </row>
    <row r="5021" spans="18:20">
      <c r="R5021" s="24" t="str">
        <f t="shared" si="288"/>
        <v/>
      </c>
      <c r="S5021" s="24" t="str">
        <f t="shared" si="289"/>
        <v/>
      </c>
      <c r="T5021" t="str">
        <f t="shared" si="287"/>
        <v/>
      </c>
    </row>
    <row r="5022" spans="18:20">
      <c r="R5022" s="24" t="str">
        <f t="shared" si="288"/>
        <v/>
      </c>
      <c r="S5022" s="24" t="str">
        <f t="shared" si="289"/>
        <v/>
      </c>
      <c r="T5022" t="str">
        <f t="shared" si="287"/>
        <v/>
      </c>
    </row>
    <row r="5023" spans="18:20">
      <c r="R5023" s="24" t="str">
        <f t="shared" si="288"/>
        <v/>
      </c>
      <c r="S5023" s="24" t="str">
        <f t="shared" si="289"/>
        <v/>
      </c>
      <c r="T5023" t="str">
        <f t="shared" si="287"/>
        <v/>
      </c>
    </row>
    <row r="5024" spans="18:20">
      <c r="R5024" s="24" t="str">
        <f t="shared" si="288"/>
        <v/>
      </c>
      <c r="S5024" s="24" t="str">
        <f t="shared" si="289"/>
        <v/>
      </c>
      <c r="T5024" t="str">
        <f t="shared" si="287"/>
        <v/>
      </c>
    </row>
    <row r="5025" spans="18:20">
      <c r="R5025" s="24" t="str">
        <f t="shared" si="288"/>
        <v/>
      </c>
      <c r="S5025" s="24" t="str">
        <f t="shared" si="289"/>
        <v/>
      </c>
      <c r="T5025" t="str">
        <f t="shared" si="287"/>
        <v/>
      </c>
    </row>
    <row r="5026" spans="18:20">
      <c r="R5026" s="24" t="str">
        <f t="shared" si="288"/>
        <v/>
      </c>
      <c r="S5026" s="24" t="str">
        <f t="shared" si="289"/>
        <v/>
      </c>
      <c r="T5026" t="str">
        <f t="shared" si="287"/>
        <v/>
      </c>
    </row>
    <row r="5027" spans="18:20">
      <c r="R5027" s="24" t="str">
        <f t="shared" si="288"/>
        <v/>
      </c>
      <c r="S5027" s="24" t="str">
        <f t="shared" si="289"/>
        <v/>
      </c>
      <c r="T5027" t="str">
        <f t="shared" si="287"/>
        <v/>
      </c>
    </row>
    <row r="5028" spans="18:20">
      <c r="R5028" s="24" t="str">
        <f t="shared" si="288"/>
        <v/>
      </c>
      <c r="S5028" s="24" t="str">
        <f t="shared" si="289"/>
        <v/>
      </c>
      <c r="T5028" t="str">
        <f t="shared" si="287"/>
        <v/>
      </c>
    </row>
    <row r="5029" spans="18:20">
      <c r="R5029" s="24" t="str">
        <f t="shared" si="288"/>
        <v/>
      </c>
      <c r="S5029" s="24" t="str">
        <f t="shared" si="289"/>
        <v/>
      </c>
      <c r="T5029" t="str">
        <f t="shared" si="287"/>
        <v/>
      </c>
    </row>
    <row r="5030" spans="18:20">
      <c r="R5030" s="24" t="str">
        <f t="shared" si="288"/>
        <v/>
      </c>
      <c r="S5030" s="24" t="str">
        <f t="shared" si="289"/>
        <v/>
      </c>
      <c r="T5030" t="str">
        <f t="shared" si="287"/>
        <v/>
      </c>
    </row>
    <row r="5031" spans="18:20">
      <c r="R5031" s="24" t="str">
        <f t="shared" si="288"/>
        <v/>
      </c>
      <c r="S5031" s="24" t="str">
        <f t="shared" si="289"/>
        <v/>
      </c>
      <c r="T5031" t="str">
        <f t="shared" si="287"/>
        <v/>
      </c>
    </row>
    <row r="5032" spans="18:20">
      <c r="R5032" s="24" t="str">
        <f t="shared" si="288"/>
        <v/>
      </c>
      <c r="S5032" s="24" t="str">
        <f t="shared" si="289"/>
        <v/>
      </c>
      <c r="T5032" t="str">
        <f t="shared" si="287"/>
        <v/>
      </c>
    </row>
    <row r="5033" spans="18:20">
      <c r="R5033" s="24" t="str">
        <f t="shared" si="288"/>
        <v/>
      </c>
      <c r="S5033" s="24" t="str">
        <f t="shared" si="289"/>
        <v/>
      </c>
      <c r="T5033" t="str">
        <f t="shared" si="287"/>
        <v/>
      </c>
    </row>
    <row r="5034" spans="18:20">
      <c r="R5034" s="24" t="str">
        <f t="shared" si="288"/>
        <v/>
      </c>
      <c r="S5034" s="24" t="str">
        <f t="shared" si="289"/>
        <v/>
      </c>
      <c r="T5034" t="str">
        <f t="shared" si="287"/>
        <v/>
      </c>
    </row>
    <row r="5035" spans="18:20">
      <c r="R5035" s="24" t="str">
        <f t="shared" si="288"/>
        <v/>
      </c>
      <c r="S5035" s="24" t="str">
        <f t="shared" si="289"/>
        <v/>
      </c>
      <c r="T5035" t="str">
        <f t="shared" si="287"/>
        <v/>
      </c>
    </row>
    <row r="5036" spans="18:20">
      <c r="R5036" s="24" t="str">
        <f t="shared" si="288"/>
        <v/>
      </c>
      <c r="S5036" s="24" t="str">
        <f t="shared" si="289"/>
        <v/>
      </c>
      <c r="T5036" t="str">
        <f t="shared" si="287"/>
        <v/>
      </c>
    </row>
    <row r="5037" spans="18:20">
      <c r="R5037" s="24" t="str">
        <f t="shared" si="288"/>
        <v/>
      </c>
      <c r="S5037" s="24" t="str">
        <f t="shared" si="289"/>
        <v/>
      </c>
      <c r="T5037" t="str">
        <f t="shared" si="287"/>
        <v/>
      </c>
    </row>
    <row r="5038" spans="18:20">
      <c r="R5038" s="24" t="str">
        <f t="shared" si="288"/>
        <v/>
      </c>
      <c r="S5038" s="24" t="str">
        <f t="shared" si="289"/>
        <v/>
      </c>
      <c r="T5038" t="str">
        <f t="shared" si="287"/>
        <v/>
      </c>
    </row>
    <row r="5039" spans="18:20">
      <c r="R5039" s="24" t="str">
        <f t="shared" si="288"/>
        <v/>
      </c>
      <c r="S5039" s="24" t="str">
        <f t="shared" si="289"/>
        <v/>
      </c>
      <c r="T5039" t="str">
        <f t="shared" si="287"/>
        <v/>
      </c>
    </row>
    <row r="5040" spans="18:20">
      <c r="R5040" s="24" t="str">
        <f t="shared" si="288"/>
        <v/>
      </c>
      <c r="S5040" s="24" t="str">
        <f t="shared" si="289"/>
        <v/>
      </c>
      <c r="T5040" t="str">
        <f t="shared" si="287"/>
        <v/>
      </c>
    </row>
    <row r="5041" spans="18:20">
      <c r="R5041" s="24" t="str">
        <f t="shared" si="288"/>
        <v/>
      </c>
      <c r="S5041" s="24" t="str">
        <f t="shared" si="289"/>
        <v/>
      </c>
      <c r="T5041" t="str">
        <f t="shared" si="287"/>
        <v/>
      </c>
    </row>
    <row r="5042" spans="18:20">
      <c r="R5042" s="24" t="str">
        <f t="shared" si="288"/>
        <v/>
      </c>
      <c r="S5042" s="24" t="str">
        <f t="shared" si="289"/>
        <v/>
      </c>
      <c r="T5042" t="str">
        <f t="shared" si="287"/>
        <v/>
      </c>
    </row>
    <row r="5043" spans="18:20">
      <c r="R5043" s="24" t="str">
        <f t="shared" si="288"/>
        <v/>
      </c>
      <c r="S5043" s="24" t="str">
        <f t="shared" si="289"/>
        <v/>
      </c>
      <c r="T5043" t="str">
        <f t="shared" si="287"/>
        <v/>
      </c>
    </row>
    <row r="5044" spans="18:20">
      <c r="R5044" s="24" t="str">
        <f t="shared" si="288"/>
        <v/>
      </c>
      <c r="S5044" s="24" t="str">
        <f t="shared" si="289"/>
        <v/>
      </c>
      <c r="T5044" t="str">
        <f t="shared" si="287"/>
        <v/>
      </c>
    </row>
    <row r="5045" spans="18:20">
      <c r="R5045" s="24" t="str">
        <f t="shared" si="288"/>
        <v/>
      </c>
      <c r="S5045" s="24" t="str">
        <f t="shared" si="289"/>
        <v/>
      </c>
      <c r="T5045" t="str">
        <f t="shared" si="287"/>
        <v/>
      </c>
    </row>
    <row r="5046" spans="18:20">
      <c r="R5046" s="24" t="str">
        <f t="shared" si="288"/>
        <v/>
      </c>
      <c r="S5046" s="24" t="str">
        <f t="shared" si="289"/>
        <v/>
      </c>
      <c r="T5046" t="str">
        <f t="shared" si="287"/>
        <v/>
      </c>
    </row>
    <row r="5047" spans="18:20">
      <c r="R5047" s="24" t="str">
        <f t="shared" si="288"/>
        <v/>
      </c>
      <c r="S5047" s="24" t="str">
        <f t="shared" si="289"/>
        <v/>
      </c>
      <c r="T5047" t="str">
        <f t="shared" si="287"/>
        <v/>
      </c>
    </row>
    <row r="5048" spans="18:20">
      <c r="R5048" s="24" t="str">
        <f t="shared" si="288"/>
        <v/>
      </c>
      <c r="S5048" s="24" t="str">
        <f t="shared" si="289"/>
        <v/>
      </c>
      <c r="T5048" t="str">
        <f t="shared" si="287"/>
        <v/>
      </c>
    </row>
    <row r="5049" spans="18:20">
      <c r="R5049" s="24" t="str">
        <f t="shared" si="288"/>
        <v/>
      </c>
      <c r="S5049" s="24" t="str">
        <f t="shared" si="289"/>
        <v/>
      </c>
      <c r="T5049" t="str">
        <f t="shared" si="287"/>
        <v/>
      </c>
    </row>
    <row r="5050" spans="18:20">
      <c r="R5050" s="24" t="str">
        <f t="shared" si="288"/>
        <v/>
      </c>
      <c r="S5050" s="24" t="str">
        <f t="shared" si="289"/>
        <v/>
      </c>
      <c r="T5050" t="str">
        <f t="shared" si="287"/>
        <v/>
      </c>
    </row>
    <row r="5051" spans="18:20">
      <c r="R5051" s="24" t="str">
        <f t="shared" si="288"/>
        <v/>
      </c>
      <c r="S5051" s="24" t="str">
        <f t="shared" si="289"/>
        <v/>
      </c>
      <c r="T5051" t="str">
        <f t="shared" si="287"/>
        <v/>
      </c>
    </row>
    <row r="5052" spans="18:20">
      <c r="R5052" s="24" t="str">
        <f t="shared" si="288"/>
        <v/>
      </c>
      <c r="S5052" s="24" t="str">
        <f t="shared" si="289"/>
        <v/>
      </c>
      <c r="T5052" t="str">
        <f t="shared" si="287"/>
        <v/>
      </c>
    </row>
    <row r="5053" spans="18:20">
      <c r="R5053" s="24" t="str">
        <f t="shared" si="288"/>
        <v/>
      </c>
      <c r="S5053" s="24" t="str">
        <f t="shared" si="289"/>
        <v/>
      </c>
      <c r="T5053" t="str">
        <f t="shared" si="287"/>
        <v/>
      </c>
    </row>
    <row r="5054" spans="18:20">
      <c r="R5054" s="24" t="str">
        <f t="shared" si="288"/>
        <v/>
      </c>
      <c r="S5054" s="24" t="str">
        <f t="shared" si="289"/>
        <v/>
      </c>
      <c r="T5054" t="str">
        <f t="shared" si="287"/>
        <v/>
      </c>
    </row>
    <row r="5055" spans="18:20">
      <c r="R5055" s="24" t="str">
        <f t="shared" si="288"/>
        <v/>
      </c>
      <c r="S5055" s="24" t="str">
        <f t="shared" si="289"/>
        <v/>
      </c>
      <c r="T5055" t="str">
        <f t="shared" si="287"/>
        <v/>
      </c>
    </row>
    <row r="5056" spans="18:20">
      <c r="R5056" s="24" t="str">
        <f t="shared" si="288"/>
        <v/>
      </c>
      <c r="S5056" s="24" t="str">
        <f t="shared" si="289"/>
        <v/>
      </c>
      <c r="T5056" t="str">
        <f t="shared" si="287"/>
        <v/>
      </c>
    </row>
    <row r="5057" spans="18:20">
      <c r="R5057" s="24" t="str">
        <f t="shared" si="288"/>
        <v/>
      </c>
      <c r="S5057" s="24" t="str">
        <f t="shared" si="289"/>
        <v/>
      </c>
      <c r="T5057" t="str">
        <f t="shared" si="287"/>
        <v/>
      </c>
    </row>
    <row r="5058" spans="18:20">
      <c r="R5058" s="24" t="str">
        <f t="shared" si="288"/>
        <v/>
      </c>
      <c r="S5058" s="24" t="str">
        <f t="shared" si="289"/>
        <v/>
      </c>
      <c r="T5058" t="str">
        <f t="shared" si="287"/>
        <v/>
      </c>
    </row>
    <row r="5059" spans="18:20">
      <c r="R5059" s="24" t="str">
        <f t="shared" si="288"/>
        <v/>
      </c>
      <c r="S5059" s="24" t="str">
        <f t="shared" si="289"/>
        <v/>
      </c>
      <c r="T5059" t="str">
        <f t="shared" si="287"/>
        <v/>
      </c>
    </row>
    <row r="5060" spans="18:20">
      <c r="R5060" s="24" t="str">
        <f t="shared" si="288"/>
        <v/>
      </c>
      <c r="S5060" s="24" t="str">
        <f t="shared" si="289"/>
        <v/>
      </c>
      <c r="T5060" t="str">
        <f t="shared" si="287"/>
        <v/>
      </c>
    </row>
    <row r="5061" spans="18:20">
      <c r="R5061" s="24" t="str">
        <f t="shared" si="288"/>
        <v/>
      </c>
      <c r="S5061" s="24" t="str">
        <f t="shared" si="289"/>
        <v/>
      </c>
      <c r="T5061" t="str">
        <f t="shared" si="287"/>
        <v/>
      </c>
    </row>
    <row r="5062" spans="18:20">
      <c r="R5062" s="24" t="str">
        <f t="shared" si="288"/>
        <v/>
      </c>
      <c r="S5062" s="24" t="str">
        <f t="shared" si="289"/>
        <v/>
      </c>
      <c r="T5062" t="str">
        <f t="shared" si="287"/>
        <v/>
      </c>
    </row>
    <row r="5063" spans="18:20">
      <c r="R5063" s="24" t="str">
        <f t="shared" si="288"/>
        <v/>
      </c>
      <c r="S5063" s="24" t="str">
        <f t="shared" si="289"/>
        <v/>
      </c>
      <c r="T5063" t="str">
        <f t="shared" si="287"/>
        <v/>
      </c>
    </row>
    <row r="5064" spans="18:20">
      <c r="R5064" s="24" t="str">
        <f t="shared" si="288"/>
        <v/>
      </c>
      <c r="S5064" s="24" t="str">
        <f t="shared" si="289"/>
        <v/>
      </c>
      <c r="T5064" t="str">
        <f t="shared" si="287"/>
        <v/>
      </c>
    </row>
    <row r="5065" spans="18:20">
      <c r="R5065" s="24" t="str">
        <f t="shared" si="288"/>
        <v/>
      </c>
      <c r="S5065" s="24" t="str">
        <f t="shared" si="289"/>
        <v/>
      </c>
      <c r="T5065" t="str">
        <f t="shared" si="287"/>
        <v/>
      </c>
    </row>
    <row r="5066" spans="18:20">
      <c r="R5066" s="24" t="str">
        <f t="shared" si="288"/>
        <v/>
      </c>
      <c r="S5066" s="24" t="str">
        <f t="shared" si="289"/>
        <v/>
      </c>
      <c r="T5066" t="str">
        <f t="shared" si="287"/>
        <v/>
      </c>
    </row>
    <row r="5067" spans="18:20">
      <c r="R5067" s="24" t="str">
        <f t="shared" si="288"/>
        <v/>
      </c>
      <c r="S5067" s="24" t="str">
        <f t="shared" si="289"/>
        <v/>
      </c>
      <c r="T5067" t="str">
        <f t="shared" si="287"/>
        <v/>
      </c>
    </row>
    <row r="5068" spans="18:20">
      <c r="R5068" s="24" t="str">
        <f t="shared" si="288"/>
        <v/>
      </c>
      <c r="S5068" s="24" t="str">
        <f t="shared" si="289"/>
        <v/>
      </c>
      <c r="T5068" t="str">
        <f t="shared" si="287"/>
        <v/>
      </c>
    </row>
    <row r="5069" spans="18:20">
      <c r="R5069" s="24" t="str">
        <f t="shared" si="288"/>
        <v/>
      </c>
      <c r="S5069" s="24" t="str">
        <f t="shared" si="289"/>
        <v/>
      </c>
      <c r="T5069" t="str">
        <f t="shared" si="287"/>
        <v/>
      </c>
    </row>
    <row r="5070" spans="18:20">
      <c r="R5070" s="24" t="str">
        <f t="shared" si="288"/>
        <v/>
      </c>
      <c r="S5070" s="24" t="str">
        <f t="shared" si="289"/>
        <v/>
      </c>
      <c r="T5070" t="str">
        <f t="shared" si="287"/>
        <v/>
      </c>
    </row>
    <row r="5071" spans="18:20">
      <c r="R5071" s="24" t="str">
        <f t="shared" si="288"/>
        <v/>
      </c>
      <c r="S5071" s="24" t="str">
        <f t="shared" si="289"/>
        <v/>
      </c>
      <c r="T5071" t="str">
        <f t="shared" ref="T5071:T5134" si="290">IF(OR(C5071="",I5071&lt;&gt;"ENTRADA"),"",TEXT(B5071,"AAMMDD")&amp;"-"&amp;TEXT(VALUE(SUBSTITUTE(A5071,"MOV-","")),"000"))</f>
        <v/>
      </c>
    </row>
    <row r="5072" spans="18:20">
      <c r="R5072" s="24" t="str">
        <f t="shared" ref="R5072:R5135" si="291">IF(H5072="","",H5072&amp;I5072)</f>
        <v/>
      </c>
      <c r="S5072" s="24" t="str">
        <f t="shared" ref="S5072:S5135" si="292">IF(C5072="","",C5072&amp;I5072)</f>
        <v/>
      </c>
      <c r="T5072" t="str">
        <f t="shared" si="290"/>
        <v/>
      </c>
    </row>
    <row r="5073" spans="18:20">
      <c r="R5073" s="24" t="str">
        <f t="shared" si="291"/>
        <v/>
      </c>
      <c r="S5073" s="24" t="str">
        <f t="shared" si="292"/>
        <v/>
      </c>
      <c r="T5073" t="str">
        <f t="shared" si="290"/>
        <v/>
      </c>
    </row>
    <row r="5074" spans="18:20">
      <c r="R5074" s="24" t="str">
        <f t="shared" si="291"/>
        <v/>
      </c>
      <c r="S5074" s="24" t="str">
        <f t="shared" si="292"/>
        <v/>
      </c>
      <c r="T5074" t="str">
        <f t="shared" si="290"/>
        <v/>
      </c>
    </row>
    <row r="5075" spans="18:20">
      <c r="R5075" s="24" t="str">
        <f t="shared" si="291"/>
        <v/>
      </c>
      <c r="S5075" s="24" t="str">
        <f t="shared" si="292"/>
        <v/>
      </c>
      <c r="T5075" t="str">
        <f t="shared" si="290"/>
        <v/>
      </c>
    </row>
    <row r="5076" spans="18:20">
      <c r="R5076" s="24" t="str">
        <f t="shared" si="291"/>
        <v/>
      </c>
      <c r="S5076" s="24" t="str">
        <f t="shared" si="292"/>
        <v/>
      </c>
      <c r="T5076" t="str">
        <f t="shared" si="290"/>
        <v/>
      </c>
    </row>
    <row r="5077" spans="18:20">
      <c r="R5077" s="24" t="str">
        <f t="shared" si="291"/>
        <v/>
      </c>
      <c r="S5077" s="24" t="str">
        <f t="shared" si="292"/>
        <v/>
      </c>
      <c r="T5077" t="str">
        <f t="shared" si="290"/>
        <v/>
      </c>
    </row>
    <row r="5078" spans="18:20">
      <c r="R5078" s="24" t="str">
        <f t="shared" si="291"/>
        <v/>
      </c>
      <c r="S5078" s="24" t="str">
        <f t="shared" si="292"/>
        <v/>
      </c>
      <c r="T5078" t="str">
        <f t="shared" si="290"/>
        <v/>
      </c>
    </row>
    <row r="5079" spans="18:20">
      <c r="R5079" s="24" t="str">
        <f t="shared" si="291"/>
        <v/>
      </c>
      <c r="S5079" s="24" t="str">
        <f t="shared" si="292"/>
        <v/>
      </c>
      <c r="T5079" t="str">
        <f t="shared" si="290"/>
        <v/>
      </c>
    </row>
    <row r="5080" spans="18:20">
      <c r="R5080" s="24" t="str">
        <f t="shared" si="291"/>
        <v/>
      </c>
      <c r="S5080" s="24" t="str">
        <f t="shared" si="292"/>
        <v/>
      </c>
      <c r="T5080" t="str">
        <f t="shared" si="290"/>
        <v/>
      </c>
    </row>
    <row r="5081" spans="18:20">
      <c r="R5081" s="24" t="str">
        <f t="shared" si="291"/>
        <v/>
      </c>
      <c r="S5081" s="24" t="str">
        <f t="shared" si="292"/>
        <v/>
      </c>
      <c r="T5081" t="str">
        <f t="shared" si="290"/>
        <v/>
      </c>
    </row>
    <row r="5082" spans="18:20">
      <c r="R5082" s="24" t="str">
        <f t="shared" si="291"/>
        <v/>
      </c>
      <c r="S5082" s="24" t="str">
        <f t="shared" si="292"/>
        <v/>
      </c>
      <c r="T5082" t="str">
        <f t="shared" si="290"/>
        <v/>
      </c>
    </row>
    <row r="5083" spans="18:20">
      <c r="R5083" s="24" t="str">
        <f t="shared" si="291"/>
        <v/>
      </c>
      <c r="S5083" s="24" t="str">
        <f t="shared" si="292"/>
        <v/>
      </c>
      <c r="T5083" t="str">
        <f t="shared" si="290"/>
        <v/>
      </c>
    </row>
    <row r="5084" spans="18:20">
      <c r="R5084" s="24" t="str">
        <f t="shared" si="291"/>
        <v/>
      </c>
      <c r="S5084" s="24" t="str">
        <f t="shared" si="292"/>
        <v/>
      </c>
      <c r="T5084" t="str">
        <f t="shared" si="290"/>
        <v/>
      </c>
    </row>
    <row r="5085" spans="18:20">
      <c r="R5085" s="24" t="str">
        <f t="shared" si="291"/>
        <v/>
      </c>
      <c r="S5085" s="24" t="str">
        <f t="shared" si="292"/>
        <v/>
      </c>
      <c r="T5085" t="str">
        <f t="shared" si="290"/>
        <v/>
      </c>
    </row>
    <row r="5086" spans="18:20">
      <c r="R5086" s="24" t="str">
        <f t="shared" si="291"/>
        <v/>
      </c>
      <c r="S5086" s="24" t="str">
        <f t="shared" si="292"/>
        <v/>
      </c>
      <c r="T5086" t="str">
        <f t="shared" si="290"/>
        <v/>
      </c>
    </row>
    <row r="5087" spans="18:20">
      <c r="R5087" s="24" t="str">
        <f t="shared" si="291"/>
        <v/>
      </c>
      <c r="S5087" s="24" t="str">
        <f t="shared" si="292"/>
        <v/>
      </c>
      <c r="T5087" t="str">
        <f t="shared" si="290"/>
        <v/>
      </c>
    </row>
    <row r="5088" spans="18:20">
      <c r="R5088" s="24" t="str">
        <f t="shared" si="291"/>
        <v/>
      </c>
      <c r="S5088" s="24" t="str">
        <f t="shared" si="292"/>
        <v/>
      </c>
      <c r="T5088" t="str">
        <f t="shared" si="290"/>
        <v/>
      </c>
    </row>
    <row r="5089" spans="18:20">
      <c r="R5089" s="24" t="str">
        <f t="shared" si="291"/>
        <v/>
      </c>
      <c r="S5089" s="24" t="str">
        <f t="shared" si="292"/>
        <v/>
      </c>
      <c r="T5089" t="str">
        <f t="shared" si="290"/>
        <v/>
      </c>
    </row>
    <row r="5090" spans="18:20">
      <c r="R5090" s="24" t="str">
        <f t="shared" si="291"/>
        <v/>
      </c>
      <c r="S5090" s="24" t="str">
        <f t="shared" si="292"/>
        <v/>
      </c>
      <c r="T5090" t="str">
        <f t="shared" si="290"/>
        <v/>
      </c>
    </row>
    <row r="5091" spans="18:20">
      <c r="R5091" s="24" t="str">
        <f t="shared" si="291"/>
        <v/>
      </c>
      <c r="S5091" s="24" t="str">
        <f t="shared" si="292"/>
        <v/>
      </c>
      <c r="T5091" t="str">
        <f t="shared" si="290"/>
        <v/>
      </c>
    </row>
    <row r="5092" spans="18:20">
      <c r="R5092" s="24" t="str">
        <f t="shared" si="291"/>
        <v/>
      </c>
      <c r="S5092" s="24" t="str">
        <f t="shared" si="292"/>
        <v/>
      </c>
      <c r="T5092" t="str">
        <f t="shared" si="290"/>
        <v/>
      </c>
    </row>
    <row r="5093" spans="18:20">
      <c r="R5093" s="24" t="str">
        <f t="shared" si="291"/>
        <v/>
      </c>
      <c r="S5093" s="24" t="str">
        <f t="shared" si="292"/>
        <v/>
      </c>
      <c r="T5093" t="str">
        <f t="shared" si="290"/>
        <v/>
      </c>
    </row>
    <row r="5094" spans="18:20">
      <c r="R5094" s="24" t="str">
        <f t="shared" si="291"/>
        <v/>
      </c>
      <c r="S5094" s="24" t="str">
        <f t="shared" si="292"/>
        <v/>
      </c>
      <c r="T5094" t="str">
        <f t="shared" si="290"/>
        <v/>
      </c>
    </row>
    <row r="5095" spans="18:20">
      <c r="R5095" s="24" t="str">
        <f t="shared" si="291"/>
        <v/>
      </c>
      <c r="S5095" s="24" t="str">
        <f t="shared" si="292"/>
        <v/>
      </c>
      <c r="T5095" t="str">
        <f t="shared" si="290"/>
        <v/>
      </c>
    </row>
    <row r="5096" spans="18:20">
      <c r="R5096" s="24" t="str">
        <f t="shared" si="291"/>
        <v/>
      </c>
      <c r="S5096" s="24" t="str">
        <f t="shared" si="292"/>
        <v/>
      </c>
      <c r="T5096" t="str">
        <f t="shared" si="290"/>
        <v/>
      </c>
    </row>
    <row r="5097" spans="18:20">
      <c r="R5097" s="24" t="str">
        <f t="shared" si="291"/>
        <v/>
      </c>
      <c r="S5097" s="24" t="str">
        <f t="shared" si="292"/>
        <v/>
      </c>
      <c r="T5097" t="str">
        <f t="shared" si="290"/>
        <v/>
      </c>
    </row>
    <row r="5098" spans="18:20">
      <c r="R5098" s="24" t="str">
        <f t="shared" si="291"/>
        <v/>
      </c>
      <c r="S5098" s="24" t="str">
        <f t="shared" si="292"/>
        <v/>
      </c>
      <c r="T5098" t="str">
        <f t="shared" si="290"/>
        <v/>
      </c>
    </row>
    <row r="5099" spans="18:20">
      <c r="R5099" s="24" t="str">
        <f t="shared" si="291"/>
        <v/>
      </c>
      <c r="S5099" s="24" t="str">
        <f t="shared" si="292"/>
        <v/>
      </c>
      <c r="T5099" t="str">
        <f t="shared" si="290"/>
        <v/>
      </c>
    </row>
    <row r="5100" spans="18:20">
      <c r="R5100" s="24" t="str">
        <f t="shared" si="291"/>
        <v/>
      </c>
      <c r="S5100" s="24" t="str">
        <f t="shared" si="292"/>
        <v/>
      </c>
      <c r="T5100" t="str">
        <f t="shared" si="290"/>
        <v/>
      </c>
    </row>
    <row r="5101" spans="18:20">
      <c r="R5101" s="24" t="str">
        <f t="shared" si="291"/>
        <v/>
      </c>
      <c r="S5101" s="24" t="str">
        <f t="shared" si="292"/>
        <v/>
      </c>
      <c r="T5101" t="str">
        <f t="shared" si="290"/>
        <v/>
      </c>
    </row>
    <row r="5102" spans="18:20">
      <c r="R5102" s="24" t="str">
        <f t="shared" si="291"/>
        <v/>
      </c>
      <c r="S5102" s="24" t="str">
        <f t="shared" si="292"/>
        <v/>
      </c>
      <c r="T5102" t="str">
        <f t="shared" si="290"/>
        <v/>
      </c>
    </row>
    <row r="5103" spans="18:20">
      <c r="R5103" s="24" t="str">
        <f t="shared" si="291"/>
        <v/>
      </c>
      <c r="S5103" s="24" t="str">
        <f t="shared" si="292"/>
        <v/>
      </c>
      <c r="T5103" t="str">
        <f t="shared" si="290"/>
        <v/>
      </c>
    </row>
    <row r="5104" spans="18:20">
      <c r="R5104" s="24" t="str">
        <f t="shared" si="291"/>
        <v/>
      </c>
      <c r="S5104" s="24" t="str">
        <f t="shared" si="292"/>
        <v/>
      </c>
      <c r="T5104" t="str">
        <f t="shared" si="290"/>
        <v/>
      </c>
    </row>
    <row r="5105" spans="18:20">
      <c r="R5105" s="24" t="str">
        <f t="shared" si="291"/>
        <v/>
      </c>
      <c r="S5105" s="24" t="str">
        <f t="shared" si="292"/>
        <v/>
      </c>
      <c r="T5105" t="str">
        <f t="shared" si="290"/>
        <v/>
      </c>
    </row>
    <row r="5106" spans="18:20">
      <c r="R5106" s="24" t="str">
        <f t="shared" si="291"/>
        <v/>
      </c>
      <c r="S5106" s="24" t="str">
        <f t="shared" si="292"/>
        <v/>
      </c>
      <c r="T5106" t="str">
        <f t="shared" si="290"/>
        <v/>
      </c>
    </row>
    <row r="5107" spans="18:20">
      <c r="R5107" s="24" t="str">
        <f t="shared" si="291"/>
        <v/>
      </c>
      <c r="S5107" s="24" t="str">
        <f t="shared" si="292"/>
        <v/>
      </c>
      <c r="T5107" t="str">
        <f t="shared" si="290"/>
        <v/>
      </c>
    </row>
    <row r="5108" spans="18:20">
      <c r="R5108" s="24" t="str">
        <f t="shared" si="291"/>
        <v/>
      </c>
      <c r="S5108" s="24" t="str">
        <f t="shared" si="292"/>
        <v/>
      </c>
      <c r="T5108" t="str">
        <f t="shared" si="290"/>
        <v/>
      </c>
    </row>
    <row r="5109" spans="18:20">
      <c r="R5109" s="24" t="str">
        <f t="shared" si="291"/>
        <v/>
      </c>
      <c r="S5109" s="24" t="str">
        <f t="shared" si="292"/>
        <v/>
      </c>
      <c r="T5109" t="str">
        <f t="shared" si="290"/>
        <v/>
      </c>
    </row>
    <row r="5110" spans="18:20">
      <c r="R5110" s="24" t="str">
        <f t="shared" si="291"/>
        <v/>
      </c>
      <c r="S5110" s="24" t="str">
        <f t="shared" si="292"/>
        <v/>
      </c>
      <c r="T5110" t="str">
        <f t="shared" si="290"/>
        <v/>
      </c>
    </row>
    <row r="5111" spans="18:20">
      <c r="R5111" s="24" t="str">
        <f t="shared" si="291"/>
        <v/>
      </c>
      <c r="S5111" s="24" t="str">
        <f t="shared" si="292"/>
        <v/>
      </c>
      <c r="T5111" t="str">
        <f t="shared" si="290"/>
        <v/>
      </c>
    </row>
    <row r="5112" spans="18:20">
      <c r="R5112" s="24" t="str">
        <f t="shared" si="291"/>
        <v/>
      </c>
      <c r="S5112" s="24" t="str">
        <f t="shared" si="292"/>
        <v/>
      </c>
      <c r="T5112" t="str">
        <f t="shared" si="290"/>
        <v/>
      </c>
    </row>
    <row r="5113" spans="18:20">
      <c r="R5113" s="24" t="str">
        <f t="shared" si="291"/>
        <v/>
      </c>
      <c r="S5113" s="24" t="str">
        <f t="shared" si="292"/>
        <v/>
      </c>
      <c r="T5113" t="str">
        <f t="shared" si="290"/>
        <v/>
      </c>
    </row>
    <row r="5114" spans="18:20">
      <c r="R5114" s="24" t="str">
        <f t="shared" si="291"/>
        <v/>
      </c>
      <c r="S5114" s="24" t="str">
        <f t="shared" si="292"/>
        <v/>
      </c>
      <c r="T5114" t="str">
        <f t="shared" si="290"/>
        <v/>
      </c>
    </row>
    <row r="5115" spans="18:20">
      <c r="R5115" s="24" t="str">
        <f t="shared" si="291"/>
        <v/>
      </c>
      <c r="S5115" s="24" t="str">
        <f t="shared" si="292"/>
        <v/>
      </c>
      <c r="T5115" t="str">
        <f t="shared" si="290"/>
        <v/>
      </c>
    </row>
    <row r="5116" spans="18:20">
      <c r="R5116" s="24" t="str">
        <f t="shared" si="291"/>
        <v/>
      </c>
      <c r="S5116" s="24" t="str">
        <f t="shared" si="292"/>
        <v/>
      </c>
      <c r="T5116" t="str">
        <f t="shared" si="290"/>
        <v/>
      </c>
    </row>
    <row r="5117" spans="18:20">
      <c r="R5117" s="24" t="str">
        <f t="shared" si="291"/>
        <v/>
      </c>
      <c r="S5117" s="24" t="str">
        <f t="shared" si="292"/>
        <v/>
      </c>
      <c r="T5117" t="str">
        <f t="shared" si="290"/>
        <v/>
      </c>
    </row>
    <row r="5118" spans="18:20">
      <c r="R5118" s="24" t="str">
        <f t="shared" si="291"/>
        <v/>
      </c>
      <c r="S5118" s="24" t="str">
        <f t="shared" si="292"/>
        <v/>
      </c>
      <c r="T5118" t="str">
        <f t="shared" si="290"/>
        <v/>
      </c>
    </row>
    <row r="5119" spans="18:20">
      <c r="R5119" s="24" t="str">
        <f t="shared" si="291"/>
        <v/>
      </c>
      <c r="S5119" s="24" t="str">
        <f t="shared" si="292"/>
        <v/>
      </c>
      <c r="T5119" t="str">
        <f t="shared" si="290"/>
        <v/>
      </c>
    </row>
    <row r="5120" spans="18:20">
      <c r="R5120" s="24" t="str">
        <f t="shared" si="291"/>
        <v/>
      </c>
      <c r="S5120" s="24" t="str">
        <f t="shared" si="292"/>
        <v/>
      </c>
      <c r="T5120" t="str">
        <f t="shared" si="290"/>
        <v/>
      </c>
    </row>
    <row r="5121" spans="18:20">
      <c r="R5121" s="24" t="str">
        <f t="shared" si="291"/>
        <v/>
      </c>
      <c r="S5121" s="24" t="str">
        <f t="shared" si="292"/>
        <v/>
      </c>
      <c r="T5121" t="str">
        <f t="shared" si="290"/>
        <v/>
      </c>
    </row>
    <row r="5122" spans="18:20">
      <c r="R5122" s="24" t="str">
        <f t="shared" si="291"/>
        <v/>
      </c>
      <c r="S5122" s="24" t="str">
        <f t="shared" si="292"/>
        <v/>
      </c>
      <c r="T5122" t="str">
        <f t="shared" si="290"/>
        <v/>
      </c>
    </row>
    <row r="5123" spans="18:20">
      <c r="R5123" s="24" t="str">
        <f t="shared" si="291"/>
        <v/>
      </c>
      <c r="S5123" s="24" t="str">
        <f t="shared" si="292"/>
        <v/>
      </c>
      <c r="T5123" t="str">
        <f t="shared" si="290"/>
        <v/>
      </c>
    </row>
    <row r="5124" spans="18:20">
      <c r="R5124" s="24" t="str">
        <f t="shared" si="291"/>
        <v/>
      </c>
      <c r="S5124" s="24" t="str">
        <f t="shared" si="292"/>
        <v/>
      </c>
      <c r="T5124" t="str">
        <f t="shared" si="290"/>
        <v/>
      </c>
    </row>
    <row r="5125" spans="18:20">
      <c r="R5125" s="24" t="str">
        <f t="shared" si="291"/>
        <v/>
      </c>
      <c r="S5125" s="24" t="str">
        <f t="shared" si="292"/>
        <v/>
      </c>
      <c r="T5125" t="str">
        <f t="shared" si="290"/>
        <v/>
      </c>
    </row>
    <row r="5126" spans="18:20">
      <c r="R5126" s="24" t="str">
        <f t="shared" si="291"/>
        <v/>
      </c>
      <c r="S5126" s="24" t="str">
        <f t="shared" si="292"/>
        <v/>
      </c>
      <c r="T5126" t="str">
        <f t="shared" si="290"/>
        <v/>
      </c>
    </row>
    <row r="5127" spans="18:20">
      <c r="R5127" s="24" t="str">
        <f t="shared" si="291"/>
        <v/>
      </c>
      <c r="S5127" s="24" t="str">
        <f t="shared" si="292"/>
        <v/>
      </c>
      <c r="T5127" t="str">
        <f t="shared" si="290"/>
        <v/>
      </c>
    </row>
    <row r="5128" spans="18:20">
      <c r="R5128" s="24" t="str">
        <f t="shared" si="291"/>
        <v/>
      </c>
      <c r="S5128" s="24" t="str">
        <f t="shared" si="292"/>
        <v/>
      </c>
      <c r="T5128" t="str">
        <f t="shared" si="290"/>
        <v/>
      </c>
    </row>
    <row r="5129" spans="18:20">
      <c r="R5129" s="24" t="str">
        <f t="shared" si="291"/>
        <v/>
      </c>
      <c r="S5129" s="24" t="str">
        <f t="shared" si="292"/>
        <v/>
      </c>
      <c r="T5129" t="str">
        <f t="shared" si="290"/>
        <v/>
      </c>
    </row>
    <row r="5130" spans="18:20">
      <c r="R5130" s="24" t="str">
        <f t="shared" si="291"/>
        <v/>
      </c>
      <c r="S5130" s="24" t="str">
        <f t="shared" si="292"/>
        <v/>
      </c>
      <c r="T5130" t="str">
        <f t="shared" si="290"/>
        <v/>
      </c>
    </row>
    <row r="5131" spans="18:20">
      <c r="R5131" s="24" t="str">
        <f t="shared" si="291"/>
        <v/>
      </c>
      <c r="S5131" s="24" t="str">
        <f t="shared" si="292"/>
        <v/>
      </c>
      <c r="T5131" t="str">
        <f t="shared" si="290"/>
        <v/>
      </c>
    </row>
    <row r="5132" spans="18:20">
      <c r="R5132" s="24" t="str">
        <f t="shared" si="291"/>
        <v/>
      </c>
      <c r="S5132" s="24" t="str">
        <f t="shared" si="292"/>
        <v/>
      </c>
      <c r="T5132" t="str">
        <f t="shared" si="290"/>
        <v/>
      </c>
    </row>
    <row r="5133" spans="18:20">
      <c r="R5133" s="24" t="str">
        <f t="shared" si="291"/>
        <v/>
      </c>
      <c r="S5133" s="24" t="str">
        <f t="shared" si="292"/>
        <v/>
      </c>
      <c r="T5133" t="str">
        <f t="shared" si="290"/>
        <v/>
      </c>
    </row>
    <row r="5134" spans="18:20">
      <c r="R5134" s="24" t="str">
        <f t="shared" si="291"/>
        <v/>
      </c>
      <c r="S5134" s="24" t="str">
        <f t="shared" si="292"/>
        <v/>
      </c>
      <c r="T5134" t="str">
        <f t="shared" si="290"/>
        <v/>
      </c>
    </row>
    <row r="5135" spans="18:20">
      <c r="R5135" s="24" t="str">
        <f t="shared" si="291"/>
        <v/>
      </c>
      <c r="S5135" s="24" t="str">
        <f t="shared" si="292"/>
        <v/>
      </c>
      <c r="T5135" t="str">
        <f t="shared" ref="T5135:T5198" si="293">IF(OR(C5135="",I5135&lt;&gt;"ENTRADA"),"",TEXT(B5135,"AAMMDD")&amp;"-"&amp;TEXT(VALUE(SUBSTITUTE(A5135,"MOV-","")),"000"))</f>
        <v/>
      </c>
    </row>
    <row r="5136" spans="18:20">
      <c r="R5136" s="24" t="str">
        <f t="shared" ref="R5136:R5199" si="294">IF(H5136="","",H5136&amp;I5136)</f>
        <v/>
      </c>
      <c r="S5136" s="24" t="str">
        <f t="shared" ref="S5136:S5199" si="295">IF(C5136="","",C5136&amp;I5136)</f>
        <v/>
      </c>
      <c r="T5136" t="str">
        <f t="shared" si="293"/>
        <v/>
      </c>
    </row>
    <row r="5137" spans="18:20">
      <c r="R5137" s="24" t="str">
        <f t="shared" si="294"/>
        <v/>
      </c>
      <c r="S5137" s="24" t="str">
        <f t="shared" si="295"/>
        <v/>
      </c>
      <c r="T5137" t="str">
        <f t="shared" si="293"/>
        <v/>
      </c>
    </row>
    <row r="5138" spans="18:20">
      <c r="R5138" s="24" t="str">
        <f t="shared" si="294"/>
        <v/>
      </c>
      <c r="S5138" s="24" t="str">
        <f t="shared" si="295"/>
        <v/>
      </c>
      <c r="T5138" t="str">
        <f t="shared" si="293"/>
        <v/>
      </c>
    </row>
    <row r="5139" spans="18:20">
      <c r="R5139" s="24" t="str">
        <f t="shared" si="294"/>
        <v/>
      </c>
      <c r="S5139" s="24" t="str">
        <f t="shared" si="295"/>
        <v/>
      </c>
      <c r="T5139" t="str">
        <f t="shared" si="293"/>
        <v/>
      </c>
    </row>
    <row r="5140" spans="18:20">
      <c r="R5140" s="24" t="str">
        <f t="shared" si="294"/>
        <v/>
      </c>
      <c r="S5140" s="24" t="str">
        <f t="shared" si="295"/>
        <v/>
      </c>
      <c r="T5140" t="str">
        <f t="shared" si="293"/>
        <v/>
      </c>
    </row>
    <row r="5141" spans="18:20">
      <c r="R5141" s="24" t="str">
        <f t="shared" si="294"/>
        <v/>
      </c>
      <c r="S5141" s="24" t="str">
        <f t="shared" si="295"/>
        <v/>
      </c>
      <c r="T5141" t="str">
        <f t="shared" si="293"/>
        <v/>
      </c>
    </row>
    <row r="5142" spans="18:20">
      <c r="R5142" s="24" t="str">
        <f t="shared" si="294"/>
        <v/>
      </c>
      <c r="S5142" s="24" t="str">
        <f t="shared" si="295"/>
        <v/>
      </c>
      <c r="T5142" t="str">
        <f t="shared" si="293"/>
        <v/>
      </c>
    </row>
    <row r="5143" spans="18:20">
      <c r="R5143" s="24" t="str">
        <f t="shared" si="294"/>
        <v/>
      </c>
      <c r="S5143" s="24" t="str">
        <f t="shared" si="295"/>
        <v/>
      </c>
      <c r="T5143" t="str">
        <f t="shared" si="293"/>
        <v/>
      </c>
    </row>
    <row r="5144" spans="18:20">
      <c r="R5144" s="24" t="str">
        <f t="shared" si="294"/>
        <v/>
      </c>
      <c r="S5144" s="24" t="str">
        <f t="shared" si="295"/>
        <v/>
      </c>
      <c r="T5144" t="str">
        <f t="shared" si="293"/>
        <v/>
      </c>
    </row>
    <row r="5145" spans="18:20">
      <c r="R5145" s="24" t="str">
        <f t="shared" si="294"/>
        <v/>
      </c>
      <c r="S5145" s="24" t="str">
        <f t="shared" si="295"/>
        <v/>
      </c>
      <c r="T5145" t="str">
        <f t="shared" si="293"/>
        <v/>
      </c>
    </row>
    <row r="5146" spans="18:20">
      <c r="R5146" s="24" t="str">
        <f t="shared" si="294"/>
        <v/>
      </c>
      <c r="S5146" s="24" t="str">
        <f t="shared" si="295"/>
        <v/>
      </c>
      <c r="T5146" t="str">
        <f t="shared" si="293"/>
        <v/>
      </c>
    </row>
    <row r="5147" spans="18:20">
      <c r="R5147" s="24" t="str">
        <f t="shared" si="294"/>
        <v/>
      </c>
      <c r="S5147" s="24" t="str">
        <f t="shared" si="295"/>
        <v/>
      </c>
      <c r="T5147" t="str">
        <f t="shared" si="293"/>
        <v/>
      </c>
    </row>
    <row r="5148" spans="18:20">
      <c r="R5148" s="24" t="str">
        <f t="shared" si="294"/>
        <v/>
      </c>
      <c r="S5148" s="24" t="str">
        <f t="shared" si="295"/>
        <v/>
      </c>
      <c r="T5148" t="str">
        <f t="shared" si="293"/>
        <v/>
      </c>
    </row>
    <row r="5149" spans="18:20">
      <c r="R5149" s="24" t="str">
        <f t="shared" si="294"/>
        <v/>
      </c>
      <c r="S5149" s="24" t="str">
        <f t="shared" si="295"/>
        <v/>
      </c>
      <c r="T5149" t="str">
        <f t="shared" si="293"/>
        <v/>
      </c>
    </row>
    <row r="5150" spans="18:20">
      <c r="R5150" s="24" t="str">
        <f t="shared" si="294"/>
        <v/>
      </c>
      <c r="S5150" s="24" t="str">
        <f t="shared" si="295"/>
        <v/>
      </c>
      <c r="T5150" t="str">
        <f t="shared" si="293"/>
        <v/>
      </c>
    </row>
    <row r="5151" spans="18:20">
      <c r="R5151" s="24" t="str">
        <f t="shared" si="294"/>
        <v/>
      </c>
      <c r="S5151" s="24" t="str">
        <f t="shared" si="295"/>
        <v/>
      </c>
      <c r="T5151" t="str">
        <f t="shared" si="293"/>
        <v/>
      </c>
    </row>
    <row r="5152" spans="18:20">
      <c r="R5152" s="24" t="str">
        <f t="shared" si="294"/>
        <v/>
      </c>
      <c r="S5152" s="24" t="str">
        <f t="shared" si="295"/>
        <v/>
      </c>
      <c r="T5152" t="str">
        <f t="shared" si="293"/>
        <v/>
      </c>
    </row>
    <row r="5153" spans="18:20">
      <c r="R5153" s="24" t="str">
        <f t="shared" si="294"/>
        <v/>
      </c>
      <c r="S5153" s="24" t="str">
        <f t="shared" si="295"/>
        <v/>
      </c>
      <c r="T5153" t="str">
        <f t="shared" si="293"/>
        <v/>
      </c>
    </row>
    <row r="5154" spans="18:20">
      <c r="R5154" s="24" t="str">
        <f t="shared" si="294"/>
        <v/>
      </c>
      <c r="S5154" s="24" t="str">
        <f t="shared" si="295"/>
        <v/>
      </c>
      <c r="T5154" t="str">
        <f t="shared" si="293"/>
        <v/>
      </c>
    </row>
    <row r="5155" spans="18:20">
      <c r="R5155" s="24" t="str">
        <f t="shared" si="294"/>
        <v/>
      </c>
      <c r="S5155" s="24" t="str">
        <f t="shared" si="295"/>
        <v/>
      </c>
      <c r="T5155" t="str">
        <f t="shared" si="293"/>
        <v/>
      </c>
    </row>
    <row r="5156" spans="18:20">
      <c r="R5156" s="24" t="str">
        <f t="shared" si="294"/>
        <v/>
      </c>
      <c r="S5156" s="24" t="str">
        <f t="shared" si="295"/>
        <v/>
      </c>
      <c r="T5156" t="str">
        <f t="shared" si="293"/>
        <v/>
      </c>
    </row>
    <row r="5157" spans="18:20">
      <c r="R5157" s="24" t="str">
        <f t="shared" si="294"/>
        <v/>
      </c>
      <c r="S5157" s="24" t="str">
        <f t="shared" si="295"/>
        <v/>
      </c>
      <c r="T5157" t="str">
        <f t="shared" si="293"/>
        <v/>
      </c>
    </row>
    <row r="5158" spans="18:20">
      <c r="R5158" s="24" t="str">
        <f t="shared" si="294"/>
        <v/>
      </c>
      <c r="S5158" s="24" t="str">
        <f t="shared" si="295"/>
        <v/>
      </c>
      <c r="T5158" t="str">
        <f t="shared" si="293"/>
        <v/>
      </c>
    </row>
    <row r="5159" spans="18:20">
      <c r="R5159" s="24" t="str">
        <f t="shared" si="294"/>
        <v/>
      </c>
      <c r="S5159" s="24" t="str">
        <f t="shared" si="295"/>
        <v/>
      </c>
      <c r="T5159" t="str">
        <f t="shared" si="293"/>
        <v/>
      </c>
    </row>
    <row r="5160" spans="18:20">
      <c r="R5160" s="24" t="str">
        <f t="shared" si="294"/>
        <v/>
      </c>
      <c r="S5160" s="24" t="str">
        <f t="shared" si="295"/>
        <v/>
      </c>
      <c r="T5160" t="str">
        <f t="shared" si="293"/>
        <v/>
      </c>
    </row>
    <row r="5161" spans="18:20">
      <c r="R5161" s="24" t="str">
        <f t="shared" si="294"/>
        <v/>
      </c>
      <c r="S5161" s="24" t="str">
        <f t="shared" si="295"/>
        <v/>
      </c>
      <c r="T5161" t="str">
        <f t="shared" si="293"/>
        <v/>
      </c>
    </row>
    <row r="5162" spans="18:20">
      <c r="R5162" s="24" t="str">
        <f t="shared" si="294"/>
        <v/>
      </c>
      <c r="S5162" s="24" t="str">
        <f t="shared" si="295"/>
        <v/>
      </c>
      <c r="T5162" t="str">
        <f t="shared" si="293"/>
        <v/>
      </c>
    </row>
    <row r="5163" spans="18:20">
      <c r="R5163" s="24" t="str">
        <f t="shared" si="294"/>
        <v/>
      </c>
      <c r="S5163" s="24" t="str">
        <f t="shared" si="295"/>
        <v/>
      </c>
      <c r="T5163" t="str">
        <f t="shared" si="293"/>
        <v/>
      </c>
    </row>
    <row r="5164" spans="18:20">
      <c r="R5164" s="24" t="str">
        <f t="shared" si="294"/>
        <v/>
      </c>
      <c r="S5164" s="24" t="str">
        <f t="shared" si="295"/>
        <v/>
      </c>
      <c r="T5164" t="str">
        <f t="shared" si="293"/>
        <v/>
      </c>
    </row>
    <row r="5165" spans="18:20">
      <c r="R5165" s="24" t="str">
        <f t="shared" si="294"/>
        <v/>
      </c>
      <c r="S5165" s="24" t="str">
        <f t="shared" si="295"/>
        <v/>
      </c>
      <c r="T5165" t="str">
        <f t="shared" si="293"/>
        <v/>
      </c>
    </row>
    <row r="5166" spans="18:20">
      <c r="R5166" s="24" t="str">
        <f t="shared" si="294"/>
        <v/>
      </c>
      <c r="S5166" s="24" t="str">
        <f t="shared" si="295"/>
        <v/>
      </c>
      <c r="T5166" t="str">
        <f t="shared" si="293"/>
        <v/>
      </c>
    </row>
    <row r="5167" spans="18:20">
      <c r="R5167" s="24" t="str">
        <f t="shared" si="294"/>
        <v/>
      </c>
      <c r="S5167" s="24" t="str">
        <f t="shared" si="295"/>
        <v/>
      </c>
      <c r="T5167" t="str">
        <f t="shared" si="293"/>
        <v/>
      </c>
    </row>
    <row r="5168" spans="18:20">
      <c r="R5168" s="24" t="str">
        <f t="shared" si="294"/>
        <v/>
      </c>
      <c r="S5168" s="24" t="str">
        <f t="shared" si="295"/>
        <v/>
      </c>
      <c r="T5168" t="str">
        <f t="shared" si="293"/>
        <v/>
      </c>
    </row>
    <row r="5169" spans="18:20">
      <c r="R5169" s="24" t="str">
        <f t="shared" si="294"/>
        <v/>
      </c>
      <c r="S5169" s="24" t="str">
        <f t="shared" si="295"/>
        <v/>
      </c>
      <c r="T5169" t="str">
        <f t="shared" si="293"/>
        <v/>
      </c>
    </row>
    <row r="5170" spans="18:20">
      <c r="R5170" s="24" t="str">
        <f t="shared" si="294"/>
        <v/>
      </c>
      <c r="S5170" s="24" t="str">
        <f t="shared" si="295"/>
        <v/>
      </c>
      <c r="T5170" t="str">
        <f t="shared" si="293"/>
        <v/>
      </c>
    </row>
    <row r="5171" spans="18:20">
      <c r="R5171" s="24" t="str">
        <f t="shared" si="294"/>
        <v/>
      </c>
      <c r="S5171" s="24" t="str">
        <f t="shared" si="295"/>
        <v/>
      </c>
      <c r="T5171" t="str">
        <f t="shared" si="293"/>
        <v/>
      </c>
    </row>
    <row r="5172" spans="18:20">
      <c r="R5172" s="24" t="str">
        <f t="shared" si="294"/>
        <v/>
      </c>
      <c r="S5172" s="24" t="str">
        <f t="shared" si="295"/>
        <v/>
      </c>
      <c r="T5172" t="str">
        <f t="shared" si="293"/>
        <v/>
      </c>
    </row>
    <row r="5173" spans="18:20">
      <c r="R5173" s="24" t="str">
        <f t="shared" si="294"/>
        <v/>
      </c>
      <c r="S5173" s="24" t="str">
        <f t="shared" si="295"/>
        <v/>
      </c>
      <c r="T5173" t="str">
        <f t="shared" si="293"/>
        <v/>
      </c>
    </row>
    <row r="5174" spans="18:20">
      <c r="R5174" s="24" t="str">
        <f t="shared" si="294"/>
        <v/>
      </c>
      <c r="S5174" s="24" t="str">
        <f t="shared" si="295"/>
        <v/>
      </c>
      <c r="T5174" t="str">
        <f t="shared" si="293"/>
        <v/>
      </c>
    </row>
    <row r="5175" spans="18:20">
      <c r="R5175" s="24" t="str">
        <f t="shared" si="294"/>
        <v/>
      </c>
      <c r="S5175" s="24" t="str">
        <f t="shared" si="295"/>
        <v/>
      </c>
      <c r="T5175" t="str">
        <f t="shared" si="293"/>
        <v/>
      </c>
    </row>
    <row r="5176" spans="18:20">
      <c r="R5176" s="24" t="str">
        <f t="shared" si="294"/>
        <v/>
      </c>
      <c r="S5176" s="24" t="str">
        <f t="shared" si="295"/>
        <v/>
      </c>
      <c r="T5176" t="str">
        <f t="shared" si="293"/>
        <v/>
      </c>
    </row>
    <row r="5177" spans="18:20">
      <c r="R5177" s="24" t="str">
        <f t="shared" si="294"/>
        <v/>
      </c>
      <c r="S5177" s="24" t="str">
        <f t="shared" si="295"/>
        <v/>
      </c>
      <c r="T5177" t="str">
        <f t="shared" si="293"/>
        <v/>
      </c>
    </row>
    <row r="5178" spans="18:20">
      <c r="R5178" s="24" t="str">
        <f t="shared" si="294"/>
        <v/>
      </c>
      <c r="S5178" s="24" t="str">
        <f t="shared" si="295"/>
        <v/>
      </c>
      <c r="T5178" t="str">
        <f t="shared" si="293"/>
        <v/>
      </c>
    </row>
    <row r="5179" spans="18:20">
      <c r="R5179" s="24" t="str">
        <f t="shared" si="294"/>
        <v/>
      </c>
      <c r="S5179" s="24" t="str">
        <f t="shared" si="295"/>
        <v/>
      </c>
      <c r="T5179" t="str">
        <f t="shared" si="293"/>
        <v/>
      </c>
    </row>
    <row r="5180" spans="18:20">
      <c r="R5180" s="24" t="str">
        <f t="shared" si="294"/>
        <v/>
      </c>
      <c r="S5180" s="24" t="str">
        <f t="shared" si="295"/>
        <v/>
      </c>
      <c r="T5180" t="str">
        <f t="shared" si="293"/>
        <v/>
      </c>
    </row>
    <row r="5181" spans="18:20">
      <c r="R5181" s="24" t="str">
        <f t="shared" si="294"/>
        <v/>
      </c>
      <c r="S5181" s="24" t="str">
        <f t="shared" si="295"/>
        <v/>
      </c>
      <c r="T5181" t="str">
        <f t="shared" si="293"/>
        <v/>
      </c>
    </row>
    <row r="5182" spans="18:20">
      <c r="R5182" s="24" t="str">
        <f t="shared" si="294"/>
        <v/>
      </c>
      <c r="S5182" s="24" t="str">
        <f t="shared" si="295"/>
        <v/>
      </c>
      <c r="T5182" t="str">
        <f t="shared" si="293"/>
        <v/>
      </c>
    </row>
    <row r="5183" spans="18:20">
      <c r="R5183" s="24" t="str">
        <f t="shared" si="294"/>
        <v/>
      </c>
      <c r="S5183" s="24" t="str">
        <f t="shared" si="295"/>
        <v/>
      </c>
      <c r="T5183" t="str">
        <f t="shared" si="293"/>
        <v/>
      </c>
    </row>
    <row r="5184" spans="18:20">
      <c r="R5184" s="24" t="str">
        <f t="shared" si="294"/>
        <v/>
      </c>
      <c r="S5184" s="24" t="str">
        <f t="shared" si="295"/>
        <v/>
      </c>
      <c r="T5184" t="str">
        <f t="shared" si="293"/>
        <v/>
      </c>
    </row>
    <row r="5185" spans="18:20">
      <c r="R5185" s="24" t="str">
        <f t="shared" si="294"/>
        <v/>
      </c>
      <c r="S5185" s="24" t="str">
        <f t="shared" si="295"/>
        <v/>
      </c>
      <c r="T5185" t="str">
        <f t="shared" si="293"/>
        <v/>
      </c>
    </row>
    <row r="5186" spans="18:20">
      <c r="R5186" s="24" t="str">
        <f t="shared" si="294"/>
        <v/>
      </c>
      <c r="S5186" s="24" t="str">
        <f t="shared" si="295"/>
        <v/>
      </c>
      <c r="T5186" t="str">
        <f t="shared" si="293"/>
        <v/>
      </c>
    </row>
    <row r="5187" spans="18:20">
      <c r="R5187" s="24" t="str">
        <f t="shared" si="294"/>
        <v/>
      </c>
      <c r="S5187" s="24" t="str">
        <f t="shared" si="295"/>
        <v/>
      </c>
      <c r="T5187" t="str">
        <f t="shared" si="293"/>
        <v/>
      </c>
    </row>
    <row r="5188" spans="18:20">
      <c r="R5188" s="24" t="str">
        <f t="shared" si="294"/>
        <v/>
      </c>
      <c r="S5188" s="24" t="str">
        <f t="shared" si="295"/>
        <v/>
      </c>
      <c r="T5188" t="str">
        <f t="shared" si="293"/>
        <v/>
      </c>
    </row>
    <row r="5189" spans="18:20">
      <c r="R5189" s="24" t="str">
        <f t="shared" si="294"/>
        <v/>
      </c>
      <c r="S5189" s="24" t="str">
        <f t="shared" si="295"/>
        <v/>
      </c>
      <c r="T5189" t="str">
        <f t="shared" si="293"/>
        <v/>
      </c>
    </row>
    <row r="5190" spans="18:20">
      <c r="R5190" s="24" t="str">
        <f t="shared" si="294"/>
        <v/>
      </c>
      <c r="S5190" s="24" t="str">
        <f t="shared" si="295"/>
        <v/>
      </c>
      <c r="T5190" t="str">
        <f t="shared" si="293"/>
        <v/>
      </c>
    </row>
    <row r="5191" spans="18:20">
      <c r="R5191" s="24" t="str">
        <f t="shared" si="294"/>
        <v/>
      </c>
      <c r="S5191" s="24" t="str">
        <f t="shared" si="295"/>
        <v/>
      </c>
      <c r="T5191" t="str">
        <f t="shared" si="293"/>
        <v/>
      </c>
    </row>
    <row r="5192" spans="18:20">
      <c r="R5192" s="24" t="str">
        <f t="shared" si="294"/>
        <v/>
      </c>
      <c r="S5192" s="24" t="str">
        <f t="shared" si="295"/>
        <v/>
      </c>
      <c r="T5192" t="str">
        <f t="shared" si="293"/>
        <v/>
      </c>
    </row>
    <row r="5193" spans="18:20">
      <c r="R5193" s="24" t="str">
        <f t="shared" si="294"/>
        <v/>
      </c>
      <c r="S5193" s="24" t="str">
        <f t="shared" si="295"/>
        <v/>
      </c>
      <c r="T5193" t="str">
        <f t="shared" si="293"/>
        <v/>
      </c>
    </row>
    <row r="5194" spans="18:20">
      <c r="R5194" s="24" t="str">
        <f t="shared" si="294"/>
        <v/>
      </c>
      <c r="S5194" s="24" t="str">
        <f t="shared" si="295"/>
        <v/>
      </c>
      <c r="T5194" t="str">
        <f t="shared" si="293"/>
        <v/>
      </c>
    </row>
    <row r="5195" spans="18:20">
      <c r="R5195" s="24" t="str">
        <f t="shared" si="294"/>
        <v/>
      </c>
      <c r="S5195" s="24" t="str">
        <f t="shared" si="295"/>
        <v/>
      </c>
      <c r="T5195" t="str">
        <f t="shared" si="293"/>
        <v/>
      </c>
    </row>
    <row r="5196" spans="18:20">
      <c r="R5196" s="24" t="str">
        <f t="shared" si="294"/>
        <v/>
      </c>
      <c r="S5196" s="24" t="str">
        <f t="shared" si="295"/>
        <v/>
      </c>
      <c r="T5196" t="str">
        <f t="shared" si="293"/>
        <v/>
      </c>
    </row>
    <row r="5197" spans="18:20">
      <c r="R5197" s="24" t="str">
        <f t="shared" si="294"/>
        <v/>
      </c>
      <c r="S5197" s="24" t="str">
        <f t="shared" si="295"/>
        <v/>
      </c>
      <c r="T5197" t="str">
        <f t="shared" si="293"/>
        <v/>
      </c>
    </row>
    <row r="5198" spans="18:20">
      <c r="R5198" s="24" t="str">
        <f t="shared" si="294"/>
        <v/>
      </c>
      <c r="S5198" s="24" t="str">
        <f t="shared" si="295"/>
        <v/>
      </c>
      <c r="T5198" t="str">
        <f t="shared" si="293"/>
        <v/>
      </c>
    </row>
    <row r="5199" spans="18:20">
      <c r="R5199" s="24" t="str">
        <f t="shared" si="294"/>
        <v/>
      </c>
      <c r="S5199" s="24" t="str">
        <f t="shared" si="295"/>
        <v/>
      </c>
      <c r="T5199" t="str">
        <f t="shared" ref="T5199:T5262" si="296">IF(OR(C5199="",I5199&lt;&gt;"ENTRADA"),"",TEXT(B5199,"AAMMDD")&amp;"-"&amp;TEXT(VALUE(SUBSTITUTE(A5199,"MOV-","")),"000"))</f>
        <v/>
      </c>
    </row>
    <row r="5200" spans="18:20">
      <c r="R5200" s="24" t="str">
        <f t="shared" ref="R5200:R5263" si="297">IF(H5200="","",H5200&amp;I5200)</f>
        <v/>
      </c>
      <c r="S5200" s="24" t="str">
        <f t="shared" ref="S5200:S5263" si="298">IF(C5200="","",C5200&amp;I5200)</f>
        <v/>
      </c>
      <c r="T5200" t="str">
        <f t="shared" si="296"/>
        <v/>
      </c>
    </row>
    <row r="5201" spans="18:20">
      <c r="R5201" s="24" t="str">
        <f t="shared" si="297"/>
        <v/>
      </c>
      <c r="S5201" s="24" t="str">
        <f t="shared" si="298"/>
        <v/>
      </c>
      <c r="T5201" t="str">
        <f t="shared" si="296"/>
        <v/>
      </c>
    </row>
    <row r="5202" spans="18:20">
      <c r="R5202" s="24" t="str">
        <f t="shared" si="297"/>
        <v/>
      </c>
      <c r="S5202" s="24" t="str">
        <f t="shared" si="298"/>
        <v/>
      </c>
      <c r="T5202" t="str">
        <f t="shared" si="296"/>
        <v/>
      </c>
    </row>
    <row r="5203" spans="18:20">
      <c r="R5203" s="24" t="str">
        <f t="shared" si="297"/>
        <v/>
      </c>
      <c r="S5203" s="24" t="str">
        <f t="shared" si="298"/>
        <v/>
      </c>
      <c r="T5203" t="str">
        <f t="shared" si="296"/>
        <v/>
      </c>
    </row>
    <row r="5204" spans="18:20">
      <c r="R5204" s="24" t="str">
        <f t="shared" si="297"/>
        <v/>
      </c>
      <c r="S5204" s="24" t="str">
        <f t="shared" si="298"/>
        <v/>
      </c>
      <c r="T5204" t="str">
        <f t="shared" si="296"/>
        <v/>
      </c>
    </row>
    <row r="5205" spans="18:20">
      <c r="R5205" s="24" t="str">
        <f t="shared" si="297"/>
        <v/>
      </c>
      <c r="S5205" s="24" t="str">
        <f t="shared" si="298"/>
        <v/>
      </c>
      <c r="T5205" t="str">
        <f t="shared" si="296"/>
        <v/>
      </c>
    </row>
    <row r="5206" spans="18:20">
      <c r="R5206" s="24" t="str">
        <f t="shared" si="297"/>
        <v/>
      </c>
      <c r="S5206" s="24" t="str">
        <f t="shared" si="298"/>
        <v/>
      </c>
      <c r="T5206" t="str">
        <f t="shared" si="296"/>
        <v/>
      </c>
    </row>
    <row r="5207" spans="18:20">
      <c r="R5207" s="24" t="str">
        <f t="shared" si="297"/>
        <v/>
      </c>
      <c r="S5207" s="24" t="str">
        <f t="shared" si="298"/>
        <v/>
      </c>
      <c r="T5207" t="str">
        <f t="shared" si="296"/>
        <v/>
      </c>
    </row>
    <row r="5208" spans="18:20">
      <c r="R5208" s="24" t="str">
        <f t="shared" si="297"/>
        <v/>
      </c>
      <c r="S5208" s="24" t="str">
        <f t="shared" si="298"/>
        <v/>
      </c>
      <c r="T5208" t="str">
        <f t="shared" si="296"/>
        <v/>
      </c>
    </row>
    <row r="5209" spans="18:20">
      <c r="R5209" s="24" t="str">
        <f t="shared" si="297"/>
        <v/>
      </c>
      <c r="S5209" s="24" t="str">
        <f t="shared" si="298"/>
        <v/>
      </c>
      <c r="T5209" t="str">
        <f t="shared" si="296"/>
        <v/>
      </c>
    </row>
    <row r="5210" spans="18:20">
      <c r="R5210" s="24" t="str">
        <f t="shared" si="297"/>
        <v/>
      </c>
      <c r="S5210" s="24" t="str">
        <f t="shared" si="298"/>
        <v/>
      </c>
      <c r="T5210" t="str">
        <f t="shared" si="296"/>
        <v/>
      </c>
    </row>
    <row r="5211" spans="18:20">
      <c r="R5211" s="24" t="str">
        <f t="shared" si="297"/>
        <v/>
      </c>
      <c r="S5211" s="24" t="str">
        <f t="shared" si="298"/>
        <v/>
      </c>
      <c r="T5211" t="str">
        <f t="shared" si="296"/>
        <v/>
      </c>
    </row>
    <row r="5212" spans="18:20">
      <c r="R5212" s="24" t="str">
        <f t="shared" si="297"/>
        <v/>
      </c>
      <c r="S5212" s="24" t="str">
        <f t="shared" si="298"/>
        <v/>
      </c>
      <c r="T5212" t="str">
        <f t="shared" si="296"/>
        <v/>
      </c>
    </row>
    <row r="5213" spans="18:20">
      <c r="R5213" s="24" t="str">
        <f t="shared" si="297"/>
        <v/>
      </c>
      <c r="S5213" s="24" t="str">
        <f t="shared" si="298"/>
        <v/>
      </c>
      <c r="T5213" t="str">
        <f t="shared" si="296"/>
        <v/>
      </c>
    </row>
    <row r="5214" spans="18:20">
      <c r="R5214" s="24" t="str">
        <f t="shared" si="297"/>
        <v/>
      </c>
      <c r="S5214" s="24" t="str">
        <f t="shared" si="298"/>
        <v/>
      </c>
      <c r="T5214" t="str">
        <f t="shared" si="296"/>
        <v/>
      </c>
    </row>
    <row r="5215" spans="18:20">
      <c r="R5215" s="24" t="str">
        <f t="shared" si="297"/>
        <v/>
      </c>
      <c r="S5215" s="24" t="str">
        <f t="shared" si="298"/>
        <v/>
      </c>
      <c r="T5215" t="str">
        <f t="shared" si="296"/>
        <v/>
      </c>
    </row>
    <row r="5216" spans="18:20">
      <c r="R5216" s="24" t="str">
        <f t="shared" si="297"/>
        <v/>
      </c>
      <c r="S5216" s="24" t="str">
        <f t="shared" si="298"/>
        <v/>
      </c>
      <c r="T5216" t="str">
        <f t="shared" si="296"/>
        <v/>
      </c>
    </row>
    <row r="5217" spans="18:20">
      <c r="R5217" s="24" t="str">
        <f t="shared" si="297"/>
        <v/>
      </c>
      <c r="S5217" s="24" t="str">
        <f t="shared" si="298"/>
        <v/>
      </c>
      <c r="T5217" t="str">
        <f t="shared" si="296"/>
        <v/>
      </c>
    </row>
    <row r="5218" spans="18:20">
      <c r="R5218" s="24" t="str">
        <f t="shared" si="297"/>
        <v/>
      </c>
      <c r="S5218" s="24" t="str">
        <f t="shared" si="298"/>
        <v/>
      </c>
      <c r="T5218" t="str">
        <f t="shared" si="296"/>
        <v/>
      </c>
    </row>
    <row r="5219" spans="18:20">
      <c r="R5219" s="24" t="str">
        <f t="shared" si="297"/>
        <v/>
      </c>
      <c r="S5219" s="24" t="str">
        <f t="shared" si="298"/>
        <v/>
      </c>
      <c r="T5219" t="str">
        <f t="shared" si="296"/>
        <v/>
      </c>
    </row>
    <row r="5220" spans="18:20">
      <c r="R5220" s="24" t="str">
        <f t="shared" si="297"/>
        <v/>
      </c>
      <c r="S5220" s="24" t="str">
        <f t="shared" si="298"/>
        <v/>
      </c>
      <c r="T5220" t="str">
        <f t="shared" si="296"/>
        <v/>
      </c>
    </row>
    <row r="5221" spans="18:20">
      <c r="R5221" s="24" t="str">
        <f t="shared" si="297"/>
        <v/>
      </c>
      <c r="S5221" s="24" t="str">
        <f t="shared" si="298"/>
        <v/>
      </c>
      <c r="T5221" t="str">
        <f t="shared" si="296"/>
        <v/>
      </c>
    </row>
    <row r="5222" spans="18:20">
      <c r="R5222" s="24" t="str">
        <f t="shared" si="297"/>
        <v/>
      </c>
      <c r="S5222" s="24" t="str">
        <f t="shared" si="298"/>
        <v/>
      </c>
      <c r="T5222" t="str">
        <f t="shared" si="296"/>
        <v/>
      </c>
    </row>
    <row r="5223" spans="18:20">
      <c r="R5223" s="24" t="str">
        <f t="shared" si="297"/>
        <v/>
      </c>
      <c r="S5223" s="24" t="str">
        <f t="shared" si="298"/>
        <v/>
      </c>
      <c r="T5223" t="str">
        <f t="shared" si="296"/>
        <v/>
      </c>
    </row>
    <row r="5224" spans="18:20">
      <c r="R5224" s="24" t="str">
        <f t="shared" si="297"/>
        <v/>
      </c>
      <c r="S5224" s="24" t="str">
        <f t="shared" si="298"/>
        <v/>
      </c>
      <c r="T5224" t="str">
        <f t="shared" si="296"/>
        <v/>
      </c>
    </row>
    <row r="5225" spans="18:20">
      <c r="R5225" s="24" t="str">
        <f t="shared" si="297"/>
        <v/>
      </c>
      <c r="S5225" s="24" t="str">
        <f t="shared" si="298"/>
        <v/>
      </c>
      <c r="T5225" t="str">
        <f t="shared" si="296"/>
        <v/>
      </c>
    </row>
    <row r="5226" spans="18:20">
      <c r="R5226" s="24" t="str">
        <f t="shared" si="297"/>
        <v/>
      </c>
      <c r="S5226" s="24" t="str">
        <f t="shared" si="298"/>
        <v/>
      </c>
      <c r="T5226" t="str">
        <f t="shared" si="296"/>
        <v/>
      </c>
    </row>
    <row r="5227" spans="18:20">
      <c r="R5227" s="24" t="str">
        <f t="shared" si="297"/>
        <v/>
      </c>
      <c r="S5227" s="24" t="str">
        <f t="shared" si="298"/>
        <v/>
      </c>
      <c r="T5227" t="str">
        <f t="shared" si="296"/>
        <v/>
      </c>
    </row>
    <row r="5228" spans="18:20">
      <c r="R5228" s="24" t="str">
        <f t="shared" si="297"/>
        <v/>
      </c>
      <c r="S5228" s="24" t="str">
        <f t="shared" si="298"/>
        <v/>
      </c>
      <c r="T5228" t="str">
        <f t="shared" si="296"/>
        <v/>
      </c>
    </row>
    <row r="5229" spans="18:20">
      <c r="R5229" s="24" t="str">
        <f t="shared" si="297"/>
        <v/>
      </c>
      <c r="S5229" s="24" t="str">
        <f t="shared" si="298"/>
        <v/>
      </c>
      <c r="T5229" t="str">
        <f t="shared" si="296"/>
        <v/>
      </c>
    </row>
    <row r="5230" spans="18:20">
      <c r="R5230" s="24" t="str">
        <f t="shared" si="297"/>
        <v/>
      </c>
      <c r="S5230" s="24" t="str">
        <f t="shared" si="298"/>
        <v/>
      </c>
      <c r="T5230" t="str">
        <f t="shared" si="296"/>
        <v/>
      </c>
    </row>
    <row r="5231" spans="18:20">
      <c r="R5231" s="24" t="str">
        <f t="shared" si="297"/>
        <v/>
      </c>
      <c r="S5231" s="24" t="str">
        <f t="shared" si="298"/>
        <v/>
      </c>
      <c r="T5231" t="str">
        <f t="shared" si="296"/>
        <v/>
      </c>
    </row>
    <row r="5232" spans="18:20">
      <c r="R5232" s="24" t="str">
        <f t="shared" si="297"/>
        <v/>
      </c>
      <c r="S5232" s="24" t="str">
        <f t="shared" si="298"/>
        <v/>
      </c>
      <c r="T5232" t="str">
        <f t="shared" si="296"/>
        <v/>
      </c>
    </row>
    <row r="5233" spans="18:20">
      <c r="R5233" s="24" t="str">
        <f t="shared" si="297"/>
        <v/>
      </c>
      <c r="S5233" s="24" t="str">
        <f t="shared" si="298"/>
        <v/>
      </c>
      <c r="T5233" t="str">
        <f t="shared" si="296"/>
        <v/>
      </c>
    </row>
    <row r="5234" spans="18:20">
      <c r="R5234" s="24" t="str">
        <f t="shared" si="297"/>
        <v/>
      </c>
      <c r="S5234" s="24" t="str">
        <f t="shared" si="298"/>
        <v/>
      </c>
      <c r="T5234" t="str">
        <f t="shared" si="296"/>
        <v/>
      </c>
    </row>
    <row r="5235" spans="18:20">
      <c r="R5235" s="24" t="str">
        <f t="shared" si="297"/>
        <v/>
      </c>
      <c r="S5235" s="24" t="str">
        <f t="shared" si="298"/>
        <v/>
      </c>
      <c r="T5235" t="str">
        <f t="shared" si="296"/>
        <v/>
      </c>
    </row>
    <row r="5236" spans="18:20">
      <c r="R5236" s="24" t="str">
        <f t="shared" si="297"/>
        <v/>
      </c>
      <c r="S5236" s="24" t="str">
        <f t="shared" si="298"/>
        <v/>
      </c>
      <c r="T5236" t="str">
        <f t="shared" si="296"/>
        <v/>
      </c>
    </row>
    <row r="5237" spans="18:20">
      <c r="R5237" s="24" t="str">
        <f t="shared" si="297"/>
        <v/>
      </c>
      <c r="S5237" s="24" t="str">
        <f t="shared" si="298"/>
        <v/>
      </c>
      <c r="T5237" t="str">
        <f t="shared" si="296"/>
        <v/>
      </c>
    </row>
    <row r="5238" spans="18:20">
      <c r="R5238" s="24" t="str">
        <f t="shared" si="297"/>
        <v/>
      </c>
      <c r="S5238" s="24" t="str">
        <f t="shared" si="298"/>
        <v/>
      </c>
      <c r="T5238" t="str">
        <f t="shared" si="296"/>
        <v/>
      </c>
    </row>
    <row r="5239" spans="18:20">
      <c r="R5239" s="24" t="str">
        <f t="shared" si="297"/>
        <v/>
      </c>
      <c r="S5239" s="24" t="str">
        <f t="shared" si="298"/>
        <v/>
      </c>
      <c r="T5239" t="str">
        <f t="shared" si="296"/>
        <v/>
      </c>
    </row>
    <row r="5240" spans="18:20">
      <c r="R5240" s="24" t="str">
        <f t="shared" si="297"/>
        <v/>
      </c>
      <c r="S5240" s="24" t="str">
        <f t="shared" si="298"/>
        <v/>
      </c>
      <c r="T5240" t="str">
        <f t="shared" si="296"/>
        <v/>
      </c>
    </row>
    <row r="5241" spans="18:20">
      <c r="R5241" s="24" t="str">
        <f t="shared" si="297"/>
        <v/>
      </c>
      <c r="S5241" s="24" t="str">
        <f t="shared" si="298"/>
        <v/>
      </c>
      <c r="T5241" t="str">
        <f t="shared" si="296"/>
        <v/>
      </c>
    </row>
    <row r="5242" spans="18:20">
      <c r="R5242" s="24" t="str">
        <f t="shared" si="297"/>
        <v/>
      </c>
      <c r="S5242" s="24" t="str">
        <f t="shared" si="298"/>
        <v/>
      </c>
      <c r="T5242" t="str">
        <f t="shared" si="296"/>
        <v/>
      </c>
    </row>
    <row r="5243" spans="18:20">
      <c r="R5243" s="24" t="str">
        <f t="shared" si="297"/>
        <v/>
      </c>
      <c r="S5243" s="24" t="str">
        <f t="shared" si="298"/>
        <v/>
      </c>
      <c r="T5243" t="str">
        <f t="shared" si="296"/>
        <v/>
      </c>
    </row>
    <row r="5244" spans="18:20">
      <c r="R5244" s="24" t="str">
        <f t="shared" si="297"/>
        <v/>
      </c>
      <c r="S5244" s="24" t="str">
        <f t="shared" si="298"/>
        <v/>
      </c>
      <c r="T5244" t="str">
        <f t="shared" si="296"/>
        <v/>
      </c>
    </row>
    <row r="5245" spans="18:20">
      <c r="R5245" s="24" t="str">
        <f t="shared" si="297"/>
        <v/>
      </c>
      <c r="S5245" s="24" t="str">
        <f t="shared" si="298"/>
        <v/>
      </c>
      <c r="T5245" t="str">
        <f t="shared" si="296"/>
        <v/>
      </c>
    </row>
    <row r="5246" spans="18:20">
      <c r="R5246" s="24" t="str">
        <f t="shared" si="297"/>
        <v/>
      </c>
      <c r="S5246" s="24" t="str">
        <f t="shared" si="298"/>
        <v/>
      </c>
      <c r="T5246" t="str">
        <f t="shared" si="296"/>
        <v/>
      </c>
    </row>
    <row r="5247" spans="18:20">
      <c r="R5247" s="24" t="str">
        <f t="shared" si="297"/>
        <v/>
      </c>
      <c r="S5247" s="24" t="str">
        <f t="shared" si="298"/>
        <v/>
      </c>
      <c r="T5247" t="str">
        <f t="shared" si="296"/>
        <v/>
      </c>
    </row>
    <row r="5248" spans="18:20">
      <c r="R5248" s="24" t="str">
        <f t="shared" si="297"/>
        <v/>
      </c>
      <c r="S5248" s="24" t="str">
        <f t="shared" si="298"/>
        <v/>
      </c>
      <c r="T5248" t="str">
        <f t="shared" si="296"/>
        <v/>
      </c>
    </row>
    <row r="5249" spans="18:20">
      <c r="R5249" s="24" t="str">
        <f t="shared" si="297"/>
        <v/>
      </c>
      <c r="S5249" s="24" t="str">
        <f t="shared" si="298"/>
        <v/>
      </c>
      <c r="T5249" t="str">
        <f t="shared" si="296"/>
        <v/>
      </c>
    </row>
    <row r="5250" spans="18:20">
      <c r="R5250" s="24" t="str">
        <f t="shared" si="297"/>
        <v/>
      </c>
      <c r="S5250" s="24" t="str">
        <f t="shared" si="298"/>
        <v/>
      </c>
      <c r="T5250" t="str">
        <f t="shared" si="296"/>
        <v/>
      </c>
    </row>
    <row r="5251" spans="18:20">
      <c r="R5251" s="24" t="str">
        <f t="shared" si="297"/>
        <v/>
      </c>
      <c r="S5251" s="24" t="str">
        <f t="shared" si="298"/>
        <v/>
      </c>
      <c r="T5251" t="str">
        <f t="shared" si="296"/>
        <v/>
      </c>
    </row>
    <row r="5252" spans="18:20">
      <c r="R5252" s="24" t="str">
        <f t="shared" si="297"/>
        <v/>
      </c>
      <c r="S5252" s="24" t="str">
        <f t="shared" si="298"/>
        <v/>
      </c>
      <c r="T5252" t="str">
        <f t="shared" si="296"/>
        <v/>
      </c>
    </row>
    <row r="5253" spans="18:20">
      <c r="R5253" s="24" t="str">
        <f t="shared" si="297"/>
        <v/>
      </c>
      <c r="S5253" s="24" t="str">
        <f t="shared" si="298"/>
        <v/>
      </c>
      <c r="T5253" t="str">
        <f t="shared" si="296"/>
        <v/>
      </c>
    </row>
    <row r="5254" spans="18:20">
      <c r="R5254" s="24" t="str">
        <f t="shared" si="297"/>
        <v/>
      </c>
      <c r="S5254" s="24" t="str">
        <f t="shared" si="298"/>
        <v/>
      </c>
      <c r="T5254" t="str">
        <f t="shared" si="296"/>
        <v/>
      </c>
    </row>
    <row r="5255" spans="18:20">
      <c r="R5255" s="24" t="str">
        <f t="shared" si="297"/>
        <v/>
      </c>
      <c r="S5255" s="24" t="str">
        <f t="shared" si="298"/>
        <v/>
      </c>
      <c r="T5255" t="str">
        <f t="shared" si="296"/>
        <v/>
      </c>
    </row>
    <row r="5256" spans="18:20">
      <c r="R5256" s="24" t="str">
        <f t="shared" si="297"/>
        <v/>
      </c>
      <c r="S5256" s="24" t="str">
        <f t="shared" si="298"/>
        <v/>
      </c>
      <c r="T5256" t="str">
        <f t="shared" si="296"/>
        <v/>
      </c>
    </row>
    <row r="5257" spans="18:20">
      <c r="R5257" s="24" t="str">
        <f t="shared" si="297"/>
        <v/>
      </c>
      <c r="S5257" s="24" t="str">
        <f t="shared" si="298"/>
        <v/>
      </c>
      <c r="T5257" t="str">
        <f t="shared" si="296"/>
        <v/>
      </c>
    </row>
    <row r="5258" spans="18:20">
      <c r="R5258" s="24" t="str">
        <f t="shared" si="297"/>
        <v/>
      </c>
      <c r="S5258" s="24" t="str">
        <f t="shared" si="298"/>
        <v/>
      </c>
      <c r="T5258" t="str">
        <f t="shared" si="296"/>
        <v/>
      </c>
    </row>
    <row r="5259" spans="18:20">
      <c r="R5259" s="24" t="str">
        <f t="shared" si="297"/>
        <v/>
      </c>
      <c r="S5259" s="24" t="str">
        <f t="shared" si="298"/>
        <v/>
      </c>
      <c r="T5259" t="str">
        <f t="shared" si="296"/>
        <v/>
      </c>
    </row>
    <row r="5260" spans="18:20">
      <c r="R5260" s="24" t="str">
        <f t="shared" si="297"/>
        <v/>
      </c>
      <c r="S5260" s="24" t="str">
        <f t="shared" si="298"/>
        <v/>
      </c>
      <c r="T5260" t="str">
        <f t="shared" si="296"/>
        <v/>
      </c>
    </row>
    <row r="5261" spans="18:20">
      <c r="R5261" s="24" t="str">
        <f t="shared" si="297"/>
        <v/>
      </c>
      <c r="S5261" s="24" t="str">
        <f t="shared" si="298"/>
        <v/>
      </c>
      <c r="T5261" t="str">
        <f t="shared" si="296"/>
        <v/>
      </c>
    </row>
    <row r="5262" spans="18:20">
      <c r="R5262" s="24" t="str">
        <f t="shared" si="297"/>
        <v/>
      </c>
      <c r="S5262" s="24" t="str">
        <f t="shared" si="298"/>
        <v/>
      </c>
      <c r="T5262" t="str">
        <f t="shared" si="296"/>
        <v/>
      </c>
    </row>
    <row r="5263" spans="18:20">
      <c r="R5263" s="24" t="str">
        <f t="shared" si="297"/>
        <v/>
      </c>
      <c r="S5263" s="24" t="str">
        <f t="shared" si="298"/>
        <v/>
      </c>
      <c r="T5263" t="str">
        <f t="shared" ref="T5263:T5326" si="299">IF(OR(C5263="",I5263&lt;&gt;"ENTRADA"),"",TEXT(B5263,"AAMMDD")&amp;"-"&amp;TEXT(VALUE(SUBSTITUTE(A5263,"MOV-","")),"000"))</f>
        <v/>
      </c>
    </row>
    <row r="5264" spans="18:20">
      <c r="R5264" s="24" t="str">
        <f t="shared" ref="R5264:R5327" si="300">IF(H5264="","",H5264&amp;I5264)</f>
        <v/>
      </c>
      <c r="S5264" s="24" t="str">
        <f t="shared" ref="S5264:S5327" si="301">IF(C5264="","",C5264&amp;I5264)</f>
        <v/>
      </c>
      <c r="T5264" t="str">
        <f t="shared" si="299"/>
        <v/>
      </c>
    </row>
    <row r="5265" spans="18:20">
      <c r="R5265" s="24" t="str">
        <f t="shared" si="300"/>
        <v/>
      </c>
      <c r="S5265" s="24" t="str">
        <f t="shared" si="301"/>
        <v/>
      </c>
      <c r="T5265" t="str">
        <f t="shared" si="299"/>
        <v/>
      </c>
    </row>
    <row r="5266" spans="18:20">
      <c r="R5266" s="24" t="str">
        <f t="shared" si="300"/>
        <v/>
      </c>
      <c r="S5266" s="24" t="str">
        <f t="shared" si="301"/>
        <v/>
      </c>
      <c r="T5266" t="str">
        <f t="shared" si="299"/>
        <v/>
      </c>
    </row>
    <row r="5267" spans="18:20">
      <c r="R5267" s="24" t="str">
        <f t="shared" si="300"/>
        <v/>
      </c>
      <c r="S5267" s="24" t="str">
        <f t="shared" si="301"/>
        <v/>
      </c>
      <c r="T5267" t="str">
        <f t="shared" si="299"/>
        <v/>
      </c>
    </row>
    <row r="5268" spans="18:20">
      <c r="R5268" s="24" t="str">
        <f t="shared" si="300"/>
        <v/>
      </c>
      <c r="S5268" s="24" t="str">
        <f t="shared" si="301"/>
        <v/>
      </c>
      <c r="T5268" t="str">
        <f t="shared" si="299"/>
        <v/>
      </c>
    </row>
    <row r="5269" spans="18:20">
      <c r="R5269" s="24" t="str">
        <f t="shared" si="300"/>
        <v/>
      </c>
      <c r="S5269" s="24" t="str">
        <f t="shared" si="301"/>
        <v/>
      </c>
      <c r="T5269" t="str">
        <f t="shared" si="299"/>
        <v/>
      </c>
    </row>
    <row r="5270" spans="18:20">
      <c r="R5270" s="24" t="str">
        <f t="shared" si="300"/>
        <v/>
      </c>
      <c r="S5270" s="24" t="str">
        <f t="shared" si="301"/>
        <v/>
      </c>
      <c r="T5270" t="str">
        <f t="shared" si="299"/>
        <v/>
      </c>
    </row>
    <row r="5271" spans="18:20">
      <c r="R5271" s="24" t="str">
        <f t="shared" si="300"/>
        <v/>
      </c>
      <c r="S5271" s="24" t="str">
        <f t="shared" si="301"/>
        <v/>
      </c>
      <c r="T5271" t="str">
        <f t="shared" si="299"/>
        <v/>
      </c>
    </row>
    <row r="5272" spans="18:20">
      <c r="R5272" s="24" t="str">
        <f t="shared" si="300"/>
        <v/>
      </c>
      <c r="S5272" s="24" t="str">
        <f t="shared" si="301"/>
        <v/>
      </c>
      <c r="T5272" t="str">
        <f t="shared" si="299"/>
        <v/>
      </c>
    </row>
    <row r="5273" spans="18:20">
      <c r="R5273" s="24" t="str">
        <f t="shared" si="300"/>
        <v/>
      </c>
      <c r="S5273" s="24" t="str">
        <f t="shared" si="301"/>
        <v/>
      </c>
      <c r="T5273" t="str">
        <f t="shared" si="299"/>
        <v/>
      </c>
    </row>
    <row r="5274" spans="18:20">
      <c r="R5274" s="24" t="str">
        <f t="shared" si="300"/>
        <v/>
      </c>
      <c r="S5274" s="24" t="str">
        <f t="shared" si="301"/>
        <v/>
      </c>
      <c r="T5274" t="str">
        <f t="shared" si="299"/>
        <v/>
      </c>
    </row>
    <row r="5275" spans="18:20">
      <c r="R5275" s="24" t="str">
        <f t="shared" si="300"/>
        <v/>
      </c>
      <c r="S5275" s="24" t="str">
        <f t="shared" si="301"/>
        <v/>
      </c>
      <c r="T5275" t="str">
        <f t="shared" si="299"/>
        <v/>
      </c>
    </row>
    <row r="5276" spans="18:20">
      <c r="R5276" s="24" t="str">
        <f t="shared" si="300"/>
        <v/>
      </c>
      <c r="S5276" s="24" t="str">
        <f t="shared" si="301"/>
        <v/>
      </c>
      <c r="T5276" t="str">
        <f t="shared" si="299"/>
        <v/>
      </c>
    </row>
    <row r="5277" spans="18:20">
      <c r="R5277" s="24" t="str">
        <f t="shared" si="300"/>
        <v/>
      </c>
      <c r="S5277" s="24" t="str">
        <f t="shared" si="301"/>
        <v/>
      </c>
      <c r="T5277" t="str">
        <f t="shared" si="299"/>
        <v/>
      </c>
    </row>
    <row r="5278" spans="18:20">
      <c r="R5278" s="24" t="str">
        <f t="shared" si="300"/>
        <v/>
      </c>
      <c r="S5278" s="24" t="str">
        <f t="shared" si="301"/>
        <v/>
      </c>
      <c r="T5278" t="str">
        <f t="shared" si="299"/>
        <v/>
      </c>
    </row>
    <row r="5279" spans="18:20">
      <c r="R5279" s="24" t="str">
        <f t="shared" si="300"/>
        <v/>
      </c>
      <c r="S5279" s="24" t="str">
        <f t="shared" si="301"/>
        <v/>
      </c>
      <c r="T5279" t="str">
        <f t="shared" si="299"/>
        <v/>
      </c>
    </row>
    <row r="5280" spans="18:20">
      <c r="R5280" s="24" t="str">
        <f t="shared" si="300"/>
        <v/>
      </c>
      <c r="S5280" s="24" t="str">
        <f t="shared" si="301"/>
        <v/>
      </c>
      <c r="T5280" t="str">
        <f t="shared" si="299"/>
        <v/>
      </c>
    </row>
    <row r="5281" spans="18:20">
      <c r="R5281" s="24" t="str">
        <f t="shared" si="300"/>
        <v/>
      </c>
      <c r="S5281" s="24" t="str">
        <f t="shared" si="301"/>
        <v/>
      </c>
      <c r="T5281" t="str">
        <f t="shared" si="299"/>
        <v/>
      </c>
    </row>
    <row r="5282" spans="18:20">
      <c r="R5282" s="24" t="str">
        <f t="shared" si="300"/>
        <v/>
      </c>
      <c r="S5282" s="24" t="str">
        <f t="shared" si="301"/>
        <v/>
      </c>
      <c r="T5282" t="str">
        <f t="shared" si="299"/>
        <v/>
      </c>
    </row>
    <row r="5283" spans="18:20">
      <c r="R5283" s="24" t="str">
        <f t="shared" si="300"/>
        <v/>
      </c>
      <c r="S5283" s="24" t="str">
        <f t="shared" si="301"/>
        <v/>
      </c>
      <c r="T5283" t="str">
        <f t="shared" si="299"/>
        <v/>
      </c>
    </row>
    <row r="5284" spans="18:20">
      <c r="R5284" s="24" t="str">
        <f t="shared" si="300"/>
        <v/>
      </c>
      <c r="S5284" s="24" t="str">
        <f t="shared" si="301"/>
        <v/>
      </c>
      <c r="T5284" t="str">
        <f t="shared" si="299"/>
        <v/>
      </c>
    </row>
    <row r="5285" spans="18:20">
      <c r="R5285" s="24" t="str">
        <f t="shared" si="300"/>
        <v/>
      </c>
      <c r="S5285" s="24" t="str">
        <f t="shared" si="301"/>
        <v/>
      </c>
      <c r="T5285" t="str">
        <f t="shared" si="299"/>
        <v/>
      </c>
    </row>
    <row r="5286" spans="18:20">
      <c r="R5286" s="24" t="str">
        <f t="shared" si="300"/>
        <v/>
      </c>
      <c r="S5286" s="24" t="str">
        <f t="shared" si="301"/>
        <v/>
      </c>
      <c r="T5286" t="str">
        <f t="shared" si="299"/>
        <v/>
      </c>
    </row>
    <row r="5287" spans="18:20">
      <c r="R5287" s="24" t="str">
        <f t="shared" si="300"/>
        <v/>
      </c>
      <c r="S5287" s="24" t="str">
        <f t="shared" si="301"/>
        <v/>
      </c>
      <c r="T5287" t="str">
        <f t="shared" si="299"/>
        <v/>
      </c>
    </row>
    <row r="5288" spans="18:20">
      <c r="R5288" s="24" t="str">
        <f t="shared" si="300"/>
        <v/>
      </c>
      <c r="S5288" s="24" t="str">
        <f t="shared" si="301"/>
        <v/>
      </c>
      <c r="T5288" t="str">
        <f t="shared" si="299"/>
        <v/>
      </c>
    </row>
    <row r="5289" spans="18:20">
      <c r="R5289" s="24" t="str">
        <f t="shared" si="300"/>
        <v/>
      </c>
      <c r="S5289" s="24" t="str">
        <f t="shared" si="301"/>
        <v/>
      </c>
      <c r="T5289" t="str">
        <f t="shared" si="299"/>
        <v/>
      </c>
    </row>
    <row r="5290" spans="18:20">
      <c r="R5290" s="24" t="str">
        <f t="shared" si="300"/>
        <v/>
      </c>
      <c r="S5290" s="24" t="str">
        <f t="shared" si="301"/>
        <v/>
      </c>
      <c r="T5290" t="str">
        <f t="shared" si="299"/>
        <v/>
      </c>
    </row>
    <row r="5291" spans="18:20">
      <c r="R5291" s="24" t="str">
        <f t="shared" si="300"/>
        <v/>
      </c>
      <c r="S5291" s="24" t="str">
        <f t="shared" si="301"/>
        <v/>
      </c>
      <c r="T5291" t="str">
        <f t="shared" si="299"/>
        <v/>
      </c>
    </row>
    <row r="5292" spans="18:20">
      <c r="R5292" s="24" t="str">
        <f t="shared" si="300"/>
        <v/>
      </c>
      <c r="S5292" s="24" t="str">
        <f t="shared" si="301"/>
        <v/>
      </c>
      <c r="T5292" t="str">
        <f t="shared" si="299"/>
        <v/>
      </c>
    </row>
    <row r="5293" spans="18:20">
      <c r="R5293" s="24" t="str">
        <f t="shared" si="300"/>
        <v/>
      </c>
      <c r="S5293" s="24" t="str">
        <f t="shared" si="301"/>
        <v/>
      </c>
      <c r="T5293" t="str">
        <f t="shared" si="299"/>
        <v/>
      </c>
    </row>
    <row r="5294" spans="18:20">
      <c r="R5294" s="24" t="str">
        <f t="shared" si="300"/>
        <v/>
      </c>
      <c r="S5294" s="24" t="str">
        <f t="shared" si="301"/>
        <v/>
      </c>
      <c r="T5294" t="str">
        <f t="shared" si="299"/>
        <v/>
      </c>
    </row>
    <row r="5295" spans="18:20">
      <c r="R5295" s="24" t="str">
        <f t="shared" si="300"/>
        <v/>
      </c>
      <c r="S5295" s="24" t="str">
        <f t="shared" si="301"/>
        <v/>
      </c>
      <c r="T5295" t="str">
        <f t="shared" si="299"/>
        <v/>
      </c>
    </row>
    <row r="5296" spans="18:20">
      <c r="R5296" s="24" t="str">
        <f t="shared" si="300"/>
        <v/>
      </c>
      <c r="S5296" s="24" t="str">
        <f t="shared" si="301"/>
        <v/>
      </c>
      <c r="T5296" t="str">
        <f t="shared" si="299"/>
        <v/>
      </c>
    </row>
    <row r="5297" spans="18:20">
      <c r="R5297" s="24" t="str">
        <f t="shared" si="300"/>
        <v/>
      </c>
      <c r="S5297" s="24" t="str">
        <f t="shared" si="301"/>
        <v/>
      </c>
      <c r="T5297" t="str">
        <f t="shared" si="299"/>
        <v/>
      </c>
    </row>
    <row r="5298" spans="18:20">
      <c r="R5298" s="24" t="str">
        <f t="shared" si="300"/>
        <v/>
      </c>
      <c r="S5298" s="24" t="str">
        <f t="shared" si="301"/>
        <v/>
      </c>
      <c r="T5298" t="str">
        <f t="shared" si="299"/>
        <v/>
      </c>
    </row>
    <row r="5299" spans="18:20">
      <c r="R5299" s="24" t="str">
        <f t="shared" si="300"/>
        <v/>
      </c>
      <c r="S5299" s="24" t="str">
        <f t="shared" si="301"/>
        <v/>
      </c>
      <c r="T5299" t="str">
        <f t="shared" si="299"/>
        <v/>
      </c>
    </row>
    <row r="5300" spans="18:20">
      <c r="R5300" s="24" t="str">
        <f t="shared" si="300"/>
        <v/>
      </c>
      <c r="S5300" s="24" t="str">
        <f t="shared" si="301"/>
        <v/>
      </c>
      <c r="T5300" t="str">
        <f t="shared" si="299"/>
        <v/>
      </c>
    </row>
    <row r="5301" spans="18:20">
      <c r="R5301" s="24" t="str">
        <f t="shared" si="300"/>
        <v/>
      </c>
      <c r="S5301" s="24" t="str">
        <f t="shared" si="301"/>
        <v/>
      </c>
      <c r="T5301" t="str">
        <f t="shared" si="299"/>
        <v/>
      </c>
    </row>
    <row r="5302" spans="18:20">
      <c r="R5302" s="24" t="str">
        <f t="shared" si="300"/>
        <v/>
      </c>
      <c r="S5302" s="24" t="str">
        <f t="shared" si="301"/>
        <v/>
      </c>
      <c r="T5302" t="str">
        <f t="shared" si="299"/>
        <v/>
      </c>
    </row>
    <row r="5303" spans="18:20">
      <c r="R5303" s="24" t="str">
        <f t="shared" si="300"/>
        <v/>
      </c>
      <c r="S5303" s="24" t="str">
        <f t="shared" si="301"/>
        <v/>
      </c>
      <c r="T5303" t="str">
        <f t="shared" si="299"/>
        <v/>
      </c>
    </row>
    <row r="5304" spans="18:20">
      <c r="R5304" s="24" t="str">
        <f t="shared" si="300"/>
        <v/>
      </c>
      <c r="S5304" s="24" t="str">
        <f t="shared" si="301"/>
        <v/>
      </c>
      <c r="T5304" t="str">
        <f t="shared" si="299"/>
        <v/>
      </c>
    </row>
    <row r="5305" spans="18:20">
      <c r="R5305" s="24" t="str">
        <f t="shared" si="300"/>
        <v/>
      </c>
      <c r="S5305" s="24" t="str">
        <f t="shared" si="301"/>
        <v/>
      </c>
      <c r="T5305" t="str">
        <f t="shared" si="299"/>
        <v/>
      </c>
    </row>
    <row r="5306" spans="18:20">
      <c r="R5306" s="24" t="str">
        <f t="shared" si="300"/>
        <v/>
      </c>
      <c r="S5306" s="24" t="str">
        <f t="shared" si="301"/>
        <v/>
      </c>
      <c r="T5306" t="str">
        <f t="shared" si="299"/>
        <v/>
      </c>
    </row>
    <row r="5307" spans="18:20">
      <c r="R5307" s="24" t="str">
        <f t="shared" si="300"/>
        <v/>
      </c>
      <c r="S5307" s="24" t="str">
        <f t="shared" si="301"/>
        <v/>
      </c>
      <c r="T5307" t="str">
        <f t="shared" si="299"/>
        <v/>
      </c>
    </row>
    <row r="5308" spans="18:20">
      <c r="R5308" s="24" t="str">
        <f t="shared" si="300"/>
        <v/>
      </c>
      <c r="S5308" s="24" t="str">
        <f t="shared" si="301"/>
        <v/>
      </c>
      <c r="T5308" t="str">
        <f t="shared" si="299"/>
        <v/>
      </c>
    </row>
    <row r="5309" spans="18:20">
      <c r="R5309" s="24" t="str">
        <f t="shared" si="300"/>
        <v/>
      </c>
      <c r="S5309" s="24" t="str">
        <f t="shared" si="301"/>
        <v/>
      </c>
      <c r="T5309" t="str">
        <f t="shared" si="299"/>
        <v/>
      </c>
    </row>
    <row r="5310" spans="18:20">
      <c r="R5310" s="24" t="str">
        <f t="shared" si="300"/>
        <v/>
      </c>
      <c r="S5310" s="24" t="str">
        <f t="shared" si="301"/>
        <v/>
      </c>
      <c r="T5310" t="str">
        <f t="shared" si="299"/>
        <v/>
      </c>
    </row>
    <row r="5311" spans="18:20">
      <c r="R5311" s="24" t="str">
        <f t="shared" si="300"/>
        <v/>
      </c>
      <c r="S5311" s="24" t="str">
        <f t="shared" si="301"/>
        <v/>
      </c>
      <c r="T5311" t="str">
        <f t="shared" si="299"/>
        <v/>
      </c>
    </row>
    <row r="5312" spans="18:20">
      <c r="R5312" s="24" t="str">
        <f t="shared" si="300"/>
        <v/>
      </c>
      <c r="S5312" s="24" t="str">
        <f t="shared" si="301"/>
        <v/>
      </c>
      <c r="T5312" t="str">
        <f t="shared" si="299"/>
        <v/>
      </c>
    </row>
    <row r="5313" spans="18:20">
      <c r="R5313" s="24" t="str">
        <f t="shared" si="300"/>
        <v/>
      </c>
      <c r="S5313" s="24" t="str">
        <f t="shared" si="301"/>
        <v/>
      </c>
      <c r="T5313" t="str">
        <f t="shared" si="299"/>
        <v/>
      </c>
    </row>
    <row r="5314" spans="18:20">
      <c r="R5314" s="24" t="str">
        <f t="shared" si="300"/>
        <v/>
      </c>
      <c r="S5314" s="24" t="str">
        <f t="shared" si="301"/>
        <v/>
      </c>
      <c r="T5314" t="str">
        <f t="shared" si="299"/>
        <v/>
      </c>
    </row>
    <row r="5315" spans="18:20">
      <c r="R5315" s="24" t="str">
        <f t="shared" si="300"/>
        <v/>
      </c>
      <c r="S5315" s="24" t="str">
        <f t="shared" si="301"/>
        <v/>
      </c>
      <c r="T5315" t="str">
        <f t="shared" si="299"/>
        <v/>
      </c>
    </row>
    <row r="5316" spans="18:20">
      <c r="R5316" s="24" t="str">
        <f t="shared" si="300"/>
        <v/>
      </c>
      <c r="S5316" s="24" t="str">
        <f t="shared" si="301"/>
        <v/>
      </c>
      <c r="T5316" t="str">
        <f t="shared" si="299"/>
        <v/>
      </c>
    </row>
    <row r="5317" spans="18:20">
      <c r="R5317" s="24" t="str">
        <f t="shared" si="300"/>
        <v/>
      </c>
      <c r="S5317" s="24" t="str">
        <f t="shared" si="301"/>
        <v/>
      </c>
      <c r="T5317" t="str">
        <f t="shared" si="299"/>
        <v/>
      </c>
    </row>
    <row r="5318" spans="18:20">
      <c r="R5318" s="24" t="str">
        <f t="shared" si="300"/>
        <v/>
      </c>
      <c r="S5318" s="24" t="str">
        <f t="shared" si="301"/>
        <v/>
      </c>
      <c r="T5318" t="str">
        <f t="shared" si="299"/>
        <v/>
      </c>
    </row>
    <row r="5319" spans="18:20">
      <c r="R5319" s="24" t="str">
        <f t="shared" si="300"/>
        <v/>
      </c>
      <c r="S5319" s="24" t="str">
        <f t="shared" si="301"/>
        <v/>
      </c>
      <c r="T5319" t="str">
        <f t="shared" si="299"/>
        <v/>
      </c>
    </row>
    <row r="5320" spans="18:20">
      <c r="R5320" s="24" t="str">
        <f t="shared" si="300"/>
        <v/>
      </c>
      <c r="S5320" s="24" t="str">
        <f t="shared" si="301"/>
        <v/>
      </c>
      <c r="T5320" t="str">
        <f t="shared" si="299"/>
        <v/>
      </c>
    </row>
    <row r="5321" spans="18:20">
      <c r="R5321" s="24" t="str">
        <f t="shared" si="300"/>
        <v/>
      </c>
      <c r="S5321" s="24" t="str">
        <f t="shared" si="301"/>
        <v/>
      </c>
      <c r="T5321" t="str">
        <f t="shared" si="299"/>
        <v/>
      </c>
    </row>
    <row r="5322" spans="18:20">
      <c r="R5322" s="24" t="str">
        <f t="shared" si="300"/>
        <v/>
      </c>
      <c r="S5322" s="24" t="str">
        <f t="shared" si="301"/>
        <v/>
      </c>
      <c r="T5322" t="str">
        <f t="shared" si="299"/>
        <v/>
      </c>
    </row>
    <row r="5323" spans="18:20">
      <c r="R5323" s="24" t="str">
        <f t="shared" si="300"/>
        <v/>
      </c>
      <c r="S5323" s="24" t="str">
        <f t="shared" si="301"/>
        <v/>
      </c>
      <c r="T5323" t="str">
        <f t="shared" si="299"/>
        <v/>
      </c>
    </row>
    <row r="5324" spans="18:20">
      <c r="R5324" s="24" t="str">
        <f t="shared" si="300"/>
        <v/>
      </c>
      <c r="S5324" s="24" t="str">
        <f t="shared" si="301"/>
        <v/>
      </c>
      <c r="T5324" t="str">
        <f t="shared" si="299"/>
        <v/>
      </c>
    </row>
    <row r="5325" spans="18:20">
      <c r="R5325" s="24" t="str">
        <f t="shared" si="300"/>
        <v/>
      </c>
      <c r="S5325" s="24" t="str">
        <f t="shared" si="301"/>
        <v/>
      </c>
      <c r="T5325" t="str">
        <f t="shared" si="299"/>
        <v/>
      </c>
    </row>
    <row r="5326" spans="18:20">
      <c r="R5326" s="24" t="str">
        <f t="shared" si="300"/>
        <v/>
      </c>
      <c r="S5326" s="24" t="str">
        <f t="shared" si="301"/>
        <v/>
      </c>
      <c r="T5326" t="str">
        <f t="shared" si="299"/>
        <v/>
      </c>
    </row>
    <row r="5327" spans="18:20">
      <c r="R5327" s="24" t="str">
        <f t="shared" si="300"/>
        <v/>
      </c>
      <c r="S5327" s="24" t="str">
        <f t="shared" si="301"/>
        <v/>
      </c>
      <c r="T5327" t="str">
        <f t="shared" ref="T5327:T5390" si="302">IF(OR(C5327="",I5327&lt;&gt;"ENTRADA"),"",TEXT(B5327,"AAMMDD")&amp;"-"&amp;TEXT(VALUE(SUBSTITUTE(A5327,"MOV-","")),"000"))</f>
        <v/>
      </c>
    </row>
    <row r="5328" spans="18:20">
      <c r="R5328" s="24" t="str">
        <f t="shared" ref="R5328:R5391" si="303">IF(H5328="","",H5328&amp;I5328)</f>
        <v/>
      </c>
      <c r="S5328" s="24" t="str">
        <f t="shared" ref="S5328:S5391" si="304">IF(C5328="","",C5328&amp;I5328)</f>
        <v/>
      </c>
      <c r="T5328" t="str">
        <f t="shared" si="302"/>
        <v/>
      </c>
    </row>
    <row r="5329" spans="18:20">
      <c r="R5329" s="24" t="str">
        <f t="shared" si="303"/>
        <v/>
      </c>
      <c r="S5329" s="24" t="str">
        <f t="shared" si="304"/>
        <v/>
      </c>
      <c r="T5329" t="str">
        <f t="shared" si="302"/>
        <v/>
      </c>
    </row>
    <row r="5330" spans="18:20">
      <c r="R5330" s="24" t="str">
        <f t="shared" si="303"/>
        <v/>
      </c>
      <c r="S5330" s="24" t="str">
        <f t="shared" si="304"/>
        <v/>
      </c>
      <c r="T5330" t="str">
        <f t="shared" si="302"/>
        <v/>
      </c>
    </row>
    <row r="5331" spans="18:20">
      <c r="R5331" s="24" t="str">
        <f t="shared" si="303"/>
        <v/>
      </c>
      <c r="S5331" s="24" t="str">
        <f t="shared" si="304"/>
        <v/>
      </c>
      <c r="T5331" t="str">
        <f t="shared" si="302"/>
        <v/>
      </c>
    </row>
    <row r="5332" spans="18:20">
      <c r="R5332" s="24" t="str">
        <f t="shared" si="303"/>
        <v/>
      </c>
      <c r="S5332" s="24" t="str">
        <f t="shared" si="304"/>
        <v/>
      </c>
      <c r="T5332" t="str">
        <f t="shared" si="302"/>
        <v/>
      </c>
    </row>
    <row r="5333" spans="18:20">
      <c r="R5333" s="24" t="str">
        <f t="shared" si="303"/>
        <v/>
      </c>
      <c r="S5333" s="24" t="str">
        <f t="shared" si="304"/>
        <v/>
      </c>
      <c r="T5333" t="str">
        <f t="shared" si="302"/>
        <v/>
      </c>
    </row>
    <row r="5334" spans="18:20">
      <c r="R5334" s="24" t="str">
        <f t="shared" si="303"/>
        <v/>
      </c>
      <c r="S5334" s="24" t="str">
        <f t="shared" si="304"/>
        <v/>
      </c>
      <c r="T5334" t="str">
        <f t="shared" si="302"/>
        <v/>
      </c>
    </row>
    <row r="5335" spans="18:20">
      <c r="R5335" s="24" t="str">
        <f t="shared" si="303"/>
        <v/>
      </c>
      <c r="S5335" s="24" t="str">
        <f t="shared" si="304"/>
        <v/>
      </c>
      <c r="T5335" t="str">
        <f t="shared" si="302"/>
        <v/>
      </c>
    </row>
    <row r="5336" spans="18:20">
      <c r="R5336" s="24" t="str">
        <f t="shared" si="303"/>
        <v/>
      </c>
      <c r="S5336" s="24" t="str">
        <f t="shared" si="304"/>
        <v/>
      </c>
      <c r="T5336" t="str">
        <f t="shared" si="302"/>
        <v/>
      </c>
    </row>
    <row r="5337" spans="18:20">
      <c r="R5337" s="24" t="str">
        <f t="shared" si="303"/>
        <v/>
      </c>
      <c r="S5337" s="24" t="str">
        <f t="shared" si="304"/>
        <v/>
      </c>
      <c r="T5337" t="str">
        <f t="shared" si="302"/>
        <v/>
      </c>
    </row>
    <row r="5338" spans="18:20">
      <c r="R5338" s="24" t="str">
        <f t="shared" si="303"/>
        <v/>
      </c>
      <c r="S5338" s="24" t="str">
        <f t="shared" si="304"/>
        <v/>
      </c>
      <c r="T5338" t="str">
        <f t="shared" si="302"/>
        <v/>
      </c>
    </row>
    <row r="5339" spans="18:20">
      <c r="R5339" s="24" t="str">
        <f t="shared" si="303"/>
        <v/>
      </c>
      <c r="S5339" s="24" t="str">
        <f t="shared" si="304"/>
        <v/>
      </c>
      <c r="T5339" t="str">
        <f t="shared" si="302"/>
        <v/>
      </c>
    </row>
    <row r="5340" spans="18:20">
      <c r="R5340" s="24" t="str">
        <f t="shared" si="303"/>
        <v/>
      </c>
      <c r="S5340" s="24" t="str">
        <f t="shared" si="304"/>
        <v/>
      </c>
      <c r="T5340" t="str">
        <f t="shared" si="302"/>
        <v/>
      </c>
    </row>
    <row r="5341" spans="18:20">
      <c r="R5341" s="24" t="str">
        <f t="shared" si="303"/>
        <v/>
      </c>
      <c r="S5341" s="24" t="str">
        <f t="shared" si="304"/>
        <v/>
      </c>
      <c r="T5341" t="str">
        <f t="shared" si="302"/>
        <v/>
      </c>
    </row>
    <row r="5342" spans="18:20">
      <c r="R5342" s="24" t="str">
        <f t="shared" si="303"/>
        <v/>
      </c>
      <c r="S5342" s="24" t="str">
        <f t="shared" si="304"/>
        <v/>
      </c>
      <c r="T5342" t="str">
        <f t="shared" si="302"/>
        <v/>
      </c>
    </row>
    <row r="5343" spans="18:20">
      <c r="R5343" s="24" t="str">
        <f t="shared" si="303"/>
        <v/>
      </c>
      <c r="S5343" s="24" t="str">
        <f t="shared" si="304"/>
        <v/>
      </c>
      <c r="T5343" t="str">
        <f t="shared" si="302"/>
        <v/>
      </c>
    </row>
    <row r="5344" spans="18:20">
      <c r="R5344" s="24" t="str">
        <f t="shared" si="303"/>
        <v/>
      </c>
      <c r="S5344" s="24" t="str">
        <f t="shared" si="304"/>
        <v/>
      </c>
      <c r="T5344" t="str">
        <f t="shared" si="302"/>
        <v/>
      </c>
    </row>
    <row r="5345" spans="18:20">
      <c r="R5345" s="24" t="str">
        <f t="shared" si="303"/>
        <v/>
      </c>
      <c r="S5345" s="24" t="str">
        <f t="shared" si="304"/>
        <v/>
      </c>
      <c r="T5345" t="str">
        <f t="shared" si="302"/>
        <v/>
      </c>
    </row>
    <row r="5346" spans="18:20">
      <c r="R5346" s="24" t="str">
        <f t="shared" si="303"/>
        <v/>
      </c>
      <c r="S5346" s="24" t="str">
        <f t="shared" si="304"/>
        <v/>
      </c>
      <c r="T5346" t="str">
        <f t="shared" si="302"/>
        <v/>
      </c>
    </row>
    <row r="5347" spans="18:20">
      <c r="R5347" s="24" t="str">
        <f t="shared" si="303"/>
        <v/>
      </c>
      <c r="S5347" s="24" t="str">
        <f t="shared" si="304"/>
        <v/>
      </c>
      <c r="T5347" t="str">
        <f t="shared" si="302"/>
        <v/>
      </c>
    </row>
    <row r="5348" spans="18:20">
      <c r="R5348" s="24" t="str">
        <f t="shared" si="303"/>
        <v/>
      </c>
      <c r="S5348" s="24" t="str">
        <f t="shared" si="304"/>
        <v/>
      </c>
      <c r="T5348" t="str">
        <f t="shared" si="302"/>
        <v/>
      </c>
    </row>
    <row r="5349" spans="18:20">
      <c r="R5349" s="24" t="str">
        <f t="shared" si="303"/>
        <v/>
      </c>
      <c r="S5349" s="24" t="str">
        <f t="shared" si="304"/>
        <v/>
      </c>
      <c r="T5349" t="str">
        <f t="shared" si="302"/>
        <v/>
      </c>
    </row>
    <row r="5350" spans="18:20">
      <c r="R5350" s="24" t="str">
        <f t="shared" si="303"/>
        <v/>
      </c>
      <c r="S5350" s="24" t="str">
        <f t="shared" si="304"/>
        <v/>
      </c>
      <c r="T5350" t="str">
        <f t="shared" si="302"/>
        <v/>
      </c>
    </row>
    <row r="5351" spans="18:20">
      <c r="R5351" s="24" t="str">
        <f t="shared" si="303"/>
        <v/>
      </c>
      <c r="S5351" s="24" t="str">
        <f t="shared" si="304"/>
        <v/>
      </c>
      <c r="T5351" t="str">
        <f t="shared" si="302"/>
        <v/>
      </c>
    </row>
    <row r="5352" spans="18:20">
      <c r="R5352" s="24" t="str">
        <f t="shared" si="303"/>
        <v/>
      </c>
      <c r="S5352" s="24" t="str">
        <f t="shared" si="304"/>
        <v/>
      </c>
      <c r="T5352" t="str">
        <f t="shared" si="302"/>
        <v/>
      </c>
    </row>
    <row r="5353" spans="18:20">
      <c r="R5353" s="24" t="str">
        <f t="shared" si="303"/>
        <v/>
      </c>
      <c r="S5353" s="24" t="str">
        <f t="shared" si="304"/>
        <v/>
      </c>
      <c r="T5353" t="str">
        <f t="shared" si="302"/>
        <v/>
      </c>
    </row>
    <row r="5354" spans="18:20">
      <c r="R5354" s="24" t="str">
        <f t="shared" si="303"/>
        <v/>
      </c>
      <c r="S5354" s="24" t="str">
        <f t="shared" si="304"/>
        <v/>
      </c>
      <c r="T5354" t="str">
        <f t="shared" si="302"/>
        <v/>
      </c>
    </row>
    <row r="5355" spans="18:20">
      <c r="R5355" s="24" t="str">
        <f t="shared" si="303"/>
        <v/>
      </c>
      <c r="S5355" s="24" t="str">
        <f t="shared" si="304"/>
        <v/>
      </c>
      <c r="T5355" t="str">
        <f t="shared" si="302"/>
        <v/>
      </c>
    </row>
    <row r="5356" spans="18:20">
      <c r="R5356" s="24" t="str">
        <f t="shared" si="303"/>
        <v/>
      </c>
      <c r="S5356" s="24" t="str">
        <f t="shared" si="304"/>
        <v/>
      </c>
      <c r="T5356" t="str">
        <f t="shared" si="302"/>
        <v/>
      </c>
    </row>
    <row r="5357" spans="18:20">
      <c r="R5357" s="24" t="str">
        <f t="shared" si="303"/>
        <v/>
      </c>
      <c r="S5357" s="24" t="str">
        <f t="shared" si="304"/>
        <v/>
      </c>
      <c r="T5357" t="str">
        <f t="shared" si="302"/>
        <v/>
      </c>
    </row>
    <row r="5358" spans="18:20">
      <c r="R5358" s="24" t="str">
        <f t="shared" si="303"/>
        <v/>
      </c>
      <c r="S5358" s="24" t="str">
        <f t="shared" si="304"/>
        <v/>
      </c>
      <c r="T5358" t="str">
        <f t="shared" si="302"/>
        <v/>
      </c>
    </row>
    <row r="5359" spans="18:20">
      <c r="R5359" s="24" t="str">
        <f t="shared" si="303"/>
        <v/>
      </c>
      <c r="S5359" s="24" t="str">
        <f t="shared" si="304"/>
        <v/>
      </c>
      <c r="T5359" t="str">
        <f t="shared" si="302"/>
        <v/>
      </c>
    </row>
    <row r="5360" spans="18:20">
      <c r="R5360" s="24" t="str">
        <f t="shared" si="303"/>
        <v/>
      </c>
      <c r="S5360" s="24" t="str">
        <f t="shared" si="304"/>
        <v/>
      </c>
      <c r="T5360" t="str">
        <f t="shared" si="302"/>
        <v/>
      </c>
    </row>
    <row r="5361" spans="18:20">
      <c r="R5361" s="24" t="str">
        <f t="shared" si="303"/>
        <v/>
      </c>
      <c r="S5361" s="24" t="str">
        <f t="shared" si="304"/>
        <v/>
      </c>
      <c r="T5361" t="str">
        <f t="shared" si="302"/>
        <v/>
      </c>
    </row>
    <row r="5362" spans="18:20">
      <c r="R5362" s="24" t="str">
        <f t="shared" si="303"/>
        <v/>
      </c>
      <c r="S5362" s="24" t="str">
        <f t="shared" si="304"/>
        <v/>
      </c>
      <c r="T5362" t="str">
        <f t="shared" si="302"/>
        <v/>
      </c>
    </row>
    <row r="5363" spans="18:20">
      <c r="R5363" s="24" t="str">
        <f t="shared" si="303"/>
        <v/>
      </c>
      <c r="S5363" s="24" t="str">
        <f t="shared" si="304"/>
        <v/>
      </c>
      <c r="T5363" t="str">
        <f t="shared" si="302"/>
        <v/>
      </c>
    </row>
    <row r="5364" spans="18:20">
      <c r="R5364" s="24" t="str">
        <f t="shared" si="303"/>
        <v/>
      </c>
      <c r="S5364" s="24" t="str">
        <f t="shared" si="304"/>
        <v/>
      </c>
      <c r="T5364" t="str">
        <f t="shared" si="302"/>
        <v/>
      </c>
    </row>
    <row r="5365" spans="18:20">
      <c r="R5365" s="24" t="str">
        <f t="shared" si="303"/>
        <v/>
      </c>
      <c r="S5365" s="24" t="str">
        <f t="shared" si="304"/>
        <v/>
      </c>
      <c r="T5365" t="str">
        <f t="shared" si="302"/>
        <v/>
      </c>
    </row>
    <row r="5366" spans="18:20">
      <c r="R5366" s="24" t="str">
        <f t="shared" si="303"/>
        <v/>
      </c>
      <c r="S5366" s="24" t="str">
        <f t="shared" si="304"/>
        <v/>
      </c>
      <c r="T5366" t="str">
        <f t="shared" si="302"/>
        <v/>
      </c>
    </row>
    <row r="5367" spans="18:20">
      <c r="R5367" s="24" t="str">
        <f t="shared" si="303"/>
        <v/>
      </c>
      <c r="S5367" s="24" t="str">
        <f t="shared" si="304"/>
        <v/>
      </c>
      <c r="T5367" t="str">
        <f t="shared" si="302"/>
        <v/>
      </c>
    </row>
    <row r="5368" spans="18:20">
      <c r="R5368" s="24" t="str">
        <f t="shared" si="303"/>
        <v/>
      </c>
      <c r="S5368" s="24" t="str">
        <f t="shared" si="304"/>
        <v/>
      </c>
      <c r="T5368" t="str">
        <f t="shared" si="302"/>
        <v/>
      </c>
    </row>
    <row r="5369" spans="18:20">
      <c r="R5369" s="24" t="str">
        <f t="shared" si="303"/>
        <v/>
      </c>
      <c r="S5369" s="24" t="str">
        <f t="shared" si="304"/>
        <v/>
      </c>
      <c r="T5369" t="str">
        <f t="shared" si="302"/>
        <v/>
      </c>
    </row>
    <row r="5370" spans="18:20">
      <c r="R5370" s="24" t="str">
        <f t="shared" si="303"/>
        <v/>
      </c>
      <c r="S5370" s="24" t="str">
        <f t="shared" si="304"/>
        <v/>
      </c>
      <c r="T5370" t="str">
        <f t="shared" si="302"/>
        <v/>
      </c>
    </row>
    <row r="5371" spans="18:20">
      <c r="R5371" s="24" t="str">
        <f t="shared" si="303"/>
        <v/>
      </c>
      <c r="S5371" s="24" t="str">
        <f t="shared" si="304"/>
        <v/>
      </c>
      <c r="T5371" t="str">
        <f t="shared" si="302"/>
        <v/>
      </c>
    </row>
    <row r="5372" spans="18:20">
      <c r="R5372" s="24" t="str">
        <f t="shared" si="303"/>
        <v/>
      </c>
      <c r="S5372" s="24" t="str">
        <f t="shared" si="304"/>
        <v/>
      </c>
      <c r="T5372" t="str">
        <f t="shared" si="302"/>
        <v/>
      </c>
    </row>
    <row r="5373" spans="18:20">
      <c r="R5373" s="24" t="str">
        <f t="shared" si="303"/>
        <v/>
      </c>
      <c r="S5373" s="24" t="str">
        <f t="shared" si="304"/>
        <v/>
      </c>
      <c r="T5373" t="str">
        <f t="shared" si="302"/>
        <v/>
      </c>
    </row>
    <row r="5374" spans="18:20">
      <c r="R5374" s="24" t="str">
        <f t="shared" si="303"/>
        <v/>
      </c>
      <c r="S5374" s="24" t="str">
        <f t="shared" si="304"/>
        <v/>
      </c>
      <c r="T5374" t="str">
        <f t="shared" si="302"/>
        <v/>
      </c>
    </row>
    <row r="5375" spans="18:20">
      <c r="R5375" s="24" t="str">
        <f t="shared" si="303"/>
        <v/>
      </c>
      <c r="S5375" s="24" t="str">
        <f t="shared" si="304"/>
        <v/>
      </c>
      <c r="T5375" t="str">
        <f t="shared" si="302"/>
        <v/>
      </c>
    </row>
    <row r="5376" spans="18:20">
      <c r="R5376" s="24" t="str">
        <f t="shared" si="303"/>
        <v/>
      </c>
      <c r="S5376" s="24" t="str">
        <f t="shared" si="304"/>
        <v/>
      </c>
      <c r="T5376" t="str">
        <f t="shared" si="302"/>
        <v/>
      </c>
    </row>
    <row r="5377" spans="18:20">
      <c r="R5377" s="24" t="str">
        <f t="shared" si="303"/>
        <v/>
      </c>
      <c r="S5377" s="24" t="str">
        <f t="shared" si="304"/>
        <v/>
      </c>
      <c r="T5377" t="str">
        <f t="shared" si="302"/>
        <v/>
      </c>
    </row>
    <row r="5378" spans="18:20">
      <c r="R5378" s="24" t="str">
        <f t="shared" si="303"/>
        <v/>
      </c>
      <c r="S5378" s="24" t="str">
        <f t="shared" si="304"/>
        <v/>
      </c>
      <c r="T5378" t="str">
        <f t="shared" si="302"/>
        <v/>
      </c>
    </row>
    <row r="5379" spans="18:20">
      <c r="R5379" s="24" t="str">
        <f t="shared" si="303"/>
        <v/>
      </c>
      <c r="S5379" s="24" t="str">
        <f t="shared" si="304"/>
        <v/>
      </c>
      <c r="T5379" t="str">
        <f t="shared" si="302"/>
        <v/>
      </c>
    </row>
    <row r="5380" spans="18:20">
      <c r="R5380" s="24" t="str">
        <f t="shared" si="303"/>
        <v/>
      </c>
      <c r="S5380" s="24" t="str">
        <f t="shared" si="304"/>
        <v/>
      </c>
      <c r="T5380" t="str">
        <f t="shared" si="302"/>
        <v/>
      </c>
    </row>
    <row r="5381" spans="18:20">
      <c r="R5381" s="24" t="str">
        <f t="shared" si="303"/>
        <v/>
      </c>
      <c r="S5381" s="24" t="str">
        <f t="shared" si="304"/>
        <v/>
      </c>
      <c r="T5381" t="str">
        <f t="shared" si="302"/>
        <v/>
      </c>
    </row>
    <row r="5382" spans="18:20">
      <c r="R5382" s="24" t="str">
        <f t="shared" si="303"/>
        <v/>
      </c>
      <c r="S5382" s="24" t="str">
        <f t="shared" si="304"/>
        <v/>
      </c>
      <c r="T5382" t="str">
        <f t="shared" si="302"/>
        <v/>
      </c>
    </row>
    <row r="5383" spans="18:20">
      <c r="R5383" s="24" t="str">
        <f t="shared" si="303"/>
        <v/>
      </c>
      <c r="S5383" s="24" t="str">
        <f t="shared" si="304"/>
        <v/>
      </c>
      <c r="T5383" t="str">
        <f t="shared" si="302"/>
        <v/>
      </c>
    </row>
    <row r="5384" spans="18:20">
      <c r="R5384" s="24" t="str">
        <f t="shared" si="303"/>
        <v/>
      </c>
      <c r="S5384" s="24" t="str">
        <f t="shared" si="304"/>
        <v/>
      </c>
      <c r="T5384" t="str">
        <f t="shared" si="302"/>
        <v/>
      </c>
    </row>
    <row r="5385" spans="18:20">
      <c r="R5385" s="24" t="str">
        <f t="shared" si="303"/>
        <v/>
      </c>
      <c r="S5385" s="24" t="str">
        <f t="shared" si="304"/>
        <v/>
      </c>
      <c r="T5385" t="str">
        <f t="shared" si="302"/>
        <v/>
      </c>
    </row>
    <row r="5386" spans="18:20">
      <c r="R5386" s="24" t="str">
        <f t="shared" si="303"/>
        <v/>
      </c>
      <c r="S5386" s="24" t="str">
        <f t="shared" si="304"/>
        <v/>
      </c>
      <c r="T5386" t="str">
        <f t="shared" si="302"/>
        <v/>
      </c>
    </row>
    <row r="5387" spans="18:20">
      <c r="R5387" s="24" t="str">
        <f t="shared" si="303"/>
        <v/>
      </c>
      <c r="S5387" s="24" t="str">
        <f t="shared" si="304"/>
        <v/>
      </c>
      <c r="T5387" t="str">
        <f t="shared" si="302"/>
        <v/>
      </c>
    </row>
    <row r="5388" spans="18:20">
      <c r="R5388" s="24" t="str">
        <f t="shared" si="303"/>
        <v/>
      </c>
      <c r="S5388" s="24" t="str">
        <f t="shared" si="304"/>
        <v/>
      </c>
      <c r="T5388" t="str">
        <f t="shared" si="302"/>
        <v/>
      </c>
    </row>
    <row r="5389" spans="18:20">
      <c r="R5389" s="24" t="str">
        <f t="shared" si="303"/>
        <v/>
      </c>
      <c r="S5389" s="24" t="str">
        <f t="shared" si="304"/>
        <v/>
      </c>
      <c r="T5389" t="str">
        <f t="shared" si="302"/>
        <v/>
      </c>
    </row>
    <row r="5390" spans="18:20">
      <c r="R5390" s="24" t="str">
        <f t="shared" si="303"/>
        <v/>
      </c>
      <c r="S5390" s="24" t="str">
        <f t="shared" si="304"/>
        <v/>
      </c>
      <c r="T5390" t="str">
        <f t="shared" si="302"/>
        <v/>
      </c>
    </row>
    <row r="5391" spans="18:20">
      <c r="R5391" s="24" t="str">
        <f t="shared" si="303"/>
        <v/>
      </c>
      <c r="S5391" s="24" t="str">
        <f t="shared" si="304"/>
        <v/>
      </c>
      <c r="T5391" t="str">
        <f t="shared" ref="T5391:T5454" si="305">IF(OR(C5391="",I5391&lt;&gt;"ENTRADA"),"",TEXT(B5391,"AAMMDD")&amp;"-"&amp;TEXT(VALUE(SUBSTITUTE(A5391,"MOV-","")),"000"))</f>
        <v/>
      </c>
    </row>
    <row r="5392" spans="18:20">
      <c r="R5392" s="24" t="str">
        <f t="shared" ref="R5392:R5455" si="306">IF(H5392="","",H5392&amp;I5392)</f>
        <v/>
      </c>
      <c r="S5392" s="24" t="str">
        <f t="shared" ref="S5392:S5455" si="307">IF(C5392="","",C5392&amp;I5392)</f>
        <v/>
      </c>
      <c r="T5392" t="str">
        <f t="shared" si="305"/>
        <v/>
      </c>
    </row>
    <row r="5393" spans="18:20">
      <c r="R5393" s="24" t="str">
        <f t="shared" si="306"/>
        <v/>
      </c>
      <c r="S5393" s="24" t="str">
        <f t="shared" si="307"/>
        <v/>
      </c>
      <c r="T5393" t="str">
        <f t="shared" si="305"/>
        <v/>
      </c>
    </row>
    <row r="5394" spans="18:20">
      <c r="R5394" s="24" t="str">
        <f t="shared" si="306"/>
        <v/>
      </c>
      <c r="S5394" s="24" t="str">
        <f t="shared" si="307"/>
        <v/>
      </c>
      <c r="T5394" t="str">
        <f t="shared" si="305"/>
        <v/>
      </c>
    </row>
    <row r="5395" spans="18:20">
      <c r="R5395" s="24" t="str">
        <f t="shared" si="306"/>
        <v/>
      </c>
      <c r="S5395" s="24" t="str">
        <f t="shared" si="307"/>
        <v/>
      </c>
      <c r="T5395" t="str">
        <f t="shared" si="305"/>
        <v/>
      </c>
    </row>
    <row r="5396" spans="18:20">
      <c r="R5396" s="24" t="str">
        <f t="shared" si="306"/>
        <v/>
      </c>
      <c r="S5396" s="24" t="str">
        <f t="shared" si="307"/>
        <v/>
      </c>
      <c r="T5396" t="str">
        <f t="shared" si="305"/>
        <v/>
      </c>
    </row>
    <row r="5397" spans="18:20">
      <c r="R5397" s="24" t="str">
        <f t="shared" si="306"/>
        <v/>
      </c>
      <c r="S5397" s="24" t="str">
        <f t="shared" si="307"/>
        <v/>
      </c>
      <c r="T5397" t="str">
        <f t="shared" si="305"/>
        <v/>
      </c>
    </row>
    <row r="5398" spans="18:20">
      <c r="R5398" s="24" t="str">
        <f t="shared" si="306"/>
        <v/>
      </c>
      <c r="S5398" s="24" t="str">
        <f t="shared" si="307"/>
        <v/>
      </c>
      <c r="T5398" t="str">
        <f t="shared" si="305"/>
        <v/>
      </c>
    </row>
    <row r="5399" spans="18:20">
      <c r="R5399" s="24" t="str">
        <f t="shared" si="306"/>
        <v/>
      </c>
      <c r="S5399" s="24" t="str">
        <f t="shared" si="307"/>
        <v/>
      </c>
      <c r="T5399" t="str">
        <f t="shared" si="305"/>
        <v/>
      </c>
    </row>
    <row r="5400" spans="18:20">
      <c r="R5400" s="24" t="str">
        <f t="shared" si="306"/>
        <v/>
      </c>
      <c r="S5400" s="24" t="str">
        <f t="shared" si="307"/>
        <v/>
      </c>
      <c r="T5400" t="str">
        <f t="shared" si="305"/>
        <v/>
      </c>
    </row>
    <row r="5401" spans="18:20">
      <c r="R5401" s="24" t="str">
        <f t="shared" si="306"/>
        <v/>
      </c>
      <c r="S5401" s="24" t="str">
        <f t="shared" si="307"/>
        <v/>
      </c>
      <c r="T5401" t="str">
        <f t="shared" si="305"/>
        <v/>
      </c>
    </row>
    <row r="5402" spans="18:20">
      <c r="R5402" s="24" t="str">
        <f t="shared" si="306"/>
        <v/>
      </c>
      <c r="S5402" s="24" t="str">
        <f t="shared" si="307"/>
        <v/>
      </c>
      <c r="T5402" t="str">
        <f t="shared" si="305"/>
        <v/>
      </c>
    </row>
    <row r="5403" spans="18:20">
      <c r="R5403" s="24" t="str">
        <f t="shared" si="306"/>
        <v/>
      </c>
      <c r="S5403" s="24" t="str">
        <f t="shared" si="307"/>
        <v/>
      </c>
      <c r="T5403" t="str">
        <f t="shared" si="305"/>
        <v/>
      </c>
    </row>
    <row r="5404" spans="18:20">
      <c r="R5404" s="24" t="str">
        <f t="shared" si="306"/>
        <v/>
      </c>
      <c r="S5404" s="24" t="str">
        <f t="shared" si="307"/>
        <v/>
      </c>
      <c r="T5404" t="str">
        <f t="shared" si="305"/>
        <v/>
      </c>
    </row>
    <row r="5405" spans="18:20">
      <c r="R5405" s="24" t="str">
        <f t="shared" si="306"/>
        <v/>
      </c>
      <c r="S5405" s="24" t="str">
        <f t="shared" si="307"/>
        <v/>
      </c>
      <c r="T5405" t="str">
        <f t="shared" si="305"/>
        <v/>
      </c>
    </row>
    <row r="5406" spans="18:20">
      <c r="R5406" s="24" t="str">
        <f t="shared" si="306"/>
        <v/>
      </c>
      <c r="S5406" s="24" t="str">
        <f t="shared" si="307"/>
        <v/>
      </c>
      <c r="T5406" t="str">
        <f t="shared" si="305"/>
        <v/>
      </c>
    </row>
    <row r="5407" spans="18:20">
      <c r="R5407" s="24" t="str">
        <f t="shared" si="306"/>
        <v/>
      </c>
      <c r="S5407" s="24" t="str">
        <f t="shared" si="307"/>
        <v/>
      </c>
      <c r="T5407" t="str">
        <f t="shared" si="305"/>
        <v/>
      </c>
    </row>
    <row r="5408" spans="18:20">
      <c r="R5408" s="24" t="str">
        <f t="shared" si="306"/>
        <v/>
      </c>
      <c r="S5408" s="24" t="str">
        <f t="shared" si="307"/>
        <v/>
      </c>
      <c r="T5408" t="str">
        <f t="shared" si="305"/>
        <v/>
      </c>
    </row>
    <row r="5409" spans="18:20">
      <c r="R5409" s="24" t="str">
        <f t="shared" si="306"/>
        <v/>
      </c>
      <c r="S5409" s="24" t="str">
        <f t="shared" si="307"/>
        <v/>
      </c>
      <c r="T5409" t="str">
        <f t="shared" si="305"/>
        <v/>
      </c>
    </row>
    <row r="5410" spans="18:20">
      <c r="R5410" s="24" t="str">
        <f t="shared" si="306"/>
        <v/>
      </c>
      <c r="S5410" s="24" t="str">
        <f t="shared" si="307"/>
        <v/>
      </c>
      <c r="T5410" t="str">
        <f t="shared" si="305"/>
        <v/>
      </c>
    </row>
    <row r="5411" spans="18:20">
      <c r="R5411" s="24" t="str">
        <f t="shared" si="306"/>
        <v/>
      </c>
      <c r="S5411" s="24" t="str">
        <f t="shared" si="307"/>
        <v/>
      </c>
      <c r="T5411" t="str">
        <f t="shared" si="305"/>
        <v/>
      </c>
    </row>
    <row r="5412" spans="18:20">
      <c r="R5412" s="24" t="str">
        <f t="shared" si="306"/>
        <v/>
      </c>
      <c r="S5412" s="24" t="str">
        <f t="shared" si="307"/>
        <v/>
      </c>
      <c r="T5412" t="str">
        <f t="shared" si="305"/>
        <v/>
      </c>
    </row>
    <row r="5413" spans="18:20">
      <c r="R5413" s="24" t="str">
        <f t="shared" si="306"/>
        <v/>
      </c>
      <c r="S5413" s="24" t="str">
        <f t="shared" si="307"/>
        <v/>
      </c>
      <c r="T5413" t="str">
        <f t="shared" si="305"/>
        <v/>
      </c>
    </row>
    <row r="5414" spans="18:20">
      <c r="R5414" s="24" t="str">
        <f t="shared" si="306"/>
        <v/>
      </c>
      <c r="S5414" s="24" t="str">
        <f t="shared" si="307"/>
        <v/>
      </c>
      <c r="T5414" t="str">
        <f t="shared" si="305"/>
        <v/>
      </c>
    </row>
    <row r="5415" spans="18:20">
      <c r="R5415" s="24" t="str">
        <f t="shared" si="306"/>
        <v/>
      </c>
      <c r="S5415" s="24" t="str">
        <f t="shared" si="307"/>
        <v/>
      </c>
      <c r="T5415" t="str">
        <f t="shared" si="305"/>
        <v/>
      </c>
    </row>
    <row r="5416" spans="18:20">
      <c r="R5416" s="24" t="str">
        <f t="shared" si="306"/>
        <v/>
      </c>
      <c r="S5416" s="24" t="str">
        <f t="shared" si="307"/>
        <v/>
      </c>
      <c r="T5416" t="str">
        <f t="shared" si="305"/>
        <v/>
      </c>
    </row>
    <row r="5417" spans="18:20">
      <c r="R5417" s="24" t="str">
        <f t="shared" si="306"/>
        <v/>
      </c>
      <c r="S5417" s="24" t="str">
        <f t="shared" si="307"/>
        <v/>
      </c>
      <c r="T5417" t="str">
        <f t="shared" si="305"/>
        <v/>
      </c>
    </row>
    <row r="5418" spans="18:20">
      <c r="R5418" s="24" t="str">
        <f t="shared" si="306"/>
        <v/>
      </c>
      <c r="S5418" s="24" t="str">
        <f t="shared" si="307"/>
        <v/>
      </c>
      <c r="T5418" t="str">
        <f t="shared" si="305"/>
        <v/>
      </c>
    </row>
    <row r="5419" spans="18:20">
      <c r="R5419" s="24" t="str">
        <f t="shared" si="306"/>
        <v/>
      </c>
      <c r="S5419" s="24" t="str">
        <f t="shared" si="307"/>
        <v/>
      </c>
      <c r="T5419" t="str">
        <f t="shared" si="305"/>
        <v/>
      </c>
    </row>
    <row r="5420" spans="18:20">
      <c r="R5420" s="24" t="str">
        <f t="shared" si="306"/>
        <v/>
      </c>
      <c r="S5420" s="24" t="str">
        <f t="shared" si="307"/>
        <v/>
      </c>
      <c r="T5420" t="str">
        <f t="shared" si="305"/>
        <v/>
      </c>
    </row>
    <row r="5421" spans="18:20">
      <c r="R5421" s="24" t="str">
        <f t="shared" si="306"/>
        <v/>
      </c>
      <c r="S5421" s="24" t="str">
        <f t="shared" si="307"/>
        <v/>
      </c>
      <c r="T5421" t="str">
        <f t="shared" si="305"/>
        <v/>
      </c>
    </row>
    <row r="5422" spans="18:20">
      <c r="R5422" s="24" t="str">
        <f t="shared" si="306"/>
        <v/>
      </c>
      <c r="S5422" s="24" t="str">
        <f t="shared" si="307"/>
        <v/>
      </c>
      <c r="T5422" t="str">
        <f t="shared" si="305"/>
        <v/>
      </c>
    </row>
    <row r="5423" spans="18:20">
      <c r="R5423" s="24" t="str">
        <f t="shared" si="306"/>
        <v/>
      </c>
      <c r="S5423" s="24" t="str">
        <f t="shared" si="307"/>
        <v/>
      </c>
      <c r="T5423" t="str">
        <f t="shared" si="305"/>
        <v/>
      </c>
    </row>
    <row r="5424" spans="18:20">
      <c r="R5424" s="24" t="str">
        <f t="shared" si="306"/>
        <v/>
      </c>
      <c r="S5424" s="24" t="str">
        <f t="shared" si="307"/>
        <v/>
      </c>
      <c r="T5424" t="str">
        <f t="shared" si="305"/>
        <v/>
      </c>
    </row>
    <row r="5425" spans="18:20">
      <c r="R5425" s="24" t="str">
        <f t="shared" si="306"/>
        <v/>
      </c>
      <c r="S5425" s="24" t="str">
        <f t="shared" si="307"/>
        <v/>
      </c>
      <c r="T5425" t="str">
        <f t="shared" si="305"/>
        <v/>
      </c>
    </row>
    <row r="5426" spans="18:20">
      <c r="R5426" s="24" t="str">
        <f t="shared" si="306"/>
        <v/>
      </c>
      <c r="S5426" s="24" t="str">
        <f t="shared" si="307"/>
        <v/>
      </c>
      <c r="T5426" t="str">
        <f t="shared" si="305"/>
        <v/>
      </c>
    </row>
    <row r="5427" spans="18:20">
      <c r="R5427" s="24" t="str">
        <f t="shared" si="306"/>
        <v/>
      </c>
      <c r="S5427" s="24" t="str">
        <f t="shared" si="307"/>
        <v/>
      </c>
      <c r="T5427" t="str">
        <f t="shared" si="305"/>
        <v/>
      </c>
    </row>
    <row r="5428" spans="18:20">
      <c r="R5428" s="24" t="str">
        <f t="shared" si="306"/>
        <v/>
      </c>
      <c r="S5428" s="24" t="str">
        <f t="shared" si="307"/>
        <v/>
      </c>
      <c r="T5428" t="str">
        <f t="shared" si="305"/>
        <v/>
      </c>
    </row>
    <row r="5429" spans="18:20">
      <c r="R5429" s="24" t="str">
        <f t="shared" si="306"/>
        <v/>
      </c>
      <c r="S5429" s="24" t="str">
        <f t="shared" si="307"/>
        <v/>
      </c>
      <c r="T5429" t="str">
        <f t="shared" si="305"/>
        <v/>
      </c>
    </row>
    <row r="5430" spans="18:20">
      <c r="R5430" s="24" t="str">
        <f t="shared" si="306"/>
        <v/>
      </c>
      <c r="S5430" s="24" t="str">
        <f t="shared" si="307"/>
        <v/>
      </c>
      <c r="T5430" t="str">
        <f t="shared" si="305"/>
        <v/>
      </c>
    </row>
    <row r="5431" spans="18:20">
      <c r="R5431" s="24" t="str">
        <f t="shared" si="306"/>
        <v/>
      </c>
      <c r="S5431" s="24" t="str">
        <f t="shared" si="307"/>
        <v/>
      </c>
      <c r="T5431" t="str">
        <f t="shared" si="305"/>
        <v/>
      </c>
    </row>
    <row r="5432" spans="18:20">
      <c r="R5432" s="24" t="str">
        <f t="shared" si="306"/>
        <v/>
      </c>
      <c r="S5432" s="24" t="str">
        <f t="shared" si="307"/>
        <v/>
      </c>
      <c r="T5432" t="str">
        <f t="shared" si="305"/>
        <v/>
      </c>
    </row>
    <row r="5433" spans="18:20">
      <c r="R5433" s="24" t="str">
        <f t="shared" si="306"/>
        <v/>
      </c>
      <c r="S5433" s="24" t="str">
        <f t="shared" si="307"/>
        <v/>
      </c>
      <c r="T5433" t="str">
        <f t="shared" si="305"/>
        <v/>
      </c>
    </row>
    <row r="5434" spans="18:20">
      <c r="R5434" s="24" t="str">
        <f t="shared" si="306"/>
        <v/>
      </c>
      <c r="S5434" s="24" t="str">
        <f t="shared" si="307"/>
        <v/>
      </c>
      <c r="T5434" t="str">
        <f t="shared" si="305"/>
        <v/>
      </c>
    </row>
    <row r="5435" spans="18:20">
      <c r="R5435" s="24" t="str">
        <f t="shared" si="306"/>
        <v/>
      </c>
      <c r="S5435" s="24" t="str">
        <f t="shared" si="307"/>
        <v/>
      </c>
      <c r="T5435" t="str">
        <f t="shared" si="305"/>
        <v/>
      </c>
    </row>
    <row r="5436" spans="18:20">
      <c r="R5436" s="24" t="str">
        <f t="shared" si="306"/>
        <v/>
      </c>
      <c r="S5436" s="24" t="str">
        <f t="shared" si="307"/>
        <v/>
      </c>
      <c r="T5436" t="str">
        <f t="shared" si="305"/>
        <v/>
      </c>
    </row>
    <row r="5437" spans="18:20">
      <c r="R5437" s="24" t="str">
        <f t="shared" si="306"/>
        <v/>
      </c>
      <c r="S5437" s="24" t="str">
        <f t="shared" si="307"/>
        <v/>
      </c>
      <c r="T5437" t="str">
        <f t="shared" si="305"/>
        <v/>
      </c>
    </row>
    <row r="5438" spans="18:20">
      <c r="R5438" s="24" t="str">
        <f t="shared" si="306"/>
        <v/>
      </c>
      <c r="S5438" s="24" t="str">
        <f t="shared" si="307"/>
        <v/>
      </c>
      <c r="T5438" t="str">
        <f t="shared" si="305"/>
        <v/>
      </c>
    </row>
    <row r="5439" spans="18:20">
      <c r="R5439" s="24" t="str">
        <f t="shared" si="306"/>
        <v/>
      </c>
      <c r="S5439" s="24" t="str">
        <f t="shared" si="307"/>
        <v/>
      </c>
      <c r="T5439" t="str">
        <f t="shared" si="305"/>
        <v/>
      </c>
    </row>
    <row r="5440" spans="18:20">
      <c r="R5440" s="24" t="str">
        <f t="shared" si="306"/>
        <v/>
      </c>
      <c r="S5440" s="24" t="str">
        <f t="shared" si="307"/>
        <v/>
      </c>
      <c r="T5440" t="str">
        <f t="shared" si="305"/>
        <v/>
      </c>
    </row>
    <row r="5441" spans="18:20">
      <c r="R5441" s="24" t="str">
        <f t="shared" si="306"/>
        <v/>
      </c>
      <c r="S5441" s="24" t="str">
        <f t="shared" si="307"/>
        <v/>
      </c>
      <c r="T5441" t="str">
        <f t="shared" si="305"/>
        <v/>
      </c>
    </row>
    <row r="5442" spans="18:20">
      <c r="R5442" s="24" t="str">
        <f t="shared" si="306"/>
        <v/>
      </c>
      <c r="S5442" s="24" t="str">
        <f t="shared" si="307"/>
        <v/>
      </c>
      <c r="T5442" t="str">
        <f t="shared" si="305"/>
        <v/>
      </c>
    </row>
    <row r="5443" spans="18:20">
      <c r="R5443" s="24" t="str">
        <f t="shared" si="306"/>
        <v/>
      </c>
      <c r="S5443" s="24" t="str">
        <f t="shared" si="307"/>
        <v/>
      </c>
      <c r="T5443" t="str">
        <f t="shared" si="305"/>
        <v/>
      </c>
    </row>
    <row r="5444" spans="18:20">
      <c r="R5444" s="24" t="str">
        <f t="shared" si="306"/>
        <v/>
      </c>
      <c r="S5444" s="24" t="str">
        <f t="shared" si="307"/>
        <v/>
      </c>
      <c r="T5444" t="str">
        <f t="shared" si="305"/>
        <v/>
      </c>
    </row>
    <row r="5445" spans="18:20">
      <c r="R5445" s="24" t="str">
        <f t="shared" si="306"/>
        <v/>
      </c>
      <c r="S5445" s="24" t="str">
        <f t="shared" si="307"/>
        <v/>
      </c>
      <c r="T5445" t="str">
        <f t="shared" si="305"/>
        <v/>
      </c>
    </row>
    <row r="5446" spans="18:20">
      <c r="R5446" s="24" t="str">
        <f t="shared" si="306"/>
        <v/>
      </c>
      <c r="S5446" s="24" t="str">
        <f t="shared" si="307"/>
        <v/>
      </c>
      <c r="T5446" t="str">
        <f t="shared" si="305"/>
        <v/>
      </c>
    </row>
    <row r="5447" spans="18:20">
      <c r="R5447" s="24" t="str">
        <f t="shared" si="306"/>
        <v/>
      </c>
      <c r="S5447" s="24" t="str">
        <f t="shared" si="307"/>
        <v/>
      </c>
      <c r="T5447" t="str">
        <f t="shared" si="305"/>
        <v/>
      </c>
    </row>
    <row r="5448" spans="18:20">
      <c r="R5448" s="24" t="str">
        <f t="shared" si="306"/>
        <v/>
      </c>
      <c r="S5448" s="24" t="str">
        <f t="shared" si="307"/>
        <v/>
      </c>
      <c r="T5448" t="str">
        <f t="shared" si="305"/>
        <v/>
      </c>
    </row>
    <row r="5449" spans="18:20">
      <c r="R5449" s="24" t="str">
        <f t="shared" si="306"/>
        <v/>
      </c>
      <c r="S5449" s="24" t="str">
        <f t="shared" si="307"/>
        <v/>
      </c>
      <c r="T5449" t="str">
        <f t="shared" si="305"/>
        <v/>
      </c>
    </row>
    <row r="5450" spans="18:20">
      <c r="R5450" s="24" t="str">
        <f t="shared" si="306"/>
        <v/>
      </c>
      <c r="S5450" s="24" t="str">
        <f t="shared" si="307"/>
        <v/>
      </c>
      <c r="T5450" t="str">
        <f t="shared" si="305"/>
        <v/>
      </c>
    </row>
    <row r="5451" spans="18:20">
      <c r="R5451" s="24" t="str">
        <f t="shared" si="306"/>
        <v/>
      </c>
      <c r="S5451" s="24" t="str">
        <f t="shared" si="307"/>
        <v/>
      </c>
      <c r="T5451" t="str">
        <f t="shared" si="305"/>
        <v/>
      </c>
    </row>
    <row r="5452" spans="18:20">
      <c r="R5452" s="24" t="str">
        <f t="shared" si="306"/>
        <v/>
      </c>
      <c r="S5452" s="24" t="str">
        <f t="shared" si="307"/>
        <v/>
      </c>
      <c r="T5452" t="str">
        <f t="shared" si="305"/>
        <v/>
      </c>
    </row>
    <row r="5453" spans="18:20">
      <c r="R5453" s="24" t="str">
        <f t="shared" si="306"/>
        <v/>
      </c>
      <c r="S5453" s="24" t="str">
        <f t="shared" si="307"/>
        <v/>
      </c>
      <c r="T5453" t="str">
        <f t="shared" si="305"/>
        <v/>
      </c>
    </row>
    <row r="5454" spans="18:20">
      <c r="R5454" s="24" t="str">
        <f t="shared" si="306"/>
        <v/>
      </c>
      <c r="S5454" s="24" t="str">
        <f t="shared" si="307"/>
        <v/>
      </c>
      <c r="T5454" t="str">
        <f t="shared" si="305"/>
        <v/>
      </c>
    </row>
    <row r="5455" spans="18:20">
      <c r="R5455" s="24" t="str">
        <f t="shared" si="306"/>
        <v/>
      </c>
      <c r="S5455" s="24" t="str">
        <f t="shared" si="307"/>
        <v/>
      </c>
      <c r="T5455" t="str">
        <f t="shared" ref="T5455:T5518" si="308">IF(OR(C5455="",I5455&lt;&gt;"ENTRADA"),"",TEXT(B5455,"AAMMDD")&amp;"-"&amp;TEXT(VALUE(SUBSTITUTE(A5455,"MOV-","")),"000"))</f>
        <v/>
      </c>
    </row>
    <row r="5456" spans="18:20">
      <c r="R5456" s="24" t="str">
        <f t="shared" ref="R5456:R5519" si="309">IF(H5456="","",H5456&amp;I5456)</f>
        <v/>
      </c>
      <c r="S5456" s="24" t="str">
        <f t="shared" ref="S5456:S5519" si="310">IF(C5456="","",C5456&amp;I5456)</f>
        <v/>
      </c>
      <c r="T5456" t="str">
        <f t="shared" si="308"/>
        <v/>
      </c>
    </row>
    <row r="5457" spans="18:20">
      <c r="R5457" s="24" t="str">
        <f t="shared" si="309"/>
        <v/>
      </c>
      <c r="S5457" s="24" t="str">
        <f t="shared" si="310"/>
        <v/>
      </c>
      <c r="T5457" t="str">
        <f t="shared" si="308"/>
        <v/>
      </c>
    </row>
    <row r="5458" spans="18:20">
      <c r="R5458" s="24" t="str">
        <f t="shared" si="309"/>
        <v/>
      </c>
      <c r="S5458" s="24" t="str">
        <f t="shared" si="310"/>
        <v/>
      </c>
      <c r="T5458" t="str">
        <f t="shared" si="308"/>
        <v/>
      </c>
    </row>
    <row r="5459" spans="18:20">
      <c r="R5459" s="24" t="str">
        <f t="shared" si="309"/>
        <v/>
      </c>
      <c r="S5459" s="24" t="str">
        <f t="shared" si="310"/>
        <v/>
      </c>
      <c r="T5459" t="str">
        <f t="shared" si="308"/>
        <v/>
      </c>
    </row>
    <row r="5460" spans="18:20">
      <c r="R5460" s="24" t="str">
        <f t="shared" si="309"/>
        <v/>
      </c>
      <c r="S5460" s="24" t="str">
        <f t="shared" si="310"/>
        <v/>
      </c>
      <c r="T5460" t="str">
        <f t="shared" si="308"/>
        <v/>
      </c>
    </row>
    <row r="5461" spans="18:20">
      <c r="R5461" s="24" t="str">
        <f t="shared" si="309"/>
        <v/>
      </c>
      <c r="S5461" s="24" t="str">
        <f t="shared" si="310"/>
        <v/>
      </c>
      <c r="T5461" t="str">
        <f t="shared" si="308"/>
        <v/>
      </c>
    </row>
    <row r="5462" spans="18:20">
      <c r="R5462" s="24" t="str">
        <f t="shared" si="309"/>
        <v/>
      </c>
      <c r="S5462" s="24" t="str">
        <f t="shared" si="310"/>
        <v/>
      </c>
      <c r="T5462" t="str">
        <f t="shared" si="308"/>
        <v/>
      </c>
    </row>
    <row r="5463" spans="18:20">
      <c r="R5463" s="24" t="str">
        <f t="shared" si="309"/>
        <v/>
      </c>
      <c r="S5463" s="24" t="str">
        <f t="shared" si="310"/>
        <v/>
      </c>
      <c r="T5463" t="str">
        <f t="shared" si="308"/>
        <v/>
      </c>
    </row>
    <row r="5464" spans="18:20">
      <c r="R5464" s="24" t="str">
        <f t="shared" si="309"/>
        <v/>
      </c>
      <c r="S5464" s="24" t="str">
        <f t="shared" si="310"/>
        <v/>
      </c>
      <c r="T5464" t="str">
        <f t="shared" si="308"/>
        <v/>
      </c>
    </row>
    <row r="5465" spans="18:20">
      <c r="R5465" s="24" t="str">
        <f t="shared" si="309"/>
        <v/>
      </c>
      <c r="S5465" s="24" t="str">
        <f t="shared" si="310"/>
        <v/>
      </c>
      <c r="T5465" t="str">
        <f t="shared" si="308"/>
        <v/>
      </c>
    </row>
    <row r="5466" spans="18:20">
      <c r="R5466" s="24" t="str">
        <f t="shared" si="309"/>
        <v/>
      </c>
      <c r="S5466" s="24" t="str">
        <f t="shared" si="310"/>
        <v/>
      </c>
      <c r="T5466" t="str">
        <f t="shared" si="308"/>
        <v/>
      </c>
    </row>
    <row r="5467" spans="18:20">
      <c r="R5467" s="24" t="str">
        <f t="shared" si="309"/>
        <v/>
      </c>
      <c r="S5467" s="24" t="str">
        <f t="shared" si="310"/>
        <v/>
      </c>
      <c r="T5467" t="str">
        <f t="shared" si="308"/>
        <v/>
      </c>
    </row>
    <row r="5468" spans="18:20">
      <c r="R5468" s="24" t="str">
        <f t="shared" si="309"/>
        <v/>
      </c>
      <c r="S5468" s="24" t="str">
        <f t="shared" si="310"/>
        <v/>
      </c>
      <c r="T5468" t="str">
        <f t="shared" si="308"/>
        <v/>
      </c>
    </row>
    <row r="5469" spans="18:20">
      <c r="R5469" s="24" t="str">
        <f t="shared" si="309"/>
        <v/>
      </c>
      <c r="S5469" s="24" t="str">
        <f t="shared" si="310"/>
        <v/>
      </c>
      <c r="T5469" t="str">
        <f t="shared" si="308"/>
        <v/>
      </c>
    </row>
    <row r="5470" spans="18:20">
      <c r="R5470" s="24" t="str">
        <f t="shared" si="309"/>
        <v/>
      </c>
      <c r="S5470" s="24" t="str">
        <f t="shared" si="310"/>
        <v/>
      </c>
      <c r="T5470" t="str">
        <f t="shared" si="308"/>
        <v/>
      </c>
    </row>
    <row r="5471" spans="18:20">
      <c r="R5471" s="24" t="str">
        <f t="shared" si="309"/>
        <v/>
      </c>
      <c r="S5471" s="24" t="str">
        <f t="shared" si="310"/>
        <v/>
      </c>
      <c r="T5471" t="str">
        <f t="shared" si="308"/>
        <v/>
      </c>
    </row>
    <row r="5472" spans="18:20">
      <c r="R5472" s="24" t="str">
        <f t="shared" si="309"/>
        <v/>
      </c>
      <c r="S5472" s="24" t="str">
        <f t="shared" si="310"/>
        <v/>
      </c>
      <c r="T5472" t="str">
        <f t="shared" si="308"/>
        <v/>
      </c>
    </row>
    <row r="5473" spans="18:20">
      <c r="R5473" s="24" t="str">
        <f t="shared" si="309"/>
        <v/>
      </c>
      <c r="S5473" s="24" t="str">
        <f t="shared" si="310"/>
        <v/>
      </c>
      <c r="T5473" t="str">
        <f t="shared" si="308"/>
        <v/>
      </c>
    </row>
    <row r="5474" spans="18:20">
      <c r="R5474" s="24" t="str">
        <f t="shared" si="309"/>
        <v/>
      </c>
      <c r="S5474" s="24" t="str">
        <f t="shared" si="310"/>
        <v/>
      </c>
      <c r="T5474" t="str">
        <f t="shared" si="308"/>
        <v/>
      </c>
    </row>
    <row r="5475" spans="18:20">
      <c r="R5475" s="24" t="str">
        <f t="shared" si="309"/>
        <v/>
      </c>
      <c r="S5475" s="24" t="str">
        <f t="shared" si="310"/>
        <v/>
      </c>
      <c r="T5475" t="str">
        <f t="shared" si="308"/>
        <v/>
      </c>
    </row>
    <row r="5476" spans="18:20">
      <c r="R5476" s="24" t="str">
        <f t="shared" si="309"/>
        <v/>
      </c>
      <c r="S5476" s="24" t="str">
        <f t="shared" si="310"/>
        <v/>
      </c>
      <c r="T5476" t="str">
        <f t="shared" si="308"/>
        <v/>
      </c>
    </row>
    <row r="5477" spans="18:20">
      <c r="R5477" s="24" t="str">
        <f t="shared" si="309"/>
        <v/>
      </c>
      <c r="S5477" s="24" t="str">
        <f t="shared" si="310"/>
        <v/>
      </c>
      <c r="T5477" t="str">
        <f t="shared" si="308"/>
        <v/>
      </c>
    </row>
    <row r="5478" spans="18:20">
      <c r="R5478" s="24" t="str">
        <f t="shared" si="309"/>
        <v/>
      </c>
      <c r="S5478" s="24" t="str">
        <f t="shared" si="310"/>
        <v/>
      </c>
      <c r="T5478" t="str">
        <f t="shared" si="308"/>
        <v/>
      </c>
    </row>
    <row r="5479" spans="18:20">
      <c r="R5479" s="24" t="str">
        <f t="shared" si="309"/>
        <v/>
      </c>
      <c r="S5479" s="24" t="str">
        <f t="shared" si="310"/>
        <v/>
      </c>
      <c r="T5479" t="str">
        <f t="shared" si="308"/>
        <v/>
      </c>
    </row>
    <row r="5480" spans="18:20">
      <c r="R5480" s="24" t="str">
        <f t="shared" si="309"/>
        <v/>
      </c>
      <c r="S5480" s="24" t="str">
        <f t="shared" si="310"/>
        <v/>
      </c>
      <c r="T5480" t="str">
        <f t="shared" si="308"/>
        <v/>
      </c>
    </row>
    <row r="5481" spans="18:20">
      <c r="R5481" s="24" t="str">
        <f t="shared" si="309"/>
        <v/>
      </c>
      <c r="S5481" s="24" t="str">
        <f t="shared" si="310"/>
        <v/>
      </c>
      <c r="T5481" t="str">
        <f t="shared" si="308"/>
        <v/>
      </c>
    </row>
    <row r="5482" spans="18:20">
      <c r="R5482" s="24" t="str">
        <f t="shared" si="309"/>
        <v/>
      </c>
      <c r="S5482" s="24" t="str">
        <f t="shared" si="310"/>
        <v/>
      </c>
      <c r="T5482" t="str">
        <f t="shared" si="308"/>
        <v/>
      </c>
    </row>
    <row r="5483" spans="18:20">
      <c r="R5483" s="24" t="str">
        <f t="shared" si="309"/>
        <v/>
      </c>
      <c r="S5483" s="24" t="str">
        <f t="shared" si="310"/>
        <v/>
      </c>
      <c r="T5483" t="str">
        <f t="shared" si="308"/>
        <v/>
      </c>
    </row>
    <row r="5484" spans="18:20">
      <c r="R5484" s="24" t="str">
        <f t="shared" si="309"/>
        <v/>
      </c>
      <c r="S5484" s="24" t="str">
        <f t="shared" si="310"/>
        <v/>
      </c>
      <c r="T5484" t="str">
        <f t="shared" si="308"/>
        <v/>
      </c>
    </row>
    <row r="5485" spans="18:20">
      <c r="R5485" s="24" t="str">
        <f t="shared" si="309"/>
        <v/>
      </c>
      <c r="S5485" s="24" t="str">
        <f t="shared" si="310"/>
        <v/>
      </c>
      <c r="T5485" t="str">
        <f t="shared" si="308"/>
        <v/>
      </c>
    </row>
    <row r="5486" spans="18:20">
      <c r="R5486" s="24" t="str">
        <f t="shared" si="309"/>
        <v/>
      </c>
      <c r="S5486" s="24" t="str">
        <f t="shared" si="310"/>
        <v/>
      </c>
      <c r="T5486" t="str">
        <f t="shared" si="308"/>
        <v/>
      </c>
    </row>
    <row r="5487" spans="18:20">
      <c r="R5487" s="24" t="str">
        <f t="shared" si="309"/>
        <v/>
      </c>
      <c r="S5487" s="24" t="str">
        <f t="shared" si="310"/>
        <v/>
      </c>
      <c r="T5487" t="str">
        <f t="shared" si="308"/>
        <v/>
      </c>
    </row>
    <row r="5488" spans="18:20">
      <c r="R5488" s="24" t="str">
        <f t="shared" si="309"/>
        <v/>
      </c>
      <c r="S5488" s="24" t="str">
        <f t="shared" si="310"/>
        <v/>
      </c>
      <c r="T5488" t="str">
        <f t="shared" si="308"/>
        <v/>
      </c>
    </row>
    <row r="5489" spans="18:20">
      <c r="R5489" s="24" t="str">
        <f t="shared" si="309"/>
        <v/>
      </c>
      <c r="S5489" s="24" t="str">
        <f t="shared" si="310"/>
        <v/>
      </c>
      <c r="T5489" t="str">
        <f t="shared" si="308"/>
        <v/>
      </c>
    </row>
    <row r="5490" spans="18:20">
      <c r="R5490" s="24" t="str">
        <f t="shared" si="309"/>
        <v/>
      </c>
      <c r="S5490" s="24" t="str">
        <f t="shared" si="310"/>
        <v/>
      </c>
      <c r="T5490" t="str">
        <f t="shared" si="308"/>
        <v/>
      </c>
    </row>
    <row r="5491" spans="18:20">
      <c r="R5491" s="24" t="str">
        <f t="shared" si="309"/>
        <v/>
      </c>
      <c r="S5491" s="24" t="str">
        <f t="shared" si="310"/>
        <v/>
      </c>
      <c r="T5491" t="str">
        <f t="shared" si="308"/>
        <v/>
      </c>
    </row>
    <row r="5492" spans="18:20">
      <c r="R5492" s="24" t="str">
        <f t="shared" si="309"/>
        <v/>
      </c>
      <c r="S5492" s="24" t="str">
        <f t="shared" si="310"/>
        <v/>
      </c>
      <c r="T5492" t="str">
        <f t="shared" si="308"/>
        <v/>
      </c>
    </row>
    <row r="5493" spans="18:20">
      <c r="R5493" s="24" t="str">
        <f t="shared" si="309"/>
        <v/>
      </c>
      <c r="S5493" s="24" t="str">
        <f t="shared" si="310"/>
        <v/>
      </c>
      <c r="T5493" t="str">
        <f t="shared" si="308"/>
        <v/>
      </c>
    </row>
    <row r="5494" spans="18:20">
      <c r="R5494" s="24" t="str">
        <f t="shared" si="309"/>
        <v/>
      </c>
      <c r="S5494" s="24" t="str">
        <f t="shared" si="310"/>
        <v/>
      </c>
      <c r="T5494" t="str">
        <f t="shared" si="308"/>
        <v/>
      </c>
    </row>
    <row r="5495" spans="18:20">
      <c r="R5495" s="24" t="str">
        <f t="shared" si="309"/>
        <v/>
      </c>
      <c r="S5495" s="24" t="str">
        <f t="shared" si="310"/>
        <v/>
      </c>
      <c r="T5495" t="str">
        <f t="shared" si="308"/>
        <v/>
      </c>
    </row>
    <row r="5496" spans="18:20">
      <c r="R5496" s="24" t="str">
        <f t="shared" si="309"/>
        <v/>
      </c>
      <c r="S5496" s="24" t="str">
        <f t="shared" si="310"/>
        <v/>
      </c>
      <c r="T5496" t="str">
        <f t="shared" si="308"/>
        <v/>
      </c>
    </row>
    <row r="5497" spans="18:20">
      <c r="R5497" s="24" t="str">
        <f t="shared" si="309"/>
        <v/>
      </c>
      <c r="S5497" s="24" t="str">
        <f t="shared" si="310"/>
        <v/>
      </c>
      <c r="T5497" t="str">
        <f t="shared" si="308"/>
        <v/>
      </c>
    </row>
    <row r="5498" spans="18:20">
      <c r="R5498" s="24" t="str">
        <f t="shared" si="309"/>
        <v/>
      </c>
      <c r="S5498" s="24" t="str">
        <f t="shared" si="310"/>
        <v/>
      </c>
      <c r="T5498" t="str">
        <f t="shared" si="308"/>
        <v/>
      </c>
    </row>
    <row r="5499" spans="18:20">
      <c r="R5499" s="24" t="str">
        <f t="shared" si="309"/>
        <v/>
      </c>
      <c r="S5499" s="24" t="str">
        <f t="shared" si="310"/>
        <v/>
      </c>
      <c r="T5499" t="str">
        <f t="shared" si="308"/>
        <v/>
      </c>
    </row>
    <row r="5500" spans="18:20">
      <c r="R5500" s="24" t="str">
        <f t="shared" si="309"/>
        <v/>
      </c>
      <c r="S5500" s="24" t="str">
        <f t="shared" si="310"/>
        <v/>
      </c>
      <c r="T5500" t="str">
        <f t="shared" si="308"/>
        <v/>
      </c>
    </row>
    <row r="5501" spans="18:20">
      <c r="R5501" s="24" t="str">
        <f t="shared" si="309"/>
        <v/>
      </c>
      <c r="S5501" s="24" t="str">
        <f t="shared" si="310"/>
        <v/>
      </c>
      <c r="T5501" t="str">
        <f t="shared" si="308"/>
        <v/>
      </c>
    </row>
    <row r="5502" spans="18:20">
      <c r="R5502" s="24" t="str">
        <f t="shared" si="309"/>
        <v/>
      </c>
      <c r="S5502" s="24" t="str">
        <f t="shared" si="310"/>
        <v/>
      </c>
      <c r="T5502" t="str">
        <f t="shared" si="308"/>
        <v/>
      </c>
    </row>
    <row r="5503" spans="18:20">
      <c r="R5503" s="24" t="str">
        <f t="shared" si="309"/>
        <v/>
      </c>
      <c r="S5503" s="24" t="str">
        <f t="shared" si="310"/>
        <v/>
      </c>
      <c r="T5503" t="str">
        <f t="shared" si="308"/>
        <v/>
      </c>
    </row>
    <row r="5504" spans="18:20">
      <c r="R5504" s="24" t="str">
        <f t="shared" si="309"/>
        <v/>
      </c>
      <c r="S5504" s="24" t="str">
        <f t="shared" si="310"/>
        <v/>
      </c>
      <c r="T5504" t="str">
        <f t="shared" si="308"/>
        <v/>
      </c>
    </row>
    <row r="5505" spans="18:20">
      <c r="R5505" s="24" t="str">
        <f t="shared" si="309"/>
        <v/>
      </c>
      <c r="S5505" s="24" t="str">
        <f t="shared" si="310"/>
        <v/>
      </c>
      <c r="T5505" t="str">
        <f t="shared" si="308"/>
        <v/>
      </c>
    </row>
    <row r="5506" spans="18:20">
      <c r="R5506" s="24" t="str">
        <f t="shared" si="309"/>
        <v/>
      </c>
      <c r="S5506" s="24" t="str">
        <f t="shared" si="310"/>
        <v/>
      </c>
      <c r="T5506" t="str">
        <f t="shared" si="308"/>
        <v/>
      </c>
    </row>
    <row r="5507" spans="18:20">
      <c r="R5507" s="24" t="str">
        <f t="shared" si="309"/>
        <v/>
      </c>
      <c r="S5507" s="24" t="str">
        <f t="shared" si="310"/>
        <v/>
      </c>
      <c r="T5507" t="str">
        <f t="shared" si="308"/>
        <v/>
      </c>
    </row>
    <row r="5508" spans="18:20">
      <c r="R5508" s="24" t="str">
        <f t="shared" si="309"/>
        <v/>
      </c>
      <c r="S5508" s="24" t="str">
        <f t="shared" si="310"/>
        <v/>
      </c>
      <c r="T5508" t="str">
        <f t="shared" si="308"/>
        <v/>
      </c>
    </row>
    <row r="5509" spans="18:20">
      <c r="R5509" s="24" t="str">
        <f t="shared" si="309"/>
        <v/>
      </c>
      <c r="S5509" s="24" t="str">
        <f t="shared" si="310"/>
        <v/>
      </c>
      <c r="T5509" t="str">
        <f t="shared" si="308"/>
        <v/>
      </c>
    </row>
    <row r="5510" spans="18:20">
      <c r="R5510" s="24" t="str">
        <f t="shared" si="309"/>
        <v/>
      </c>
      <c r="S5510" s="24" t="str">
        <f t="shared" si="310"/>
        <v/>
      </c>
      <c r="T5510" t="str">
        <f t="shared" si="308"/>
        <v/>
      </c>
    </row>
    <row r="5511" spans="18:20">
      <c r="R5511" s="24" t="str">
        <f t="shared" si="309"/>
        <v/>
      </c>
      <c r="S5511" s="24" t="str">
        <f t="shared" si="310"/>
        <v/>
      </c>
      <c r="T5511" t="str">
        <f t="shared" si="308"/>
        <v/>
      </c>
    </row>
    <row r="5512" spans="18:20">
      <c r="R5512" s="24" t="str">
        <f t="shared" si="309"/>
        <v/>
      </c>
      <c r="S5512" s="24" t="str">
        <f t="shared" si="310"/>
        <v/>
      </c>
      <c r="T5512" t="str">
        <f t="shared" si="308"/>
        <v/>
      </c>
    </row>
    <row r="5513" spans="18:20">
      <c r="R5513" s="24" t="str">
        <f t="shared" si="309"/>
        <v/>
      </c>
      <c r="S5513" s="24" t="str">
        <f t="shared" si="310"/>
        <v/>
      </c>
      <c r="T5513" t="str">
        <f t="shared" si="308"/>
        <v/>
      </c>
    </row>
    <row r="5514" spans="18:20">
      <c r="R5514" s="24" t="str">
        <f t="shared" si="309"/>
        <v/>
      </c>
      <c r="S5514" s="24" t="str">
        <f t="shared" si="310"/>
        <v/>
      </c>
      <c r="T5514" t="str">
        <f t="shared" si="308"/>
        <v/>
      </c>
    </row>
    <row r="5515" spans="18:20">
      <c r="R5515" s="24" t="str">
        <f t="shared" si="309"/>
        <v/>
      </c>
      <c r="S5515" s="24" t="str">
        <f t="shared" si="310"/>
        <v/>
      </c>
      <c r="T5515" t="str">
        <f t="shared" si="308"/>
        <v/>
      </c>
    </row>
    <row r="5516" spans="18:20">
      <c r="R5516" s="24" t="str">
        <f t="shared" si="309"/>
        <v/>
      </c>
      <c r="S5516" s="24" t="str">
        <f t="shared" si="310"/>
        <v/>
      </c>
      <c r="T5516" t="str">
        <f t="shared" si="308"/>
        <v/>
      </c>
    </row>
    <row r="5517" spans="18:20">
      <c r="R5517" s="24" t="str">
        <f t="shared" si="309"/>
        <v/>
      </c>
      <c r="S5517" s="24" t="str">
        <f t="shared" si="310"/>
        <v/>
      </c>
      <c r="T5517" t="str">
        <f t="shared" si="308"/>
        <v/>
      </c>
    </row>
    <row r="5518" spans="18:20">
      <c r="R5518" s="24" t="str">
        <f t="shared" si="309"/>
        <v/>
      </c>
      <c r="S5518" s="24" t="str">
        <f t="shared" si="310"/>
        <v/>
      </c>
      <c r="T5518" t="str">
        <f t="shared" si="308"/>
        <v/>
      </c>
    </row>
    <row r="5519" spans="18:20">
      <c r="R5519" s="24" t="str">
        <f t="shared" si="309"/>
        <v/>
      </c>
      <c r="S5519" s="24" t="str">
        <f t="shared" si="310"/>
        <v/>
      </c>
      <c r="T5519" t="str">
        <f t="shared" ref="T5519:T5582" si="311">IF(OR(C5519="",I5519&lt;&gt;"ENTRADA"),"",TEXT(B5519,"AAMMDD")&amp;"-"&amp;TEXT(VALUE(SUBSTITUTE(A5519,"MOV-","")),"000"))</f>
        <v/>
      </c>
    </row>
    <row r="5520" spans="18:20">
      <c r="R5520" s="24" t="str">
        <f t="shared" ref="R5520:R5583" si="312">IF(H5520="","",H5520&amp;I5520)</f>
        <v/>
      </c>
      <c r="S5520" s="24" t="str">
        <f t="shared" ref="S5520:S5583" si="313">IF(C5520="","",C5520&amp;I5520)</f>
        <v/>
      </c>
      <c r="T5520" t="str">
        <f t="shared" si="311"/>
        <v/>
      </c>
    </row>
    <row r="5521" spans="18:20">
      <c r="R5521" s="24" t="str">
        <f t="shared" si="312"/>
        <v/>
      </c>
      <c r="S5521" s="24" t="str">
        <f t="shared" si="313"/>
        <v/>
      </c>
      <c r="T5521" t="str">
        <f t="shared" si="311"/>
        <v/>
      </c>
    </row>
    <row r="5522" spans="18:20">
      <c r="R5522" s="24" t="str">
        <f t="shared" si="312"/>
        <v/>
      </c>
      <c r="S5522" s="24" t="str">
        <f t="shared" si="313"/>
        <v/>
      </c>
      <c r="T5522" t="str">
        <f t="shared" si="311"/>
        <v/>
      </c>
    </row>
    <row r="5523" spans="18:20">
      <c r="R5523" s="24" t="str">
        <f t="shared" si="312"/>
        <v/>
      </c>
      <c r="S5523" s="24" t="str">
        <f t="shared" si="313"/>
        <v/>
      </c>
      <c r="T5523" t="str">
        <f t="shared" si="311"/>
        <v/>
      </c>
    </row>
    <row r="5524" spans="18:20">
      <c r="R5524" s="24" t="str">
        <f t="shared" si="312"/>
        <v/>
      </c>
      <c r="S5524" s="24" t="str">
        <f t="shared" si="313"/>
        <v/>
      </c>
      <c r="T5524" t="str">
        <f t="shared" si="311"/>
        <v/>
      </c>
    </row>
    <row r="5525" spans="18:20">
      <c r="R5525" s="24" t="str">
        <f t="shared" si="312"/>
        <v/>
      </c>
      <c r="S5525" s="24" t="str">
        <f t="shared" si="313"/>
        <v/>
      </c>
      <c r="T5525" t="str">
        <f t="shared" si="311"/>
        <v/>
      </c>
    </row>
    <row r="5526" spans="18:20">
      <c r="R5526" s="24" t="str">
        <f t="shared" si="312"/>
        <v/>
      </c>
      <c r="S5526" s="24" t="str">
        <f t="shared" si="313"/>
        <v/>
      </c>
      <c r="T5526" t="str">
        <f t="shared" si="311"/>
        <v/>
      </c>
    </row>
    <row r="5527" spans="18:20">
      <c r="R5527" s="24" t="str">
        <f t="shared" si="312"/>
        <v/>
      </c>
      <c r="S5527" s="24" t="str">
        <f t="shared" si="313"/>
        <v/>
      </c>
      <c r="T5527" t="str">
        <f t="shared" si="311"/>
        <v/>
      </c>
    </row>
    <row r="5528" spans="18:20">
      <c r="R5528" s="24" t="str">
        <f t="shared" si="312"/>
        <v/>
      </c>
      <c r="S5528" s="24" t="str">
        <f t="shared" si="313"/>
        <v/>
      </c>
      <c r="T5528" t="str">
        <f t="shared" si="311"/>
        <v/>
      </c>
    </row>
    <row r="5529" spans="18:20">
      <c r="R5529" s="24" t="str">
        <f t="shared" si="312"/>
        <v/>
      </c>
      <c r="S5529" s="24" t="str">
        <f t="shared" si="313"/>
        <v/>
      </c>
      <c r="T5529" t="str">
        <f t="shared" si="311"/>
        <v/>
      </c>
    </row>
    <row r="5530" spans="18:20">
      <c r="R5530" s="24" t="str">
        <f t="shared" si="312"/>
        <v/>
      </c>
      <c r="S5530" s="24" t="str">
        <f t="shared" si="313"/>
        <v/>
      </c>
      <c r="T5530" t="str">
        <f t="shared" si="311"/>
        <v/>
      </c>
    </row>
    <row r="5531" spans="18:20">
      <c r="R5531" s="24" t="str">
        <f t="shared" si="312"/>
        <v/>
      </c>
      <c r="S5531" s="24" t="str">
        <f t="shared" si="313"/>
        <v/>
      </c>
      <c r="T5531" t="str">
        <f t="shared" si="311"/>
        <v/>
      </c>
    </row>
    <row r="5532" spans="18:20">
      <c r="R5532" s="24" t="str">
        <f t="shared" si="312"/>
        <v/>
      </c>
      <c r="S5532" s="24" t="str">
        <f t="shared" si="313"/>
        <v/>
      </c>
      <c r="T5532" t="str">
        <f t="shared" si="311"/>
        <v/>
      </c>
    </row>
    <row r="5533" spans="18:20">
      <c r="R5533" s="24" t="str">
        <f t="shared" si="312"/>
        <v/>
      </c>
      <c r="S5533" s="24" t="str">
        <f t="shared" si="313"/>
        <v/>
      </c>
      <c r="T5533" t="str">
        <f t="shared" si="311"/>
        <v/>
      </c>
    </row>
    <row r="5534" spans="18:20">
      <c r="R5534" s="24" t="str">
        <f t="shared" si="312"/>
        <v/>
      </c>
      <c r="S5534" s="24" t="str">
        <f t="shared" si="313"/>
        <v/>
      </c>
      <c r="T5534" t="str">
        <f t="shared" si="311"/>
        <v/>
      </c>
    </row>
    <row r="5535" spans="18:20">
      <c r="R5535" s="24" t="str">
        <f t="shared" si="312"/>
        <v/>
      </c>
      <c r="S5535" s="24" t="str">
        <f t="shared" si="313"/>
        <v/>
      </c>
      <c r="T5535" t="str">
        <f t="shared" si="311"/>
        <v/>
      </c>
    </row>
    <row r="5536" spans="18:20">
      <c r="R5536" s="24" t="str">
        <f t="shared" si="312"/>
        <v/>
      </c>
      <c r="S5536" s="24" t="str">
        <f t="shared" si="313"/>
        <v/>
      </c>
      <c r="T5536" t="str">
        <f t="shared" si="311"/>
        <v/>
      </c>
    </row>
    <row r="5537" spans="18:20">
      <c r="R5537" s="24" t="str">
        <f t="shared" si="312"/>
        <v/>
      </c>
      <c r="S5537" s="24" t="str">
        <f t="shared" si="313"/>
        <v/>
      </c>
      <c r="T5537" t="str">
        <f t="shared" si="311"/>
        <v/>
      </c>
    </row>
    <row r="5538" spans="18:20">
      <c r="R5538" s="24" t="str">
        <f t="shared" si="312"/>
        <v/>
      </c>
      <c r="S5538" s="24" t="str">
        <f t="shared" si="313"/>
        <v/>
      </c>
      <c r="T5538" t="str">
        <f t="shared" si="311"/>
        <v/>
      </c>
    </row>
    <row r="5539" spans="18:20">
      <c r="R5539" s="24" t="str">
        <f t="shared" si="312"/>
        <v/>
      </c>
      <c r="S5539" s="24" t="str">
        <f t="shared" si="313"/>
        <v/>
      </c>
      <c r="T5539" t="str">
        <f t="shared" si="311"/>
        <v/>
      </c>
    </row>
    <row r="5540" spans="18:20">
      <c r="R5540" s="24" t="str">
        <f t="shared" si="312"/>
        <v/>
      </c>
      <c r="S5540" s="24" t="str">
        <f t="shared" si="313"/>
        <v/>
      </c>
      <c r="T5540" t="str">
        <f t="shared" si="311"/>
        <v/>
      </c>
    </row>
    <row r="5541" spans="18:20">
      <c r="R5541" s="24" t="str">
        <f t="shared" si="312"/>
        <v/>
      </c>
      <c r="S5541" s="24" t="str">
        <f t="shared" si="313"/>
        <v/>
      </c>
      <c r="T5541" t="str">
        <f t="shared" si="311"/>
        <v/>
      </c>
    </row>
    <row r="5542" spans="18:20">
      <c r="R5542" s="24" t="str">
        <f t="shared" si="312"/>
        <v/>
      </c>
      <c r="S5542" s="24" t="str">
        <f t="shared" si="313"/>
        <v/>
      </c>
      <c r="T5542" t="str">
        <f t="shared" si="311"/>
        <v/>
      </c>
    </row>
    <row r="5543" spans="18:20">
      <c r="R5543" s="24" t="str">
        <f t="shared" si="312"/>
        <v/>
      </c>
      <c r="S5543" s="24" t="str">
        <f t="shared" si="313"/>
        <v/>
      </c>
      <c r="T5543" t="str">
        <f t="shared" si="311"/>
        <v/>
      </c>
    </row>
    <row r="5544" spans="18:20">
      <c r="R5544" s="24" t="str">
        <f t="shared" si="312"/>
        <v/>
      </c>
      <c r="S5544" s="24" t="str">
        <f t="shared" si="313"/>
        <v/>
      </c>
      <c r="T5544" t="str">
        <f t="shared" si="311"/>
        <v/>
      </c>
    </row>
    <row r="5545" spans="18:20">
      <c r="R5545" s="24" t="str">
        <f t="shared" si="312"/>
        <v/>
      </c>
      <c r="S5545" s="24" t="str">
        <f t="shared" si="313"/>
        <v/>
      </c>
      <c r="T5545" t="str">
        <f t="shared" si="311"/>
        <v/>
      </c>
    </row>
    <row r="5546" spans="18:20">
      <c r="R5546" s="24" t="str">
        <f t="shared" si="312"/>
        <v/>
      </c>
      <c r="S5546" s="24" t="str">
        <f t="shared" si="313"/>
        <v/>
      </c>
      <c r="T5546" t="str">
        <f t="shared" si="311"/>
        <v/>
      </c>
    </row>
    <row r="5547" spans="18:20">
      <c r="R5547" s="24" t="str">
        <f t="shared" si="312"/>
        <v/>
      </c>
      <c r="S5547" s="24" t="str">
        <f t="shared" si="313"/>
        <v/>
      </c>
      <c r="T5547" t="str">
        <f t="shared" si="311"/>
        <v/>
      </c>
    </row>
    <row r="5548" spans="18:20">
      <c r="R5548" s="24" t="str">
        <f t="shared" si="312"/>
        <v/>
      </c>
      <c r="S5548" s="24" t="str">
        <f t="shared" si="313"/>
        <v/>
      </c>
      <c r="T5548" t="str">
        <f t="shared" si="311"/>
        <v/>
      </c>
    </row>
    <row r="5549" spans="18:20">
      <c r="R5549" s="24" t="str">
        <f t="shared" si="312"/>
        <v/>
      </c>
      <c r="S5549" s="24" t="str">
        <f t="shared" si="313"/>
        <v/>
      </c>
      <c r="T5549" t="str">
        <f t="shared" si="311"/>
        <v/>
      </c>
    </row>
    <row r="5550" spans="18:20">
      <c r="R5550" s="24" t="str">
        <f t="shared" si="312"/>
        <v/>
      </c>
      <c r="S5550" s="24" t="str">
        <f t="shared" si="313"/>
        <v/>
      </c>
      <c r="T5550" t="str">
        <f t="shared" si="311"/>
        <v/>
      </c>
    </row>
    <row r="5551" spans="18:20">
      <c r="R5551" s="24" t="str">
        <f t="shared" si="312"/>
        <v/>
      </c>
      <c r="S5551" s="24" t="str">
        <f t="shared" si="313"/>
        <v/>
      </c>
      <c r="T5551" t="str">
        <f t="shared" si="311"/>
        <v/>
      </c>
    </row>
    <row r="5552" spans="18:20">
      <c r="R5552" s="24" t="str">
        <f t="shared" si="312"/>
        <v/>
      </c>
      <c r="S5552" s="24" t="str">
        <f t="shared" si="313"/>
        <v/>
      </c>
      <c r="T5552" t="str">
        <f t="shared" si="311"/>
        <v/>
      </c>
    </row>
    <row r="5553" spans="18:20">
      <c r="R5553" s="24" t="str">
        <f t="shared" si="312"/>
        <v/>
      </c>
      <c r="S5553" s="24" t="str">
        <f t="shared" si="313"/>
        <v/>
      </c>
      <c r="T5553" t="str">
        <f t="shared" si="311"/>
        <v/>
      </c>
    </row>
    <row r="5554" spans="18:20">
      <c r="R5554" s="24" t="str">
        <f t="shared" si="312"/>
        <v/>
      </c>
      <c r="S5554" s="24" t="str">
        <f t="shared" si="313"/>
        <v/>
      </c>
      <c r="T5554" t="str">
        <f t="shared" si="311"/>
        <v/>
      </c>
    </row>
    <row r="5555" spans="18:20">
      <c r="R5555" s="24" t="str">
        <f t="shared" si="312"/>
        <v/>
      </c>
      <c r="S5555" s="24" t="str">
        <f t="shared" si="313"/>
        <v/>
      </c>
      <c r="T5555" t="str">
        <f t="shared" si="311"/>
        <v/>
      </c>
    </row>
    <row r="5556" spans="18:20">
      <c r="R5556" s="24" t="str">
        <f t="shared" si="312"/>
        <v/>
      </c>
      <c r="S5556" s="24" t="str">
        <f t="shared" si="313"/>
        <v/>
      </c>
      <c r="T5556" t="str">
        <f t="shared" si="311"/>
        <v/>
      </c>
    </row>
    <row r="5557" spans="18:20">
      <c r="R5557" s="24" t="str">
        <f t="shared" si="312"/>
        <v/>
      </c>
      <c r="S5557" s="24" t="str">
        <f t="shared" si="313"/>
        <v/>
      </c>
      <c r="T5557" t="str">
        <f t="shared" si="311"/>
        <v/>
      </c>
    </row>
    <row r="5558" spans="18:20">
      <c r="R5558" s="24" t="str">
        <f t="shared" si="312"/>
        <v/>
      </c>
      <c r="S5558" s="24" t="str">
        <f t="shared" si="313"/>
        <v/>
      </c>
      <c r="T5558" t="str">
        <f t="shared" si="311"/>
        <v/>
      </c>
    </row>
    <row r="5559" spans="18:20">
      <c r="R5559" s="24" t="str">
        <f t="shared" si="312"/>
        <v/>
      </c>
      <c r="S5559" s="24" t="str">
        <f t="shared" si="313"/>
        <v/>
      </c>
      <c r="T5559" t="str">
        <f t="shared" si="311"/>
        <v/>
      </c>
    </row>
    <row r="5560" spans="18:20">
      <c r="R5560" s="24" t="str">
        <f t="shared" si="312"/>
        <v/>
      </c>
      <c r="S5560" s="24" t="str">
        <f t="shared" si="313"/>
        <v/>
      </c>
      <c r="T5560" t="str">
        <f t="shared" si="311"/>
        <v/>
      </c>
    </row>
    <row r="5561" spans="18:20">
      <c r="R5561" s="24" t="str">
        <f t="shared" si="312"/>
        <v/>
      </c>
      <c r="S5561" s="24" t="str">
        <f t="shared" si="313"/>
        <v/>
      </c>
      <c r="T5561" t="str">
        <f t="shared" si="311"/>
        <v/>
      </c>
    </row>
    <row r="5562" spans="18:20">
      <c r="R5562" s="24" t="str">
        <f t="shared" si="312"/>
        <v/>
      </c>
      <c r="S5562" s="24" t="str">
        <f t="shared" si="313"/>
        <v/>
      </c>
      <c r="T5562" t="str">
        <f t="shared" si="311"/>
        <v/>
      </c>
    </row>
    <row r="5563" spans="18:20">
      <c r="R5563" s="24" t="str">
        <f t="shared" si="312"/>
        <v/>
      </c>
      <c r="S5563" s="24" t="str">
        <f t="shared" si="313"/>
        <v/>
      </c>
      <c r="T5563" t="str">
        <f t="shared" si="311"/>
        <v/>
      </c>
    </row>
    <row r="5564" spans="18:20">
      <c r="R5564" s="24" t="str">
        <f t="shared" si="312"/>
        <v/>
      </c>
      <c r="S5564" s="24" t="str">
        <f t="shared" si="313"/>
        <v/>
      </c>
      <c r="T5564" t="str">
        <f t="shared" si="311"/>
        <v/>
      </c>
    </row>
    <row r="5565" spans="18:20">
      <c r="R5565" s="24" t="str">
        <f t="shared" si="312"/>
        <v/>
      </c>
      <c r="S5565" s="24" t="str">
        <f t="shared" si="313"/>
        <v/>
      </c>
      <c r="T5565" t="str">
        <f t="shared" si="311"/>
        <v/>
      </c>
    </row>
    <row r="5566" spans="18:20">
      <c r="R5566" s="24" t="str">
        <f t="shared" si="312"/>
        <v/>
      </c>
      <c r="S5566" s="24" t="str">
        <f t="shared" si="313"/>
        <v/>
      </c>
      <c r="T5566" t="str">
        <f t="shared" si="311"/>
        <v/>
      </c>
    </row>
    <row r="5567" spans="18:20">
      <c r="R5567" s="24" t="str">
        <f t="shared" si="312"/>
        <v/>
      </c>
      <c r="S5567" s="24" t="str">
        <f t="shared" si="313"/>
        <v/>
      </c>
      <c r="T5567" t="str">
        <f t="shared" si="311"/>
        <v/>
      </c>
    </row>
    <row r="5568" spans="18:20">
      <c r="R5568" s="24" t="str">
        <f t="shared" si="312"/>
        <v/>
      </c>
      <c r="S5568" s="24" t="str">
        <f t="shared" si="313"/>
        <v/>
      </c>
      <c r="T5568" t="str">
        <f t="shared" si="311"/>
        <v/>
      </c>
    </row>
    <row r="5569" spans="18:20">
      <c r="R5569" s="24" t="str">
        <f t="shared" si="312"/>
        <v/>
      </c>
      <c r="S5569" s="24" t="str">
        <f t="shared" si="313"/>
        <v/>
      </c>
      <c r="T5569" t="str">
        <f t="shared" si="311"/>
        <v/>
      </c>
    </row>
    <row r="5570" spans="18:20">
      <c r="R5570" s="24" t="str">
        <f t="shared" si="312"/>
        <v/>
      </c>
      <c r="S5570" s="24" t="str">
        <f t="shared" si="313"/>
        <v/>
      </c>
      <c r="T5570" t="str">
        <f t="shared" si="311"/>
        <v/>
      </c>
    </row>
    <row r="5571" spans="18:20">
      <c r="R5571" s="24" t="str">
        <f t="shared" si="312"/>
        <v/>
      </c>
      <c r="S5571" s="24" t="str">
        <f t="shared" si="313"/>
        <v/>
      </c>
      <c r="T5571" t="str">
        <f t="shared" si="311"/>
        <v/>
      </c>
    </row>
    <row r="5572" spans="18:20">
      <c r="R5572" s="24" t="str">
        <f t="shared" si="312"/>
        <v/>
      </c>
      <c r="S5572" s="24" t="str">
        <f t="shared" si="313"/>
        <v/>
      </c>
      <c r="T5572" t="str">
        <f t="shared" si="311"/>
        <v/>
      </c>
    </row>
    <row r="5573" spans="18:20">
      <c r="R5573" s="24" t="str">
        <f t="shared" si="312"/>
        <v/>
      </c>
      <c r="S5573" s="24" t="str">
        <f t="shared" si="313"/>
        <v/>
      </c>
      <c r="T5573" t="str">
        <f t="shared" si="311"/>
        <v/>
      </c>
    </row>
    <row r="5574" spans="18:20">
      <c r="R5574" s="24" t="str">
        <f t="shared" si="312"/>
        <v/>
      </c>
      <c r="S5574" s="24" t="str">
        <f t="shared" si="313"/>
        <v/>
      </c>
      <c r="T5574" t="str">
        <f t="shared" si="311"/>
        <v/>
      </c>
    </row>
    <row r="5575" spans="18:20">
      <c r="R5575" s="24" t="str">
        <f t="shared" si="312"/>
        <v/>
      </c>
      <c r="S5575" s="24" t="str">
        <f t="shared" si="313"/>
        <v/>
      </c>
      <c r="T5575" t="str">
        <f t="shared" si="311"/>
        <v/>
      </c>
    </row>
    <row r="5576" spans="18:20">
      <c r="R5576" s="24" t="str">
        <f t="shared" si="312"/>
        <v/>
      </c>
      <c r="S5576" s="24" t="str">
        <f t="shared" si="313"/>
        <v/>
      </c>
      <c r="T5576" t="str">
        <f t="shared" si="311"/>
        <v/>
      </c>
    </row>
    <row r="5577" spans="18:20">
      <c r="R5577" s="24" t="str">
        <f t="shared" si="312"/>
        <v/>
      </c>
      <c r="S5577" s="24" t="str">
        <f t="shared" si="313"/>
        <v/>
      </c>
      <c r="T5577" t="str">
        <f t="shared" si="311"/>
        <v/>
      </c>
    </row>
    <row r="5578" spans="18:20">
      <c r="R5578" s="24" t="str">
        <f t="shared" si="312"/>
        <v/>
      </c>
      <c r="S5578" s="24" t="str">
        <f t="shared" si="313"/>
        <v/>
      </c>
      <c r="T5578" t="str">
        <f t="shared" si="311"/>
        <v/>
      </c>
    </row>
    <row r="5579" spans="18:20">
      <c r="R5579" s="24" t="str">
        <f t="shared" si="312"/>
        <v/>
      </c>
      <c r="S5579" s="24" t="str">
        <f t="shared" si="313"/>
        <v/>
      </c>
      <c r="T5579" t="str">
        <f t="shared" si="311"/>
        <v/>
      </c>
    </row>
    <row r="5580" spans="18:20">
      <c r="R5580" s="24" t="str">
        <f t="shared" si="312"/>
        <v/>
      </c>
      <c r="S5580" s="24" t="str">
        <f t="shared" si="313"/>
        <v/>
      </c>
      <c r="T5580" t="str">
        <f t="shared" si="311"/>
        <v/>
      </c>
    </row>
    <row r="5581" spans="18:20">
      <c r="R5581" s="24" t="str">
        <f t="shared" si="312"/>
        <v/>
      </c>
      <c r="S5581" s="24" t="str">
        <f t="shared" si="313"/>
        <v/>
      </c>
      <c r="T5581" t="str">
        <f t="shared" si="311"/>
        <v/>
      </c>
    </row>
    <row r="5582" spans="18:20">
      <c r="R5582" s="24" t="str">
        <f t="shared" si="312"/>
        <v/>
      </c>
      <c r="S5582" s="24" t="str">
        <f t="shared" si="313"/>
        <v/>
      </c>
      <c r="T5582" t="str">
        <f t="shared" si="311"/>
        <v/>
      </c>
    </row>
    <row r="5583" spans="18:20">
      <c r="R5583" s="24" t="str">
        <f t="shared" si="312"/>
        <v/>
      </c>
      <c r="S5583" s="24" t="str">
        <f t="shared" si="313"/>
        <v/>
      </c>
      <c r="T5583" t="str">
        <f t="shared" ref="T5583:T5646" si="314">IF(OR(C5583="",I5583&lt;&gt;"ENTRADA"),"",TEXT(B5583,"AAMMDD")&amp;"-"&amp;TEXT(VALUE(SUBSTITUTE(A5583,"MOV-","")),"000"))</f>
        <v/>
      </c>
    </row>
    <row r="5584" spans="18:20">
      <c r="R5584" s="24" t="str">
        <f t="shared" ref="R5584:R5647" si="315">IF(H5584="","",H5584&amp;I5584)</f>
        <v/>
      </c>
      <c r="S5584" s="24" t="str">
        <f t="shared" ref="S5584:S5647" si="316">IF(C5584="","",C5584&amp;I5584)</f>
        <v/>
      </c>
      <c r="T5584" t="str">
        <f t="shared" si="314"/>
        <v/>
      </c>
    </row>
    <row r="5585" spans="18:20">
      <c r="R5585" s="24" t="str">
        <f t="shared" si="315"/>
        <v/>
      </c>
      <c r="S5585" s="24" t="str">
        <f t="shared" si="316"/>
        <v/>
      </c>
      <c r="T5585" t="str">
        <f t="shared" si="314"/>
        <v/>
      </c>
    </row>
    <row r="5586" spans="18:20">
      <c r="R5586" s="24" t="str">
        <f t="shared" si="315"/>
        <v/>
      </c>
      <c r="S5586" s="24" t="str">
        <f t="shared" si="316"/>
        <v/>
      </c>
      <c r="T5586" t="str">
        <f t="shared" si="314"/>
        <v/>
      </c>
    </row>
    <row r="5587" spans="18:20">
      <c r="R5587" s="24" t="str">
        <f t="shared" si="315"/>
        <v/>
      </c>
      <c r="S5587" s="24" t="str">
        <f t="shared" si="316"/>
        <v/>
      </c>
      <c r="T5587" t="str">
        <f t="shared" si="314"/>
        <v/>
      </c>
    </row>
    <row r="5588" spans="18:20">
      <c r="R5588" s="24" t="str">
        <f t="shared" si="315"/>
        <v/>
      </c>
      <c r="S5588" s="24" t="str">
        <f t="shared" si="316"/>
        <v/>
      </c>
      <c r="T5588" t="str">
        <f t="shared" si="314"/>
        <v/>
      </c>
    </row>
    <row r="5589" spans="18:20">
      <c r="R5589" s="24" t="str">
        <f t="shared" si="315"/>
        <v/>
      </c>
      <c r="S5589" s="24" t="str">
        <f t="shared" si="316"/>
        <v/>
      </c>
      <c r="T5589" t="str">
        <f t="shared" si="314"/>
        <v/>
      </c>
    </row>
    <row r="5590" spans="18:20">
      <c r="R5590" s="24" t="str">
        <f t="shared" si="315"/>
        <v/>
      </c>
      <c r="S5590" s="24" t="str">
        <f t="shared" si="316"/>
        <v/>
      </c>
      <c r="T5590" t="str">
        <f t="shared" si="314"/>
        <v/>
      </c>
    </row>
    <row r="5591" spans="18:20">
      <c r="R5591" s="24" t="str">
        <f t="shared" si="315"/>
        <v/>
      </c>
      <c r="S5591" s="24" t="str">
        <f t="shared" si="316"/>
        <v/>
      </c>
      <c r="T5591" t="str">
        <f t="shared" si="314"/>
        <v/>
      </c>
    </row>
    <row r="5592" spans="18:20">
      <c r="R5592" s="24" t="str">
        <f t="shared" si="315"/>
        <v/>
      </c>
      <c r="S5592" s="24" t="str">
        <f t="shared" si="316"/>
        <v/>
      </c>
      <c r="T5592" t="str">
        <f t="shared" si="314"/>
        <v/>
      </c>
    </row>
    <row r="5593" spans="18:20">
      <c r="R5593" s="24" t="str">
        <f t="shared" si="315"/>
        <v/>
      </c>
      <c r="S5593" s="24" t="str">
        <f t="shared" si="316"/>
        <v/>
      </c>
      <c r="T5593" t="str">
        <f t="shared" si="314"/>
        <v/>
      </c>
    </row>
    <row r="5594" spans="18:20">
      <c r="R5594" s="24" t="str">
        <f t="shared" si="315"/>
        <v/>
      </c>
      <c r="S5594" s="24" t="str">
        <f t="shared" si="316"/>
        <v/>
      </c>
      <c r="T5594" t="str">
        <f t="shared" si="314"/>
        <v/>
      </c>
    </row>
    <row r="5595" spans="18:20">
      <c r="R5595" s="24" t="str">
        <f t="shared" si="315"/>
        <v/>
      </c>
      <c r="S5595" s="24" t="str">
        <f t="shared" si="316"/>
        <v/>
      </c>
      <c r="T5595" t="str">
        <f t="shared" si="314"/>
        <v/>
      </c>
    </row>
    <row r="5596" spans="18:20">
      <c r="R5596" s="24" t="str">
        <f t="shared" si="315"/>
        <v/>
      </c>
      <c r="S5596" s="24" t="str">
        <f t="shared" si="316"/>
        <v/>
      </c>
      <c r="T5596" t="str">
        <f t="shared" si="314"/>
        <v/>
      </c>
    </row>
    <row r="5597" spans="18:20">
      <c r="R5597" s="24" t="str">
        <f t="shared" si="315"/>
        <v/>
      </c>
      <c r="S5597" s="24" t="str">
        <f t="shared" si="316"/>
        <v/>
      </c>
      <c r="T5597" t="str">
        <f t="shared" si="314"/>
        <v/>
      </c>
    </row>
    <row r="5598" spans="18:20">
      <c r="R5598" s="24" t="str">
        <f t="shared" si="315"/>
        <v/>
      </c>
      <c r="S5598" s="24" t="str">
        <f t="shared" si="316"/>
        <v/>
      </c>
      <c r="T5598" t="str">
        <f t="shared" si="314"/>
        <v/>
      </c>
    </row>
    <row r="5599" spans="18:20">
      <c r="R5599" s="24" t="str">
        <f t="shared" si="315"/>
        <v/>
      </c>
      <c r="S5599" s="24" t="str">
        <f t="shared" si="316"/>
        <v/>
      </c>
      <c r="T5599" t="str">
        <f t="shared" si="314"/>
        <v/>
      </c>
    </row>
    <row r="5600" spans="18:20">
      <c r="R5600" s="24" t="str">
        <f t="shared" si="315"/>
        <v/>
      </c>
      <c r="S5600" s="24" t="str">
        <f t="shared" si="316"/>
        <v/>
      </c>
      <c r="T5600" t="str">
        <f t="shared" si="314"/>
        <v/>
      </c>
    </row>
    <row r="5601" spans="18:20">
      <c r="R5601" s="24" t="str">
        <f t="shared" si="315"/>
        <v/>
      </c>
      <c r="S5601" s="24" t="str">
        <f t="shared" si="316"/>
        <v/>
      </c>
      <c r="T5601" t="str">
        <f t="shared" si="314"/>
        <v/>
      </c>
    </row>
    <row r="5602" spans="18:20">
      <c r="R5602" s="24" t="str">
        <f t="shared" si="315"/>
        <v/>
      </c>
      <c r="S5602" s="24" t="str">
        <f t="shared" si="316"/>
        <v/>
      </c>
      <c r="T5602" t="str">
        <f t="shared" si="314"/>
        <v/>
      </c>
    </row>
    <row r="5603" spans="18:20">
      <c r="R5603" s="24" t="str">
        <f t="shared" si="315"/>
        <v/>
      </c>
      <c r="S5603" s="24" t="str">
        <f t="shared" si="316"/>
        <v/>
      </c>
      <c r="T5603" t="str">
        <f t="shared" si="314"/>
        <v/>
      </c>
    </row>
    <row r="5604" spans="18:20">
      <c r="R5604" s="24" t="str">
        <f t="shared" si="315"/>
        <v/>
      </c>
      <c r="S5604" s="24" t="str">
        <f t="shared" si="316"/>
        <v/>
      </c>
      <c r="T5604" t="str">
        <f t="shared" si="314"/>
        <v/>
      </c>
    </row>
    <row r="5605" spans="18:20">
      <c r="R5605" s="24" t="str">
        <f t="shared" si="315"/>
        <v/>
      </c>
      <c r="S5605" s="24" t="str">
        <f t="shared" si="316"/>
        <v/>
      </c>
      <c r="T5605" t="str">
        <f t="shared" si="314"/>
        <v/>
      </c>
    </row>
    <row r="5606" spans="18:20">
      <c r="R5606" s="24" t="str">
        <f t="shared" si="315"/>
        <v/>
      </c>
      <c r="S5606" s="24" t="str">
        <f t="shared" si="316"/>
        <v/>
      </c>
      <c r="T5606" t="str">
        <f t="shared" si="314"/>
        <v/>
      </c>
    </row>
    <row r="5607" spans="18:20">
      <c r="R5607" s="24" t="str">
        <f t="shared" si="315"/>
        <v/>
      </c>
      <c r="S5607" s="24" t="str">
        <f t="shared" si="316"/>
        <v/>
      </c>
      <c r="T5607" t="str">
        <f t="shared" si="314"/>
        <v/>
      </c>
    </row>
    <row r="5608" spans="18:20">
      <c r="R5608" s="24" t="str">
        <f t="shared" si="315"/>
        <v/>
      </c>
      <c r="S5608" s="24" t="str">
        <f t="shared" si="316"/>
        <v/>
      </c>
      <c r="T5608" t="str">
        <f t="shared" si="314"/>
        <v/>
      </c>
    </row>
    <row r="5609" spans="18:20">
      <c r="R5609" s="24" t="str">
        <f t="shared" si="315"/>
        <v/>
      </c>
      <c r="S5609" s="24" t="str">
        <f t="shared" si="316"/>
        <v/>
      </c>
      <c r="T5609" t="str">
        <f t="shared" si="314"/>
        <v/>
      </c>
    </row>
    <row r="5610" spans="18:20">
      <c r="R5610" s="24" t="str">
        <f t="shared" si="315"/>
        <v/>
      </c>
      <c r="S5610" s="24" t="str">
        <f t="shared" si="316"/>
        <v/>
      </c>
      <c r="T5610" t="str">
        <f t="shared" si="314"/>
        <v/>
      </c>
    </row>
    <row r="5611" spans="18:20">
      <c r="R5611" s="24" t="str">
        <f t="shared" si="315"/>
        <v/>
      </c>
      <c r="S5611" s="24" t="str">
        <f t="shared" si="316"/>
        <v/>
      </c>
      <c r="T5611" t="str">
        <f t="shared" si="314"/>
        <v/>
      </c>
    </row>
    <row r="5612" spans="18:20">
      <c r="R5612" s="24" t="str">
        <f t="shared" si="315"/>
        <v/>
      </c>
      <c r="S5612" s="24" t="str">
        <f t="shared" si="316"/>
        <v/>
      </c>
      <c r="T5612" t="str">
        <f t="shared" si="314"/>
        <v/>
      </c>
    </row>
    <row r="5613" spans="18:20">
      <c r="R5613" s="24" t="str">
        <f t="shared" si="315"/>
        <v/>
      </c>
      <c r="S5613" s="24" t="str">
        <f t="shared" si="316"/>
        <v/>
      </c>
      <c r="T5613" t="str">
        <f t="shared" si="314"/>
        <v/>
      </c>
    </row>
    <row r="5614" spans="18:20">
      <c r="R5614" s="24" t="str">
        <f t="shared" si="315"/>
        <v/>
      </c>
      <c r="S5614" s="24" t="str">
        <f t="shared" si="316"/>
        <v/>
      </c>
      <c r="T5614" t="str">
        <f t="shared" si="314"/>
        <v/>
      </c>
    </row>
    <row r="5615" spans="18:20">
      <c r="R5615" s="24" t="str">
        <f t="shared" si="315"/>
        <v/>
      </c>
      <c r="S5615" s="24" t="str">
        <f t="shared" si="316"/>
        <v/>
      </c>
      <c r="T5615" t="str">
        <f t="shared" si="314"/>
        <v/>
      </c>
    </row>
    <row r="5616" spans="18:20">
      <c r="R5616" s="24" t="str">
        <f t="shared" si="315"/>
        <v/>
      </c>
      <c r="S5616" s="24" t="str">
        <f t="shared" si="316"/>
        <v/>
      </c>
      <c r="T5616" t="str">
        <f t="shared" si="314"/>
        <v/>
      </c>
    </row>
    <row r="5617" spans="18:20">
      <c r="R5617" s="24" t="str">
        <f t="shared" si="315"/>
        <v/>
      </c>
      <c r="S5617" s="24" t="str">
        <f t="shared" si="316"/>
        <v/>
      </c>
      <c r="T5617" t="str">
        <f t="shared" si="314"/>
        <v/>
      </c>
    </row>
    <row r="5618" spans="18:20">
      <c r="R5618" s="24" t="str">
        <f t="shared" si="315"/>
        <v/>
      </c>
      <c r="S5618" s="24" t="str">
        <f t="shared" si="316"/>
        <v/>
      </c>
      <c r="T5618" t="str">
        <f t="shared" si="314"/>
        <v/>
      </c>
    </row>
    <row r="5619" spans="18:20">
      <c r="R5619" s="24" t="str">
        <f t="shared" si="315"/>
        <v/>
      </c>
      <c r="S5619" s="24" t="str">
        <f t="shared" si="316"/>
        <v/>
      </c>
      <c r="T5619" t="str">
        <f t="shared" si="314"/>
        <v/>
      </c>
    </row>
    <row r="5620" spans="18:20">
      <c r="R5620" s="24" t="str">
        <f t="shared" si="315"/>
        <v/>
      </c>
      <c r="S5620" s="24" t="str">
        <f t="shared" si="316"/>
        <v/>
      </c>
      <c r="T5620" t="str">
        <f t="shared" si="314"/>
        <v/>
      </c>
    </row>
    <row r="5621" spans="18:20">
      <c r="R5621" s="24" t="str">
        <f t="shared" si="315"/>
        <v/>
      </c>
      <c r="S5621" s="24" t="str">
        <f t="shared" si="316"/>
        <v/>
      </c>
      <c r="T5621" t="str">
        <f t="shared" si="314"/>
        <v/>
      </c>
    </row>
    <row r="5622" spans="18:20">
      <c r="R5622" s="24" t="str">
        <f t="shared" si="315"/>
        <v/>
      </c>
      <c r="S5622" s="24" t="str">
        <f t="shared" si="316"/>
        <v/>
      </c>
      <c r="T5622" t="str">
        <f t="shared" si="314"/>
        <v/>
      </c>
    </row>
    <row r="5623" spans="18:20">
      <c r="R5623" s="24" t="str">
        <f t="shared" si="315"/>
        <v/>
      </c>
      <c r="S5623" s="24" t="str">
        <f t="shared" si="316"/>
        <v/>
      </c>
      <c r="T5623" t="str">
        <f t="shared" si="314"/>
        <v/>
      </c>
    </row>
    <row r="5624" spans="18:20">
      <c r="R5624" s="24" t="str">
        <f t="shared" si="315"/>
        <v/>
      </c>
      <c r="S5624" s="24" t="str">
        <f t="shared" si="316"/>
        <v/>
      </c>
      <c r="T5624" t="str">
        <f t="shared" si="314"/>
        <v/>
      </c>
    </row>
    <row r="5625" spans="18:20">
      <c r="R5625" s="24" t="str">
        <f t="shared" si="315"/>
        <v/>
      </c>
      <c r="S5625" s="24" t="str">
        <f t="shared" si="316"/>
        <v/>
      </c>
      <c r="T5625" t="str">
        <f t="shared" si="314"/>
        <v/>
      </c>
    </row>
    <row r="5626" spans="18:20">
      <c r="R5626" s="24" t="str">
        <f t="shared" si="315"/>
        <v/>
      </c>
      <c r="S5626" s="24" t="str">
        <f t="shared" si="316"/>
        <v/>
      </c>
      <c r="T5626" t="str">
        <f t="shared" si="314"/>
        <v/>
      </c>
    </row>
    <row r="5627" spans="18:20">
      <c r="R5627" s="24" t="str">
        <f t="shared" si="315"/>
        <v/>
      </c>
      <c r="S5627" s="24" t="str">
        <f t="shared" si="316"/>
        <v/>
      </c>
      <c r="T5627" t="str">
        <f t="shared" si="314"/>
        <v/>
      </c>
    </row>
    <row r="5628" spans="18:20">
      <c r="R5628" s="24" t="str">
        <f t="shared" si="315"/>
        <v/>
      </c>
      <c r="S5628" s="24" t="str">
        <f t="shared" si="316"/>
        <v/>
      </c>
      <c r="T5628" t="str">
        <f t="shared" si="314"/>
        <v/>
      </c>
    </row>
    <row r="5629" spans="18:20">
      <c r="R5629" s="24" t="str">
        <f t="shared" si="315"/>
        <v/>
      </c>
      <c r="S5629" s="24" t="str">
        <f t="shared" si="316"/>
        <v/>
      </c>
      <c r="T5629" t="str">
        <f t="shared" si="314"/>
        <v/>
      </c>
    </row>
    <row r="5630" spans="18:20">
      <c r="R5630" s="24" t="str">
        <f t="shared" si="315"/>
        <v/>
      </c>
      <c r="S5630" s="24" t="str">
        <f t="shared" si="316"/>
        <v/>
      </c>
      <c r="T5630" t="str">
        <f t="shared" si="314"/>
        <v/>
      </c>
    </row>
    <row r="5631" spans="18:20">
      <c r="R5631" s="24" t="str">
        <f t="shared" si="315"/>
        <v/>
      </c>
      <c r="S5631" s="24" t="str">
        <f t="shared" si="316"/>
        <v/>
      </c>
      <c r="T5631" t="str">
        <f t="shared" si="314"/>
        <v/>
      </c>
    </row>
    <row r="5632" spans="18:20">
      <c r="R5632" s="24" t="str">
        <f t="shared" si="315"/>
        <v/>
      </c>
      <c r="S5632" s="24" t="str">
        <f t="shared" si="316"/>
        <v/>
      </c>
      <c r="T5632" t="str">
        <f t="shared" si="314"/>
        <v/>
      </c>
    </row>
    <row r="5633" spans="18:20">
      <c r="R5633" s="24" t="str">
        <f t="shared" si="315"/>
        <v/>
      </c>
      <c r="S5633" s="24" t="str">
        <f t="shared" si="316"/>
        <v/>
      </c>
      <c r="T5633" t="str">
        <f t="shared" si="314"/>
        <v/>
      </c>
    </row>
    <row r="5634" spans="18:20">
      <c r="R5634" s="24" t="str">
        <f t="shared" si="315"/>
        <v/>
      </c>
      <c r="S5634" s="24" t="str">
        <f t="shared" si="316"/>
        <v/>
      </c>
      <c r="T5634" t="str">
        <f t="shared" si="314"/>
        <v/>
      </c>
    </row>
    <row r="5635" spans="18:20">
      <c r="R5635" s="24" t="str">
        <f t="shared" si="315"/>
        <v/>
      </c>
      <c r="S5635" s="24" t="str">
        <f t="shared" si="316"/>
        <v/>
      </c>
      <c r="T5635" t="str">
        <f t="shared" si="314"/>
        <v/>
      </c>
    </row>
    <row r="5636" spans="18:20">
      <c r="R5636" s="24" t="str">
        <f t="shared" si="315"/>
        <v/>
      </c>
      <c r="S5636" s="24" t="str">
        <f t="shared" si="316"/>
        <v/>
      </c>
      <c r="T5636" t="str">
        <f t="shared" si="314"/>
        <v/>
      </c>
    </row>
    <row r="5637" spans="18:20">
      <c r="R5637" s="24" t="str">
        <f t="shared" si="315"/>
        <v/>
      </c>
      <c r="S5637" s="24" t="str">
        <f t="shared" si="316"/>
        <v/>
      </c>
      <c r="T5637" t="str">
        <f t="shared" si="314"/>
        <v/>
      </c>
    </row>
    <row r="5638" spans="18:20">
      <c r="R5638" s="24" t="str">
        <f t="shared" si="315"/>
        <v/>
      </c>
      <c r="S5638" s="24" t="str">
        <f t="shared" si="316"/>
        <v/>
      </c>
      <c r="T5638" t="str">
        <f t="shared" si="314"/>
        <v/>
      </c>
    </row>
    <row r="5639" spans="18:20">
      <c r="R5639" s="24" t="str">
        <f t="shared" si="315"/>
        <v/>
      </c>
      <c r="S5639" s="24" t="str">
        <f t="shared" si="316"/>
        <v/>
      </c>
      <c r="T5639" t="str">
        <f t="shared" si="314"/>
        <v/>
      </c>
    </row>
    <row r="5640" spans="18:20">
      <c r="R5640" s="24" t="str">
        <f t="shared" si="315"/>
        <v/>
      </c>
      <c r="S5640" s="24" t="str">
        <f t="shared" si="316"/>
        <v/>
      </c>
      <c r="T5640" t="str">
        <f t="shared" si="314"/>
        <v/>
      </c>
    </row>
    <row r="5641" spans="18:20">
      <c r="R5641" s="24" t="str">
        <f t="shared" si="315"/>
        <v/>
      </c>
      <c r="S5641" s="24" t="str">
        <f t="shared" si="316"/>
        <v/>
      </c>
      <c r="T5641" t="str">
        <f t="shared" si="314"/>
        <v/>
      </c>
    </row>
    <row r="5642" spans="18:20">
      <c r="R5642" s="24" t="str">
        <f t="shared" si="315"/>
        <v/>
      </c>
      <c r="S5642" s="24" t="str">
        <f t="shared" si="316"/>
        <v/>
      </c>
      <c r="T5642" t="str">
        <f t="shared" si="314"/>
        <v/>
      </c>
    </row>
    <row r="5643" spans="18:20">
      <c r="R5643" s="24" t="str">
        <f t="shared" si="315"/>
        <v/>
      </c>
      <c r="S5643" s="24" t="str">
        <f t="shared" si="316"/>
        <v/>
      </c>
      <c r="T5643" t="str">
        <f t="shared" si="314"/>
        <v/>
      </c>
    </row>
    <row r="5644" spans="18:20">
      <c r="R5644" s="24" t="str">
        <f t="shared" si="315"/>
        <v/>
      </c>
      <c r="S5644" s="24" t="str">
        <f t="shared" si="316"/>
        <v/>
      </c>
      <c r="T5644" t="str">
        <f t="shared" si="314"/>
        <v/>
      </c>
    </row>
    <row r="5645" spans="18:20">
      <c r="R5645" s="24" t="str">
        <f t="shared" si="315"/>
        <v/>
      </c>
      <c r="S5645" s="24" t="str">
        <f t="shared" si="316"/>
        <v/>
      </c>
      <c r="T5645" t="str">
        <f t="shared" si="314"/>
        <v/>
      </c>
    </row>
    <row r="5646" spans="18:20">
      <c r="R5646" s="24" t="str">
        <f t="shared" si="315"/>
        <v/>
      </c>
      <c r="S5646" s="24" t="str">
        <f t="shared" si="316"/>
        <v/>
      </c>
      <c r="T5646" t="str">
        <f t="shared" si="314"/>
        <v/>
      </c>
    </row>
    <row r="5647" spans="18:20">
      <c r="R5647" s="24" t="str">
        <f t="shared" si="315"/>
        <v/>
      </c>
      <c r="S5647" s="24" t="str">
        <f t="shared" si="316"/>
        <v/>
      </c>
      <c r="T5647" t="str">
        <f t="shared" ref="T5647:T5710" si="317">IF(OR(C5647="",I5647&lt;&gt;"ENTRADA"),"",TEXT(B5647,"AAMMDD")&amp;"-"&amp;TEXT(VALUE(SUBSTITUTE(A5647,"MOV-","")),"000"))</f>
        <v/>
      </c>
    </row>
    <row r="5648" spans="18:20">
      <c r="R5648" s="24" t="str">
        <f t="shared" ref="R5648:R5711" si="318">IF(H5648="","",H5648&amp;I5648)</f>
        <v/>
      </c>
      <c r="S5648" s="24" t="str">
        <f t="shared" ref="S5648:S5711" si="319">IF(C5648="","",C5648&amp;I5648)</f>
        <v/>
      </c>
      <c r="T5648" t="str">
        <f t="shared" si="317"/>
        <v/>
      </c>
    </row>
    <row r="5649" spans="18:20">
      <c r="R5649" s="24" t="str">
        <f t="shared" si="318"/>
        <v/>
      </c>
      <c r="S5649" s="24" t="str">
        <f t="shared" si="319"/>
        <v/>
      </c>
      <c r="T5649" t="str">
        <f t="shared" si="317"/>
        <v/>
      </c>
    </row>
    <row r="5650" spans="18:20">
      <c r="R5650" s="24" t="str">
        <f t="shared" si="318"/>
        <v/>
      </c>
      <c r="S5650" s="24" t="str">
        <f t="shared" si="319"/>
        <v/>
      </c>
      <c r="T5650" t="str">
        <f t="shared" si="317"/>
        <v/>
      </c>
    </row>
    <row r="5651" spans="18:20">
      <c r="R5651" s="24" t="str">
        <f t="shared" si="318"/>
        <v/>
      </c>
      <c r="S5651" s="24" t="str">
        <f t="shared" si="319"/>
        <v/>
      </c>
      <c r="T5651" t="str">
        <f t="shared" si="317"/>
        <v/>
      </c>
    </row>
    <row r="5652" spans="18:20">
      <c r="R5652" s="24" t="str">
        <f t="shared" si="318"/>
        <v/>
      </c>
      <c r="S5652" s="24" t="str">
        <f t="shared" si="319"/>
        <v/>
      </c>
      <c r="T5652" t="str">
        <f t="shared" si="317"/>
        <v/>
      </c>
    </row>
    <row r="5653" spans="18:20">
      <c r="R5653" s="24" t="str">
        <f t="shared" si="318"/>
        <v/>
      </c>
      <c r="S5653" s="24" t="str">
        <f t="shared" si="319"/>
        <v/>
      </c>
      <c r="T5653" t="str">
        <f t="shared" si="317"/>
        <v/>
      </c>
    </row>
    <row r="5654" spans="18:20">
      <c r="R5654" s="24" t="str">
        <f t="shared" si="318"/>
        <v/>
      </c>
      <c r="S5654" s="24" t="str">
        <f t="shared" si="319"/>
        <v/>
      </c>
      <c r="T5654" t="str">
        <f t="shared" si="317"/>
        <v/>
      </c>
    </row>
    <row r="5655" spans="18:20">
      <c r="R5655" s="24" t="str">
        <f t="shared" si="318"/>
        <v/>
      </c>
      <c r="S5655" s="24" t="str">
        <f t="shared" si="319"/>
        <v/>
      </c>
      <c r="T5655" t="str">
        <f t="shared" si="317"/>
        <v/>
      </c>
    </row>
    <row r="5656" spans="18:20">
      <c r="R5656" s="24" t="str">
        <f t="shared" si="318"/>
        <v/>
      </c>
      <c r="S5656" s="24" t="str">
        <f t="shared" si="319"/>
        <v/>
      </c>
      <c r="T5656" t="str">
        <f t="shared" si="317"/>
        <v/>
      </c>
    </row>
    <row r="5657" spans="18:20">
      <c r="R5657" s="24" t="str">
        <f t="shared" si="318"/>
        <v/>
      </c>
      <c r="S5657" s="24" t="str">
        <f t="shared" si="319"/>
        <v/>
      </c>
      <c r="T5657" t="str">
        <f t="shared" si="317"/>
        <v/>
      </c>
    </row>
    <row r="5658" spans="18:20">
      <c r="R5658" s="24" t="str">
        <f t="shared" si="318"/>
        <v/>
      </c>
      <c r="S5658" s="24" t="str">
        <f t="shared" si="319"/>
        <v/>
      </c>
      <c r="T5658" t="str">
        <f t="shared" si="317"/>
        <v/>
      </c>
    </row>
    <row r="5659" spans="18:20">
      <c r="R5659" s="24" t="str">
        <f t="shared" si="318"/>
        <v/>
      </c>
      <c r="S5659" s="24" t="str">
        <f t="shared" si="319"/>
        <v/>
      </c>
      <c r="T5659" t="str">
        <f t="shared" si="317"/>
        <v/>
      </c>
    </row>
    <row r="5660" spans="18:20">
      <c r="R5660" s="24" t="str">
        <f t="shared" si="318"/>
        <v/>
      </c>
      <c r="S5660" s="24" t="str">
        <f t="shared" si="319"/>
        <v/>
      </c>
      <c r="T5660" t="str">
        <f t="shared" si="317"/>
        <v/>
      </c>
    </row>
    <row r="5661" spans="18:20">
      <c r="R5661" s="24" t="str">
        <f t="shared" si="318"/>
        <v/>
      </c>
      <c r="S5661" s="24" t="str">
        <f t="shared" si="319"/>
        <v/>
      </c>
      <c r="T5661" t="str">
        <f t="shared" si="317"/>
        <v/>
      </c>
    </row>
    <row r="5662" spans="18:20">
      <c r="R5662" s="24" t="str">
        <f t="shared" si="318"/>
        <v/>
      </c>
      <c r="S5662" s="24" t="str">
        <f t="shared" si="319"/>
        <v/>
      </c>
      <c r="T5662" t="str">
        <f t="shared" si="317"/>
        <v/>
      </c>
    </row>
    <row r="5663" spans="18:20">
      <c r="R5663" s="24" t="str">
        <f t="shared" si="318"/>
        <v/>
      </c>
      <c r="S5663" s="24" t="str">
        <f t="shared" si="319"/>
        <v/>
      </c>
      <c r="T5663" t="str">
        <f t="shared" si="317"/>
        <v/>
      </c>
    </row>
    <row r="5664" spans="18:20">
      <c r="R5664" s="24" t="str">
        <f t="shared" si="318"/>
        <v/>
      </c>
      <c r="S5664" s="24" t="str">
        <f t="shared" si="319"/>
        <v/>
      </c>
      <c r="T5664" t="str">
        <f t="shared" si="317"/>
        <v/>
      </c>
    </row>
    <row r="5665" spans="18:20">
      <c r="R5665" s="24" t="str">
        <f t="shared" si="318"/>
        <v/>
      </c>
      <c r="S5665" s="24" t="str">
        <f t="shared" si="319"/>
        <v/>
      </c>
      <c r="T5665" t="str">
        <f t="shared" si="317"/>
        <v/>
      </c>
    </row>
    <row r="5666" spans="18:20">
      <c r="R5666" s="24" t="str">
        <f t="shared" si="318"/>
        <v/>
      </c>
      <c r="S5666" s="24" t="str">
        <f t="shared" si="319"/>
        <v/>
      </c>
      <c r="T5666" t="str">
        <f t="shared" si="317"/>
        <v/>
      </c>
    </row>
    <row r="5667" spans="18:20">
      <c r="R5667" s="24" t="str">
        <f t="shared" si="318"/>
        <v/>
      </c>
      <c r="S5667" s="24" t="str">
        <f t="shared" si="319"/>
        <v/>
      </c>
      <c r="T5667" t="str">
        <f t="shared" si="317"/>
        <v/>
      </c>
    </row>
    <row r="5668" spans="18:20">
      <c r="R5668" s="24" t="str">
        <f t="shared" si="318"/>
        <v/>
      </c>
      <c r="S5668" s="24" t="str">
        <f t="shared" si="319"/>
        <v/>
      </c>
      <c r="T5668" t="str">
        <f t="shared" si="317"/>
        <v/>
      </c>
    </row>
    <row r="5669" spans="18:20">
      <c r="R5669" s="24" t="str">
        <f t="shared" si="318"/>
        <v/>
      </c>
      <c r="S5669" s="24" t="str">
        <f t="shared" si="319"/>
        <v/>
      </c>
      <c r="T5669" t="str">
        <f t="shared" si="317"/>
        <v/>
      </c>
    </row>
    <row r="5670" spans="18:20">
      <c r="R5670" s="24" t="str">
        <f t="shared" si="318"/>
        <v/>
      </c>
      <c r="S5670" s="24" t="str">
        <f t="shared" si="319"/>
        <v/>
      </c>
      <c r="T5670" t="str">
        <f t="shared" si="317"/>
        <v/>
      </c>
    </row>
    <row r="5671" spans="18:20">
      <c r="R5671" s="24" t="str">
        <f t="shared" si="318"/>
        <v/>
      </c>
      <c r="S5671" s="24" t="str">
        <f t="shared" si="319"/>
        <v/>
      </c>
      <c r="T5671" t="str">
        <f t="shared" si="317"/>
        <v/>
      </c>
    </row>
    <row r="5672" spans="18:20">
      <c r="R5672" s="24" t="str">
        <f t="shared" si="318"/>
        <v/>
      </c>
      <c r="S5672" s="24" t="str">
        <f t="shared" si="319"/>
        <v/>
      </c>
      <c r="T5672" t="str">
        <f t="shared" si="317"/>
        <v/>
      </c>
    </row>
    <row r="5673" spans="18:20">
      <c r="R5673" s="24" t="str">
        <f t="shared" si="318"/>
        <v/>
      </c>
      <c r="S5673" s="24" t="str">
        <f t="shared" si="319"/>
        <v/>
      </c>
      <c r="T5673" t="str">
        <f t="shared" si="317"/>
        <v/>
      </c>
    </row>
    <row r="5674" spans="18:20">
      <c r="R5674" s="24" t="str">
        <f t="shared" si="318"/>
        <v/>
      </c>
      <c r="S5674" s="24" t="str">
        <f t="shared" si="319"/>
        <v/>
      </c>
      <c r="T5674" t="str">
        <f t="shared" si="317"/>
        <v/>
      </c>
    </row>
    <row r="5675" spans="18:20">
      <c r="R5675" s="24" t="str">
        <f t="shared" si="318"/>
        <v/>
      </c>
      <c r="S5675" s="24" t="str">
        <f t="shared" si="319"/>
        <v/>
      </c>
      <c r="T5675" t="str">
        <f t="shared" si="317"/>
        <v/>
      </c>
    </row>
    <row r="5676" spans="18:20">
      <c r="R5676" s="24" t="str">
        <f t="shared" si="318"/>
        <v/>
      </c>
      <c r="S5676" s="24" t="str">
        <f t="shared" si="319"/>
        <v/>
      </c>
      <c r="T5676" t="str">
        <f t="shared" si="317"/>
        <v/>
      </c>
    </row>
    <row r="5677" spans="18:20">
      <c r="R5677" s="24" t="str">
        <f t="shared" si="318"/>
        <v/>
      </c>
      <c r="S5677" s="24" t="str">
        <f t="shared" si="319"/>
        <v/>
      </c>
      <c r="T5677" t="str">
        <f t="shared" si="317"/>
        <v/>
      </c>
    </row>
    <row r="5678" spans="18:20">
      <c r="R5678" s="24" t="str">
        <f t="shared" si="318"/>
        <v/>
      </c>
      <c r="S5678" s="24" t="str">
        <f t="shared" si="319"/>
        <v/>
      </c>
      <c r="T5678" t="str">
        <f t="shared" si="317"/>
        <v/>
      </c>
    </row>
    <row r="5679" spans="18:20">
      <c r="R5679" s="24" t="str">
        <f t="shared" si="318"/>
        <v/>
      </c>
      <c r="S5679" s="24" t="str">
        <f t="shared" si="319"/>
        <v/>
      </c>
      <c r="T5679" t="str">
        <f t="shared" si="317"/>
        <v/>
      </c>
    </row>
    <row r="5680" spans="18:20">
      <c r="R5680" s="24" t="str">
        <f t="shared" si="318"/>
        <v/>
      </c>
      <c r="S5680" s="24" t="str">
        <f t="shared" si="319"/>
        <v/>
      </c>
      <c r="T5680" t="str">
        <f t="shared" si="317"/>
        <v/>
      </c>
    </row>
    <row r="5681" spans="18:20">
      <c r="R5681" s="24" t="str">
        <f t="shared" si="318"/>
        <v/>
      </c>
      <c r="S5681" s="24" t="str">
        <f t="shared" si="319"/>
        <v/>
      </c>
      <c r="T5681" t="str">
        <f t="shared" si="317"/>
        <v/>
      </c>
    </row>
    <row r="5682" spans="18:20">
      <c r="R5682" s="24" t="str">
        <f t="shared" si="318"/>
        <v/>
      </c>
      <c r="S5682" s="24" t="str">
        <f t="shared" si="319"/>
        <v/>
      </c>
      <c r="T5682" t="str">
        <f t="shared" si="317"/>
        <v/>
      </c>
    </row>
    <row r="5683" spans="18:20">
      <c r="R5683" s="24" t="str">
        <f t="shared" si="318"/>
        <v/>
      </c>
      <c r="S5683" s="24" t="str">
        <f t="shared" si="319"/>
        <v/>
      </c>
      <c r="T5683" t="str">
        <f t="shared" si="317"/>
        <v/>
      </c>
    </row>
    <row r="5684" spans="18:20">
      <c r="R5684" s="24" t="str">
        <f t="shared" si="318"/>
        <v/>
      </c>
      <c r="S5684" s="24" t="str">
        <f t="shared" si="319"/>
        <v/>
      </c>
      <c r="T5684" t="str">
        <f t="shared" si="317"/>
        <v/>
      </c>
    </row>
    <row r="5685" spans="18:20">
      <c r="R5685" s="24" t="str">
        <f t="shared" si="318"/>
        <v/>
      </c>
      <c r="S5685" s="24" t="str">
        <f t="shared" si="319"/>
        <v/>
      </c>
      <c r="T5685" t="str">
        <f t="shared" si="317"/>
        <v/>
      </c>
    </row>
    <row r="5686" spans="18:20">
      <c r="R5686" s="24" t="str">
        <f t="shared" si="318"/>
        <v/>
      </c>
      <c r="S5686" s="24" t="str">
        <f t="shared" si="319"/>
        <v/>
      </c>
      <c r="T5686" t="str">
        <f t="shared" si="317"/>
        <v/>
      </c>
    </row>
    <row r="5687" spans="18:20">
      <c r="R5687" s="24" t="str">
        <f t="shared" si="318"/>
        <v/>
      </c>
      <c r="S5687" s="24" t="str">
        <f t="shared" si="319"/>
        <v/>
      </c>
      <c r="T5687" t="str">
        <f t="shared" si="317"/>
        <v/>
      </c>
    </row>
    <row r="5688" spans="18:20">
      <c r="R5688" s="24" t="str">
        <f t="shared" si="318"/>
        <v/>
      </c>
      <c r="S5688" s="24" t="str">
        <f t="shared" si="319"/>
        <v/>
      </c>
      <c r="T5688" t="str">
        <f t="shared" si="317"/>
        <v/>
      </c>
    </row>
    <row r="5689" spans="18:20">
      <c r="R5689" s="24" t="str">
        <f t="shared" si="318"/>
        <v/>
      </c>
      <c r="S5689" s="24" t="str">
        <f t="shared" si="319"/>
        <v/>
      </c>
      <c r="T5689" t="str">
        <f t="shared" si="317"/>
        <v/>
      </c>
    </row>
    <row r="5690" spans="18:20">
      <c r="R5690" s="24" t="str">
        <f t="shared" si="318"/>
        <v/>
      </c>
      <c r="S5690" s="24" t="str">
        <f t="shared" si="319"/>
        <v/>
      </c>
      <c r="T5690" t="str">
        <f t="shared" si="317"/>
        <v/>
      </c>
    </row>
    <row r="5691" spans="18:20">
      <c r="R5691" s="24" t="str">
        <f t="shared" si="318"/>
        <v/>
      </c>
      <c r="S5691" s="24" t="str">
        <f t="shared" si="319"/>
        <v/>
      </c>
      <c r="T5691" t="str">
        <f t="shared" si="317"/>
        <v/>
      </c>
    </row>
    <row r="5692" spans="18:20">
      <c r="R5692" s="24" t="str">
        <f t="shared" si="318"/>
        <v/>
      </c>
      <c r="S5692" s="24" t="str">
        <f t="shared" si="319"/>
        <v/>
      </c>
      <c r="T5692" t="str">
        <f t="shared" si="317"/>
        <v/>
      </c>
    </row>
    <row r="5693" spans="18:20">
      <c r="R5693" s="24" t="str">
        <f t="shared" si="318"/>
        <v/>
      </c>
      <c r="S5693" s="24" t="str">
        <f t="shared" si="319"/>
        <v/>
      </c>
      <c r="T5693" t="str">
        <f t="shared" si="317"/>
        <v/>
      </c>
    </row>
    <row r="5694" spans="18:20">
      <c r="R5694" s="24" t="str">
        <f t="shared" si="318"/>
        <v/>
      </c>
      <c r="S5694" s="24" t="str">
        <f t="shared" si="319"/>
        <v/>
      </c>
      <c r="T5694" t="str">
        <f t="shared" si="317"/>
        <v/>
      </c>
    </row>
    <row r="5695" spans="18:20">
      <c r="R5695" s="24" t="str">
        <f t="shared" si="318"/>
        <v/>
      </c>
      <c r="S5695" s="24" t="str">
        <f t="shared" si="319"/>
        <v/>
      </c>
      <c r="T5695" t="str">
        <f t="shared" si="317"/>
        <v/>
      </c>
    </row>
    <row r="5696" spans="18:20">
      <c r="R5696" s="24" t="str">
        <f t="shared" si="318"/>
        <v/>
      </c>
      <c r="S5696" s="24" t="str">
        <f t="shared" si="319"/>
        <v/>
      </c>
      <c r="T5696" t="str">
        <f t="shared" si="317"/>
        <v/>
      </c>
    </row>
    <row r="5697" spans="18:20">
      <c r="R5697" s="24" t="str">
        <f t="shared" si="318"/>
        <v/>
      </c>
      <c r="S5697" s="24" t="str">
        <f t="shared" si="319"/>
        <v/>
      </c>
      <c r="T5697" t="str">
        <f t="shared" si="317"/>
        <v/>
      </c>
    </row>
    <row r="5698" spans="18:20">
      <c r="R5698" s="24" t="str">
        <f t="shared" si="318"/>
        <v/>
      </c>
      <c r="S5698" s="24" t="str">
        <f t="shared" si="319"/>
        <v/>
      </c>
      <c r="T5698" t="str">
        <f t="shared" si="317"/>
        <v/>
      </c>
    </row>
    <row r="5699" spans="18:20">
      <c r="R5699" s="24" t="str">
        <f t="shared" si="318"/>
        <v/>
      </c>
      <c r="S5699" s="24" t="str">
        <f t="shared" si="319"/>
        <v/>
      </c>
      <c r="T5699" t="str">
        <f t="shared" si="317"/>
        <v/>
      </c>
    </row>
    <row r="5700" spans="18:20">
      <c r="R5700" s="24" t="str">
        <f t="shared" si="318"/>
        <v/>
      </c>
      <c r="S5700" s="24" t="str">
        <f t="shared" si="319"/>
        <v/>
      </c>
      <c r="T5700" t="str">
        <f t="shared" si="317"/>
        <v/>
      </c>
    </row>
    <row r="5701" spans="18:20">
      <c r="R5701" s="24" t="str">
        <f t="shared" si="318"/>
        <v/>
      </c>
      <c r="S5701" s="24" t="str">
        <f t="shared" si="319"/>
        <v/>
      </c>
      <c r="T5701" t="str">
        <f t="shared" si="317"/>
        <v/>
      </c>
    </row>
    <row r="5702" spans="18:20">
      <c r="R5702" s="24" t="str">
        <f t="shared" si="318"/>
        <v/>
      </c>
      <c r="S5702" s="24" t="str">
        <f t="shared" si="319"/>
        <v/>
      </c>
      <c r="T5702" t="str">
        <f t="shared" si="317"/>
        <v/>
      </c>
    </row>
    <row r="5703" spans="18:20">
      <c r="R5703" s="24" t="str">
        <f t="shared" si="318"/>
        <v/>
      </c>
      <c r="S5703" s="24" t="str">
        <f t="shared" si="319"/>
        <v/>
      </c>
      <c r="T5703" t="str">
        <f t="shared" si="317"/>
        <v/>
      </c>
    </row>
    <row r="5704" spans="18:20">
      <c r="R5704" s="24" t="str">
        <f t="shared" si="318"/>
        <v/>
      </c>
      <c r="S5704" s="24" t="str">
        <f t="shared" si="319"/>
        <v/>
      </c>
      <c r="T5704" t="str">
        <f t="shared" si="317"/>
        <v/>
      </c>
    </row>
    <row r="5705" spans="18:20">
      <c r="R5705" s="24" t="str">
        <f t="shared" si="318"/>
        <v/>
      </c>
      <c r="S5705" s="24" t="str">
        <f t="shared" si="319"/>
        <v/>
      </c>
      <c r="T5705" t="str">
        <f t="shared" si="317"/>
        <v/>
      </c>
    </row>
    <row r="5706" spans="18:20">
      <c r="R5706" s="24" t="str">
        <f t="shared" si="318"/>
        <v/>
      </c>
      <c r="S5706" s="24" t="str">
        <f t="shared" si="319"/>
        <v/>
      </c>
      <c r="T5706" t="str">
        <f t="shared" si="317"/>
        <v/>
      </c>
    </row>
    <row r="5707" spans="18:20">
      <c r="R5707" s="24" t="str">
        <f t="shared" si="318"/>
        <v/>
      </c>
      <c r="S5707" s="24" t="str">
        <f t="shared" si="319"/>
        <v/>
      </c>
      <c r="T5707" t="str">
        <f t="shared" si="317"/>
        <v/>
      </c>
    </row>
    <row r="5708" spans="18:20">
      <c r="R5708" s="24" t="str">
        <f t="shared" si="318"/>
        <v/>
      </c>
      <c r="S5708" s="24" t="str">
        <f t="shared" si="319"/>
        <v/>
      </c>
      <c r="T5708" t="str">
        <f t="shared" si="317"/>
        <v/>
      </c>
    </row>
    <row r="5709" spans="18:20">
      <c r="R5709" s="24" t="str">
        <f t="shared" si="318"/>
        <v/>
      </c>
      <c r="S5709" s="24" t="str">
        <f t="shared" si="319"/>
        <v/>
      </c>
      <c r="T5709" t="str">
        <f t="shared" si="317"/>
        <v/>
      </c>
    </row>
    <row r="5710" spans="18:20">
      <c r="R5710" s="24" t="str">
        <f t="shared" si="318"/>
        <v/>
      </c>
      <c r="S5710" s="24" t="str">
        <f t="shared" si="319"/>
        <v/>
      </c>
      <c r="T5710" t="str">
        <f t="shared" si="317"/>
        <v/>
      </c>
    </row>
    <row r="5711" spans="18:20">
      <c r="R5711" s="24" t="str">
        <f t="shared" si="318"/>
        <v/>
      </c>
      <c r="S5711" s="24" t="str">
        <f t="shared" si="319"/>
        <v/>
      </c>
      <c r="T5711" t="str">
        <f t="shared" ref="T5711:T5774" si="320">IF(OR(C5711="",I5711&lt;&gt;"ENTRADA"),"",TEXT(B5711,"AAMMDD")&amp;"-"&amp;TEXT(VALUE(SUBSTITUTE(A5711,"MOV-","")),"000"))</f>
        <v/>
      </c>
    </row>
    <row r="5712" spans="18:20">
      <c r="R5712" s="24" t="str">
        <f t="shared" ref="R5712:R5775" si="321">IF(H5712="","",H5712&amp;I5712)</f>
        <v/>
      </c>
      <c r="S5712" s="24" t="str">
        <f t="shared" ref="S5712:S5775" si="322">IF(C5712="","",C5712&amp;I5712)</f>
        <v/>
      </c>
      <c r="T5712" t="str">
        <f t="shared" si="320"/>
        <v/>
      </c>
    </row>
    <row r="5713" spans="18:20">
      <c r="R5713" s="24" t="str">
        <f t="shared" si="321"/>
        <v/>
      </c>
      <c r="S5713" s="24" t="str">
        <f t="shared" si="322"/>
        <v/>
      </c>
      <c r="T5713" t="str">
        <f t="shared" si="320"/>
        <v/>
      </c>
    </row>
    <row r="5714" spans="18:20">
      <c r="R5714" s="24" t="str">
        <f t="shared" si="321"/>
        <v/>
      </c>
      <c r="S5714" s="24" t="str">
        <f t="shared" si="322"/>
        <v/>
      </c>
      <c r="T5714" t="str">
        <f t="shared" si="320"/>
        <v/>
      </c>
    </row>
    <row r="5715" spans="18:20">
      <c r="R5715" s="24" t="str">
        <f t="shared" si="321"/>
        <v/>
      </c>
      <c r="S5715" s="24" t="str">
        <f t="shared" si="322"/>
        <v/>
      </c>
      <c r="T5715" t="str">
        <f t="shared" si="320"/>
        <v/>
      </c>
    </row>
    <row r="5716" spans="18:20">
      <c r="R5716" s="24" t="str">
        <f t="shared" si="321"/>
        <v/>
      </c>
      <c r="S5716" s="24" t="str">
        <f t="shared" si="322"/>
        <v/>
      </c>
      <c r="T5716" t="str">
        <f t="shared" si="320"/>
        <v/>
      </c>
    </row>
    <row r="5717" spans="18:20">
      <c r="R5717" s="24" t="str">
        <f t="shared" si="321"/>
        <v/>
      </c>
      <c r="S5717" s="24" t="str">
        <f t="shared" si="322"/>
        <v/>
      </c>
      <c r="T5717" t="str">
        <f t="shared" si="320"/>
        <v/>
      </c>
    </row>
    <row r="5718" spans="18:20">
      <c r="R5718" s="24" t="str">
        <f t="shared" si="321"/>
        <v/>
      </c>
      <c r="S5718" s="24" t="str">
        <f t="shared" si="322"/>
        <v/>
      </c>
      <c r="T5718" t="str">
        <f t="shared" si="320"/>
        <v/>
      </c>
    </row>
    <row r="5719" spans="18:20">
      <c r="R5719" s="24" t="str">
        <f t="shared" si="321"/>
        <v/>
      </c>
      <c r="S5719" s="24" t="str">
        <f t="shared" si="322"/>
        <v/>
      </c>
      <c r="T5719" t="str">
        <f t="shared" si="320"/>
        <v/>
      </c>
    </row>
    <row r="5720" spans="18:20">
      <c r="R5720" s="24" t="str">
        <f t="shared" si="321"/>
        <v/>
      </c>
      <c r="S5720" s="24" t="str">
        <f t="shared" si="322"/>
        <v/>
      </c>
      <c r="T5720" t="str">
        <f t="shared" si="320"/>
        <v/>
      </c>
    </row>
    <row r="5721" spans="18:20">
      <c r="R5721" s="24" t="str">
        <f t="shared" si="321"/>
        <v/>
      </c>
      <c r="S5721" s="24" t="str">
        <f t="shared" si="322"/>
        <v/>
      </c>
      <c r="T5721" t="str">
        <f t="shared" si="320"/>
        <v/>
      </c>
    </row>
    <row r="5722" spans="18:20">
      <c r="R5722" s="24" t="str">
        <f t="shared" si="321"/>
        <v/>
      </c>
      <c r="S5722" s="24" t="str">
        <f t="shared" si="322"/>
        <v/>
      </c>
      <c r="T5722" t="str">
        <f t="shared" si="320"/>
        <v/>
      </c>
    </row>
    <row r="5723" spans="18:20">
      <c r="R5723" s="24" t="str">
        <f t="shared" si="321"/>
        <v/>
      </c>
      <c r="S5723" s="24" t="str">
        <f t="shared" si="322"/>
        <v/>
      </c>
      <c r="T5723" t="str">
        <f t="shared" si="320"/>
        <v/>
      </c>
    </row>
    <row r="5724" spans="18:20">
      <c r="R5724" s="24" t="str">
        <f t="shared" si="321"/>
        <v/>
      </c>
      <c r="S5724" s="24" t="str">
        <f t="shared" si="322"/>
        <v/>
      </c>
      <c r="T5724" t="str">
        <f t="shared" si="320"/>
        <v/>
      </c>
    </row>
    <row r="5725" spans="18:20">
      <c r="R5725" s="24" t="str">
        <f t="shared" si="321"/>
        <v/>
      </c>
      <c r="S5725" s="24" t="str">
        <f t="shared" si="322"/>
        <v/>
      </c>
      <c r="T5725" t="str">
        <f t="shared" si="320"/>
        <v/>
      </c>
    </row>
    <row r="5726" spans="18:20">
      <c r="R5726" s="24" t="str">
        <f t="shared" si="321"/>
        <v/>
      </c>
      <c r="S5726" s="24" t="str">
        <f t="shared" si="322"/>
        <v/>
      </c>
      <c r="T5726" t="str">
        <f t="shared" si="320"/>
        <v/>
      </c>
    </row>
    <row r="5727" spans="18:20">
      <c r="R5727" s="24" t="str">
        <f t="shared" si="321"/>
        <v/>
      </c>
      <c r="S5727" s="24" t="str">
        <f t="shared" si="322"/>
        <v/>
      </c>
      <c r="T5727" t="str">
        <f t="shared" si="320"/>
        <v/>
      </c>
    </row>
    <row r="5728" spans="18:20">
      <c r="R5728" s="24" t="str">
        <f t="shared" si="321"/>
        <v/>
      </c>
      <c r="S5728" s="24" t="str">
        <f t="shared" si="322"/>
        <v/>
      </c>
      <c r="T5728" t="str">
        <f t="shared" si="320"/>
        <v/>
      </c>
    </row>
    <row r="5729" spans="18:20">
      <c r="R5729" s="24" t="str">
        <f t="shared" si="321"/>
        <v/>
      </c>
      <c r="S5729" s="24" t="str">
        <f t="shared" si="322"/>
        <v/>
      </c>
      <c r="T5729" t="str">
        <f t="shared" si="320"/>
        <v/>
      </c>
    </row>
    <row r="5730" spans="18:20">
      <c r="R5730" s="24" t="str">
        <f t="shared" si="321"/>
        <v/>
      </c>
      <c r="S5730" s="24" t="str">
        <f t="shared" si="322"/>
        <v/>
      </c>
      <c r="T5730" t="str">
        <f t="shared" si="320"/>
        <v/>
      </c>
    </row>
    <row r="5731" spans="18:20">
      <c r="R5731" s="24" t="str">
        <f t="shared" si="321"/>
        <v/>
      </c>
      <c r="S5731" s="24" t="str">
        <f t="shared" si="322"/>
        <v/>
      </c>
      <c r="T5731" t="str">
        <f t="shared" si="320"/>
        <v/>
      </c>
    </row>
    <row r="5732" spans="18:20">
      <c r="R5732" s="24" t="str">
        <f t="shared" si="321"/>
        <v/>
      </c>
      <c r="S5732" s="24" t="str">
        <f t="shared" si="322"/>
        <v/>
      </c>
      <c r="T5732" t="str">
        <f t="shared" si="320"/>
        <v/>
      </c>
    </row>
    <row r="5733" spans="18:20">
      <c r="R5733" s="24" t="str">
        <f t="shared" si="321"/>
        <v/>
      </c>
      <c r="S5733" s="24" t="str">
        <f t="shared" si="322"/>
        <v/>
      </c>
      <c r="T5733" t="str">
        <f t="shared" si="320"/>
        <v/>
      </c>
    </row>
    <row r="5734" spans="18:20">
      <c r="R5734" s="24" t="str">
        <f t="shared" si="321"/>
        <v/>
      </c>
      <c r="S5734" s="24" t="str">
        <f t="shared" si="322"/>
        <v/>
      </c>
      <c r="T5734" t="str">
        <f t="shared" si="320"/>
        <v/>
      </c>
    </row>
    <row r="5735" spans="18:20">
      <c r="R5735" s="24" t="str">
        <f t="shared" si="321"/>
        <v/>
      </c>
      <c r="S5735" s="24" t="str">
        <f t="shared" si="322"/>
        <v/>
      </c>
      <c r="T5735" t="str">
        <f t="shared" si="320"/>
        <v/>
      </c>
    </row>
    <row r="5736" spans="18:20">
      <c r="R5736" s="24" t="str">
        <f t="shared" si="321"/>
        <v/>
      </c>
      <c r="S5736" s="24" t="str">
        <f t="shared" si="322"/>
        <v/>
      </c>
      <c r="T5736" t="str">
        <f t="shared" si="320"/>
        <v/>
      </c>
    </row>
    <row r="5737" spans="18:20">
      <c r="R5737" s="24" t="str">
        <f t="shared" si="321"/>
        <v/>
      </c>
      <c r="S5737" s="24" t="str">
        <f t="shared" si="322"/>
        <v/>
      </c>
      <c r="T5737" t="str">
        <f t="shared" si="320"/>
        <v/>
      </c>
    </row>
    <row r="5738" spans="18:20">
      <c r="R5738" s="24" t="str">
        <f t="shared" si="321"/>
        <v/>
      </c>
      <c r="S5738" s="24" t="str">
        <f t="shared" si="322"/>
        <v/>
      </c>
      <c r="T5738" t="str">
        <f t="shared" si="320"/>
        <v/>
      </c>
    </row>
    <row r="5739" spans="18:20">
      <c r="R5739" s="24" t="str">
        <f t="shared" si="321"/>
        <v/>
      </c>
      <c r="S5739" s="24" t="str">
        <f t="shared" si="322"/>
        <v/>
      </c>
      <c r="T5739" t="str">
        <f t="shared" si="320"/>
        <v/>
      </c>
    </row>
    <row r="5740" spans="18:20">
      <c r="R5740" s="24" t="str">
        <f t="shared" si="321"/>
        <v/>
      </c>
      <c r="S5740" s="24" t="str">
        <f t="shared" si="322"/>
        <v/>
      </c>
      <c r="T5740" t="str">
        <f t="shared" si="320"/>
        <v/>
      </c>
    </row>
    <row r="5741" spans="18:20">
      <c r="R5741" s="24" t="str">
        <f t="shared" si="321"/>
        <v/>
      </c>
      <c r="S5741" s="24" t="str">
        <f t="shared" si="322"/>
        <v/>
      </c>
      <c r="T5741" t="str">
        <f t="shared" si="320"/>
        <v/>
      </c>
    </row>
    <row r="5742" spans="18:20">
      <c r="R5742" s="24" t="str">
        <f t="shared" si="321"/>
        <v/>
      </c>
      <c r="S5742" s="24" t="str">
        <f t="shared" si="322"/>
        <v/>
      </c>
      <c r="T5742" t="str">
        <f t="shared" si="320"/>
        <v/>
      </c>
    </row>
    <row r="5743" spans="18:20">
      <c r="R5743" s="24" t="str">
        <f t="shared" si="321"/>
        <v/>
      </c>
      <c r="S5743" s="24" t="str">
        <f t="shared" si="322"/>
        <v/>
      </c>
      <c r="T5743" t="str">
        <f t="shared" si="320"/>
        <v/>
      </c>
    </row>
    <row r="5744" spans="18:20">
      <c r="R5744" s="24" t="str">
        <f t="shared" si="321"/>
        <v/>
      </c>
      <c r="S5744" s="24" t="str">
        <f t="shared" si="322"/>
        <v/>
      </c>
      <c r="T5744" t="str">
        <f t="shared" si="320"/>
        <v/>
      </c>
    </row>
    <row r="5745" spans="18:20">
      <c r="R5745" s="24" t="str">
        <f t="shared" si="321"/>
        <v/>
      </c>
      <c r="S5745" s="24" t="str">
        <f t="shared" si="322"/>
        <v/>
      </c>
      <c r="T5745" t="str">
        <f t="shared" si="320"/>
        <v/>
      </c>
    </row>
    <row r="5746" spans="18:20">
      <c r="R5746" s="24" t="str">
        <f t="shared" si="321"/>
        <v/>
      </c>
      <c r="S5746" s="24" t="str">
        <f t="shared" si="322"/>
        <v/>
      </c>
      <c r="T5746" t="str">
        <f t="shared" si="320"/>
        <v/>
      </c>
    </row>
    <row r="5747" spans="18:20">
      <c r="R5747" s="24" t="str">
        <f t="shared" si="321"/>
        <v/>
      </c>
      <c r="S5747" s="24" t="str">
        <f t="shared" si="322"/>
        <v/>
      </c>
      <c r="T5747" t="str">
        <f t="shared" si="320"/>
        <v/>
      </c>
    </row>
    <row r="5748" spans="18:20">
      <c r="R5748" s="24" t="str">
        <f t="shared" si="321"/>
        <v/>
      </c>
      <c r="S5748" s="24" t="str">
        <f t="shared" si="322"/>
        <v/>
      </c>
      <c r="T5748" t="str">
        <f t="shared" si="320"/>
        <v/>
      </c>
    </row>
    <row r="5749" spans="18:20">
      <c r="R5749" s="24" t="str">
        <f t="shared" si="321"/>
        <v/>
      </c>
      <c r="S5749" s="24" t="str">
        <f t="shared" si="322"/>
        <v/>
      </c>
      <c r="T5749" t="str">
        <f t="shared" si="320"/>
        <v/>
      </c>
    </row>
    <row r="5750" spans="18:20">
      <c r="R5750" s="24" t="str">
        <f t="shared" si="321"/>
        <v/>
      </c>
      <c r="S5750" s="24" t="str">
        <f t="shared" si="322"/>
        <v/>
      </c>
      <c r="T5750" t="str">
        <f t="shared" si="320"/>
        <v/>
      </c>
    </row>
    <row r="5751" spans="18:20">
      <c r="R5751" s="24" t="str">
        <f t="shared" si="321"/>
        <v/>
      </c>
      <c r="S5751" s="24" t="str">
        <f t="shared" si="322"/>
        <v/>
      </c>
      <c r="T5751" t="str">
        <f t="shared" si="320"/>
        <v/>
      </c>
    </row>
    <row r="5752" spans="18:20">
      <c r="R5752" s="24" t="str">
        <f t="shared" si="321"/>
        <v/>
      </c>
      <c r="S5752" s="24" t="str">
        <f t="shared" si="322"/>
        <v/>
      </c>
      <c r="T5752" t="str">
        <f t="shared" si="320"/>
        <v/>
      </c>
    </row>
    <row r="5753" spans="18:20">
      <c r="R5753" s="24" t="str">
        <f t="shared" si="321"/>
        <v/>
      </c>
      <c r="S5753" s="24" t="str">
        <f t="shared" si="322"/>
        <v/>
      </c>
      <c r="T5753" t="str">
        <f t="shared" si="320"/>
        <v/>
      </c>
    </row>
    <row r="5754" spans="18:20">
      <c r="R5754" s="24" t="str">
        <f t="shared" si="321"/>
        <v/>
      </c>
      <c r="S5754" s="24" t="str">
        <f t="shared" si="322"/>
        <v/>
      </c>
      <c r="T5754" t="str">
        <f t="shared" si="320"/>
        <v/>
      </c>
    </row>
    <row r="5755" spans="18:20">
      <c r="R5755" s="24" t="str">
        <f t="shared" si="321"/>
        <v/>
      </c>
      <c r="S5755" s="24" t="str">
        <f t="shared" si="322"/>
        <v/>
      </c>
      <c r="T5755" t="str">
        <f t="shared" si="320"/>
        <v/>
      </c>
    </row>
    <row r="5756" spans="18:20">
      <c r="R5756" s="24" t="str">
        <f t="shared" si="321"/>
        <v/>
      </c>
      <c r="S5756" s="24" t="str">
        <f t="shared" si="322"/>
        <v/>
      </c>
      <c r="T5756" t="str">
        <f t="shared" si="320"/>
        <v/>
      </c>
    </row>
    <row r="5757" spans="18:20">
      <c r="R5757" s="24" t="str">
        <f t="shared" si="321"/>
        <v/>
      </c>
      <c r="S5757" s="24" t="str">
        <f t="shared" si="322"/>
        <v/>
      </c>
      <c r="T5757" t="str">
        <f t="shared" si="320"/>
        <v/>
      </c>
    </row>
    <row r="5758" spans="18:20">
      <c r="R5758" s="24" t="str">
        <f t="shared" si="321"/>
        <v/>
      </c>
      <c r="S5758" s="24" t="str">
        <f t="shared" si="322"/>
        <v/>
      </c>
      <c r="T5758" t="str">
        <f t="shared" si="320"/>
        <v/>
      </c>
    </row>
    <row r="5759" spans="18:20">
      <c r="R5759" s="24" t="str">
        <f t="shared" si="321"/>
        <v/>
      </c>
      <c r="S5759" s="24" t="str">
        <f t="shared" si="322"/>
        <v/>
      </c>
      <c r="T5759" t="str">
        <f t="shared" si="320"/>
        <v/>
      </c>
    </row>
    <row r="5760" spans="18:20">
      <c r="R5760" s="24" t="str">
        <f t="shared" si="321"/>
        <v/>
      </c>
      <c r="S5760" s="24" t="str">
        <f t="shared" si="322"/>
        <v/>
      </c>
      <c r="T5760" t="str">
        <f t="shared" si="320"/>
        <v/>
      </c>
    </row>
    <row r="5761" spans="18:20">
      <c r="R5761" s="24" t="str">
        <f t="shared" si="321"/>
        <v/>
      </c>
      <c r="S5761" s="24" t="str">
        <f t="shared" si="322"/>
        <v/>
      </c>
      <c r="T5761" t="str">
        <f t="shared" si="320"/>
        <v/>
      </c>
    </row>
    <row r="5762" spans="18:20">
      <c r="R5762" s="24" t="str">
        <f t="shared" si="321"/>
        <v/>
      </c>
      <c r="S5762" s="24" t="str">
        <f t="shared" si="322"/>
        <v/>
      </c>
      <c r="T5762" t="str">
        <f t="shared" si="320"/>
        <v/>
      </c>
    </row>
    <row r="5763" spans="18:20">
      <c r="R5763" s="24" t="str">
        <f t="shared" si="321"/>
        <v/>
      </c>
      <c r="S5763" s="24" t="str">
        <f t="shared" si="322"/>
        <v/>
      </c>
      <c r="T5763" t="str">
        <f t="shared" si="320"/>
        <v/>
      </c>
    </row>
    <row r="5764" spans="18:20">
      <c r="R5764" s="24" t="str">
        <f t="shared" si="321"/>
        <v/>
      </c>
      <c r="S5764" s="24" t="str">
        <f t="shared" si="322"/>
        <v/>
      </c>
      <c r="T5764" t="str">
        <f t="shared" si="320"/>
        <v/>
      </c>
    </row>
    <row r="5765" spans="18:20">
      <c r="R5765" s="24" t="str">
        <f t="shared" si="321"/>
        <v/>
      </c>
      <c r="S5765" s="24" t="str">
        <f t="shared" si="322"/>
        <v/>
      </c>
      <c r="T5765" t="str">
        <f t="shared" si="320"/>
        <v/>
      </c>
    </row>
    <row r="5766" spans="18:20">
      <c r="R5766" s="24" t="str">
        <f t="shared" si="321"/>
        <v/>
      </c>
      <c r="S5766" s="24" t="str">
        <f t="shared" si="322"/>
        <v/>
      </c>
      <c r="T5766" t="str">
        <f t="shared" si="320"/>
        <v/>
      </c>
    </row>
    <row r="5767" spans="18:20">
      <c r="R5767" s="24" t="str">
        <f t="shared" si="321"/>
        <v/>
      </c>
      <c r="S5767" s="24" t="str">
        <f t="shared" si="322"/>
        <v/>
      </c>
      <c r="T5767" t="str">
        <f t="shared" si="320"/>
        <v/>
      </c>
    </row>
    <row r="5768" spans="18:20">
      <c r="R5768" s="24" t="str">
        <f t="shared" si="321"/>
        <v/>
      </c>
      <c r="S5768" s="24" t="str">
        <f t="shared" si="322"/>
        <v/>
      </c>
      <c r="T5768" t="str">
        <f t="shared" si="320"/>
        <v/>
      </c>
    </row>
    <row r="5769" spans="18:20">
      <c r="R5769" s="24" t="str">
        <f t="shared" si="321"/>
        <v/>
      </c>
      <c r="S5769" s="24" t="str">
        <f t="shared" si="322"/>
        <v/>
      </c>
      <c r="T5769" t="str">
        <f t="shared" si="320"/>
        <v/>
      </c>
    </row>
    <row r="5770" spans="18:20">
      <c r="R5770" s="24" t="str">
        <f t="shared" si="321"/>
        <v/>
      </c>
      <c r="S5770" s="24" t="str">
        <f t="shared" si="322"/>
        <v/>
      </c>
      <c r="T5770" t="str">
        <f t="shared" si="320"/>
        <v/>
      </c>
    </row>
    <row r="5771" spans="18:20">
      <c r="R5771" s="24" t="str">
        <f t="shared" si="321"/>
        <v/>
      </c>
      <c r="S5771" s="24" t="str">
        <f t="shared" si="322"/>
        <v/>
      </c>
      <c r="T5771" t="str">
        <f t="shared" si="320"/>
        <v/>
      </c>
    </row>
    <row r="5772" spans="18:20">
      <c r="R5772" s="24" t="str">
        <f t="shared" si="321"/>
        <v/>
      </c>
      <c r="S5772" s="24" t="str">
        <f t="shared" si="322"/>
        <v/>
      </c>
      <c r="T5772" t="str">
        <f t="shared" si="320"/>
        <v/>
      </c>
    </row>
    <row r="5773" spans="18:20">
      <c r="R5773" s="24" t="str">
        <f t="shared" si="321"/>
        <v/>
      </c>
      <c r="S5773" s="24" t="str">
        <f t="shared" si="322"/>
        <v/>
      </c>
      <c r="T5773" t="str">
        <f t="shared" si="320"/>
        <v/>
      </c>
    </row>
    <row r="5774" spans="18:20">
      <c r="R5774" s="24" t="str">
        <f t="shared" si="321"/>
        <v/>
      </c>
      <c r="S5774" s="24" t="str">
        <f t="shared" si="322"/>
        <v/>
      </c>
      <c r="T5774" t="str">
        <f t="shared" si="320"/>
        <v/>
      </c>
    </row>
    <row r="5775" spans="18:20">
      <c r="R5775" s="24" t="str">
        <f t="shared" si="321"/>
        <v/>
      </c>
      <c r="S5775" s="24" t="str">
        <f t="shared" si="322"/>
        <v/>
      </c>
      <c r="T5775" t="str">
        <f t="shared" ref="T5775:T5838" si="323">IF(OR(C5775="",I5775&lt;&gt;"ENTRADA"),"",TEXT(B5775,"AAMMDD")&amp;"-"&amp;TEXT(VALUE(SUBSTITUTE(A5775,"MOV-","")),"000"))</f>
        <v/>
      </c>
    </row>
    <row r="5776" spans="18:20">
      <c r="R5776" s="24" t="str">
        <f t="shared" ref="R5776:R5839" si="324">IF(H5776="","",H5776&amp;I5776)</f>
        <v/>
      </c>
      <c r="S5776" s="24" t="str">
        <f t="shared" ref="S5776:S5839" si="325">IF(C5776="","",C5776&amp;I5776)</f>
        <v/>
      </c>
      <c r="T5776" t="str">
        <f t="shared" si="323"/>
        <v/>
      </c>
    </row>
    <row r="5777" spans="18:20">
      <c r="R5777" s="24" t="str">
        <f t="shared" si="324"/>
        <v/>
      </c>
      <c r="S5777" s="24" t="str">
        <f t="shared" si="325"/>
        <v/>
      </c>
      <c r="T5777" t="str">
        <f t="shared" si="323"/>
        <v/>
      </c>
    </row>
    <row r="5778" spans="18:20">
      <c r="R5778" s="24" t="str">
        <f t="shared" si="324"/>
        <v/>
      </c>
      <c r="S5778" s="24" t="str">
        <f t="shared" si="325"/>
        <v/>
      </c>
      <c r="T5778" t="str">
        <f t="shared" si="323"/>
        <v/>
      </c>
    </row>
    <row r="5779" spans="18:20">
      <c r="R5779" s="24" t="str">
        <f t="shared" si="324"/>
        <v/>
      </c>
      <c r="S5779" s="24" t="str">
        <f t="shared" si="325"/>
        <v/>
      </c>
      <c r="T5779" t="str">
        <f t="shared" si="323"/>
        <v/>
      </c>
    </row>
    <row r="5780" spans="18:20">
      <c r="R5780" s="24" t="str">
        <f t="shared" si="324"/>
        <v/>
      </c>
      <c r="S5780" s="24" t="str">
        <f t="shared" si="325"/>
        <v/>
      </c>
      <c r="T5780" t="str">
        <f t="shared" si="323"/>
        <v/>
      </c>
    </row>
    <row r="5781" spans="18:20">
      <c r="R5781" s="24" t="str">
        <f t="shared" si="324"/>
        <v/>
      </c>
      <c r="S5781" s="24" t="str">
        <f t="shared" si="325"/>
        <v/>
      </c>
      <c r="T5781" t="str">
        <f t="shared" si="323"/>
        <v/>
      </c>
    </row>
    <row r="5782" spans="18:20">
      <c r="R5782" s="24" t="str">
        <f t="shared" si="324"/>
        <v/>
      </c>
      <c r="S5782" s="24" t="str">
        <f t="shared" si="325"/>
        <v/>
      </c>
      <c r="T5782" t="str">
        <f t="shared" si="323"/>
        <v/>
      </c>
    </row>
    <row r="5783" spans="18:20">
      <c r="R5783" s="24" t="str">
        <f t="shared" si="324"/>
        <v/>
      </c>
      <c r="S5783" s="24" t="str">
        <f t="shared" si="325"/>
        <v/>
      </c>
      <c r="T5783" t="str">
        <f t="shared" si="323"/>
        <v/>
      </c>
    </row>
    <row r="5784" spans="18:20">
      <c r="R5784" s="24" t="str">
        <f t="shared" si="324"/>
        <v/>
      </c>
      <c r="S5784" s="24" t="str">
        <f t="shared" si="325"/>
        <v/>
      </c>
      <c r="T5784" t="str">
        <f t="shared" si="323"/>
        <v/>
      </c>
    </row>
    <row r="5785" spans="18:20">
      <c r="R5785" s="24" t="str">
        <f t="shared" si="324"/>
        <v/>
      </c>
      <c r="S5785" s="24" t="str">
        <f t="shared" si="325"/>
        <v/>
      </c>
      <c r="T5785" t="str">
        <f t="shared" si="323"/>
        <v/>
      </c>
    </row>
    <row r="5786" spans="18:20">
      <c r="R5786" s="24" t="str">
        <f t="shared" si="324"/>
        <v/>
      </c>
      <c r="S5786" s="24" t="str">
        <f t="shared" si="325"/>
        <v/>
      </c>
      <c r="T5786" t="str">
        <f t="shared" si="323"/>
        <v/>
      </c>
    </row>
    <row r="5787" spans="18:20">
      <c r="R5787" s="24" t="str">
        <f t="shared" si="324"/>
        <v/>
      </c>
      <c r="S5787" s="24" t="str">
        <f t="shared" si="325"/>
        <v/>
      </c>
      <c r="T5787" t="str">
        <f t="shared" si="323"/>
        <v/>
      </c>
    </row>
    <row r="5788" spans="18:20">
      <c r="R5788" s="24" t="str">
        <f t="shared" si="324"/>
        <v/>
      </c>
      <c r="S5788" s="24" t="str">
        <f t="shared" si="325"/>
        <v/>
      </c>
      <c r="T5788" t="str">
        <f t="shared" si="323"/>
        <v/>
      </c>
    </row>
    <row r="5789" spans="18:20">
      <c r="R5789" s="24" t="str">
        <f t="shared" si="324"/>
        <v/>
      </c>
      <c r="S5789" s="24" t="str">
        <f t="shared" si="325"/>
        <v/>
      </c>
      <c r="T5789" t="str">
        <f t="shared" si="323"/>
        <v/>
      </c>
    </row>
    <row r="5790" spans="18:20">
      <c r="R5790" s="24" t="str">
        <f t="shared" si="324"/>
        <v/>
      </c>
      <c r="S5790" s="24" t="str">
        <f t="shared" si="325"/>
        <v/>
      </c>
      <c r="T5790" t="str">
        <f t="shared" si="323"/>
        <v/>
      </c>
    </row>
    <row r="5791" spans="18:20">
      <c r="R5791" s="24" t="str">
        <f t="shared" si="324"/>
        <v/>
      </c>
      <c r="S5791" s="24" t="str">
        <f t="shared" si="325"/>
        <v/>
      </c>
      <c r="T5791" t="str">
        <f t="shared" si="323"/>
        <v/>
      </c>
    </row>
    <row r="5792" spans="18:20">
      <c r="R5792" s="24" t="str">
        <f t="shared" si="324"/>
        <v/>
      </c>
      <c r="S5792" s="24" t="str">
        <f t="shared" si="325"/>
        <v/>
      </c>
      <c r="T5792" t="str">
        <f t="shared" si="323"/>
        <v/>
      </c>
    </row>
    <row r="5793" spans="18:20">
      <c r="R5793" s="24" t="str">
        <f t="shared" si="324"/>
        <v/>
      </c>
      <c r="S5793" s="24" t="str">
        <f t="shared" si="325"/>
        <v/>
      </c>
      <c r="T5793" t="str">
        <f t="shared" si="323"/>
        <v/>
      </c>
    </row>
    <row r="5794" spans="18:20">
      <c r="R5794" s="24" t="str">
        <f t="shared" si="324"/>
        <v/>
      </c>
      <c r="S5794" s="24" t="str">
        <f t="shared" si="325"/>
        <v/>
      </c>
      <c r="T5794" t="str">
        <f t="shared" si="323"/>
        <v/>
      </c>
    </row>
    <row r="5795" spans="18:20">
      <c r="R5795" s="24" t="str">
        <f t="shared" si="324"/>
        <v/>
      </c>
      <c r="S5795" s="24" t="str">
        <f t="shared" si="325"/>
        <v/>
      </c>
      <c r="T5795" t="str">
        <f t="shared" si="323"/>
        <v/>
      </c>
    </row>
    <row r="5796" spans="18:20">
      <c r="R5796" s="24" t="str">
        <f t="shared" si="324"/>
        <v/>
      </c>
      <c r="S5796" s="24" t="str">
        <f t="shared" si="325"/>
        <v/>
      </c>
      <c r="T5796" t="str">
        <f t="shared" si="323"/>
        <v/>
      </c>
    </row>
    <row r="5797" spans="18:20">
      <c r="R5797" s="24" t="str">
        <f t="shared" si="324"/>
        <v/>
      </c>
      <c r="S5797" s="24" t="str">
        <f t="shared" si="325"/>
        <v/>
      </c>
      <c r="T5797" t="str">
        <f t="shared" si="323"/>
        <v/>
      </c>
    </row>
    <row r="5798" spans="18:20">
      <c r="R5798" s="24" t="str">
        <f t="shared" si="324"/>
        <v/>
      </c>
      <c r="S5798" s="24" t="str">
        <f t="shared" si="325"/>
        <v/>
      </c>
      <c r="T5798" t="str">
        <f t="shared" si="323"/>
        <v/>
      </c>
    </row>
    <row r="5799" spans="18:20">
      <c r="R5799" s="24" t="str">
        <f t="shared" si="324"/>
        <v/>
      </c>
      <c r="S5799" s="24" t="str">
        <f t="shared" si="325"/>
        <v/>
      </c>
      <c r="T5799" t="str">
        <f t="shared" si="323"/>
        <v/>
      </c>
    </row>
    <row r="5800" spans="18:20">
      <c r="R5800" s="24" t="str">
        <f t="shared" si="324"/>
        <v/>
      </c>
      <c r="S5800" s="24" t="str">
        <f t="shared" si="325"/>
        <v/>
      </c>
      <c r="T5800" t="str">
        <f t="shared" si="323"/>
        <v/>
      </c>
    </row>
    <row r="5801" spans="18:20">
      <c r="R5801" s="24" t="str">
        <f t="shared" si="324"/>
        <v/>
      </c>
      <c r="S5801" s="24" t="str">
        <f t="shared" si="325"/>
        <v/>
      </c>
      <c r="T5801" t="str">
        <f t="shared" si="323"/>
        <v/>
      </c>
    </row>
    <row r="5802" spans="18:20">
      <c r="R5802" s="24" t="str">
        <f t="shared" si="324"/>
        <v/>
      </c>
      <c r="S5802" s="24" t="str">
        <f t="shared" si="325"/>
        <v/>
      </c>
      <c r="T5802" t="str">
        <f t="shared" si="323"/>
        <v/>
      </c>
    </row>
    <row r="5803" spans="18:20">
      <c r="R5803" s="24" t="str">
        <f t="shared" si="324"/>
        <v/>
      </c>
      <c r="S5803" s="24" t="str">
        <f t="shared" si="325"/>
        <v/>
      </c>
      <c r="T5803" t="str">
        <f t="shared" si="323"/>
        <v/>
      </c>
    </row>
    <row r="5804" spans="18:20">
      <c r="R5804" s="24" t="str">
        <f t="shared" si="324"/>
        <v/>
      </c>
      <c r="S5804" s="24" t="str">
        <f t="shared" si="325"/>
        <v/>
      </c>
      <c r="T5804" t="str">
        <f t="shared" si="323"/>
        <v/>
      </c>
    </row>
    <row r="5805" spans="18:20">
      <c r="R5805" s="24" t="str">
        <f t="shared" si="324"/>
        <v/>
      </c>
      <c r="S5805" s="24" t="str">
        <f t="shared" si="325"/>
        <v/>
      </c>
      <c r="T5805" t="str">
        <f t="shared" si="323"/>
        <v/>
      </c>
    </row>
    <row r="5806" spans="18:20">
      <c r="R5806" s="24" t="str">
        <f t="shared" si="324"/>
        <v/>
      </c>
      <c r="S5806" s="24" t="str">
        <f t="shared" si="325"/>
        <v/>
      </c>
      <c r="T5806" t="str">
        <f t="shared" si="323"/>
        <v/>
      </c>
    </row>
    <row r="5807" spans="18:20">
      <c r="R5807" s="24" t="str">
        <f t="shared" si="324"/>
        <v/>
      </c>
      <c r="S5807" s="24" t="str">
        <f t="shared" si="325"/>
        <v/>
      </c>
      <c r="T5807" t="str">
        <f t="shared" si="323"/>
        <v/>
      </c>
    </row>
    <row r="5808" spans="18:20">
      <c r="R5808" s="24" t="str">
        <f t="shared" si="324"/>
        <v/>
      </c>
      <c r="S5808" s="24" t="str">
        <f t="shared" si="325"/>
        <v/>
      </c>
      <c r="T5808" t="str">
        <f t="shared" si="323"/>
        <v/>
      </c>
    </row>
    <row r="5809" spans="18:20">
      <c r="R5809" s="24" t="str">
        <f t="shared" si="324"/>
        <v/>
      </c>
      <c r="S5809" s="24" t="str">
        <f t="shared" si="325"/>
        <v/>
      </c>
      <c r="T5809" t="str">
        <f t="shared" si="323"/>
        <v/>
      </c>
    </row>
    <row r="5810" spans="18:20">
      <c r="R5810" s="24" t="str">
        <f t="shared" si="324"/>
        <v/>
      </c>
      <c r="S5810" s="24" t="str">
        <f t="shared" si="325"/>
        <v/>
      </c>
      <c r="T5810" t="str">
        <f t="shared" si="323"/>
        <v/>
      </c>
    </row>
    <row r="5811" spans="18:20">
      <c r="R5811" s="24" t="str">
        <f t="shared" si="324"/>
        <v/>
      </c>
      <c r="S5811" s="24" t="str">
        <f t="shared" si="325"/>
        <v/>
      </c>
      <c r="T5811" t="str">
        <f t="shared" si="323"/>
        <v/>
      </c>
    </row>
    <row r="5812" spans="18:20">
      <c r="R5812" s="24" t="str">
        <f t="shared" si="324"/>
        <v/>
      </c>
      <c r="S5812" s="24" t="str">
        <f t="shared" si="325"/>
        <v/>
      </c>
      <c r="T5812" t="str">
        <f t="shared" si="323"/>
        <v/>
      </c>
    </row>
    <row r="5813" spans="18:20">
      <c r="R5813" s="24" t="str">
        <f t="shared" si="324"/>
        <v/>
      </c>
      <c r="S5813" s="24" t="str">
        <f t="shared" si="325"/>
        <v/>
      </c>
      <c r="T5813" t="str">
        <f t="shared" si="323"/>
        <v/>
      </c>
    </row>
    <row r="5814" spans="18:20">
      <c r="R5814" s="24" t="str">
        <f t="shared" si="324"/>
        <v/>
      </c>
      <c r="S5814" s="24" t="str">
        <f t="shared" si="325"/>
        <v/>
      </c>
      <c r="T5814" t="str">
        <f t="shared" si="323"/>
        <v/>
      </c>
    </row>
    <row r="5815" spans="18:20">
      <c r="R5815" s="24" t="str">
        <f t="shared" si="324"/>
        <v/>
      </c>
      <c r="S5815" s="24" t="str">
        <f t="shared" si="325"/>
        <v/>
      </c>
      <c r="T5815" t="str">
        <f t="shared" si="323"/>
        <v/>
      </c>
    </row>
    <row r="5816" spans="18:20">
      <c r="R5816" s="24" t="str">
        <f t="shared" si="324"/>
        <v/>
      </c>
      <c r="S5816" s="24" t="str">
        <f t="shared" si="325"/>
        <v/>
      </c>
      <c r="T5816" t="str">
        <f t="shared" si="323"/>
        <v/>
      </c>
    </row>
    <row r="5817" spans="18:20">
      <c r="R5817" s="24" t="str">
        <f t="shared" si="324"/>
        <v/>
      </c>
      <c r="S5817" s="24" t="str">
        <f t="shared" si="325"/>
        <v/>
      </c>
      <c r="T5817" t="str">
        <f t="shared" si="323"/>
        <v/>
      </c>
    </row>
    <row r="5818" spans="18:20">
      <c r="R5818" s="24" t="str">
        <f t="shared" si="324"/>
        <v/>
      </c>
      <c r="S5818" s="24" t="str">
        <f t="shared" si="325"/>
        <v/>
      </c>
      <c r="T5818" t="str">
        <f t="shared" si="323"/>
        <v/>
      </c>
    </row>
    <row r="5819" spans="18:20">
      <c r="R5819" s="24" t="str">
        <f t="shared" si="324"/>
        <v/>
      </c>
      <c r="S5819" s="24" t="str">
        <f t="shared" si="325"/>
        <v/>
      </c>
      <c r="T5819" t="str">
        <f t="shared" si="323"/>
        <v/>
      </c>
    </row>
    <row r="5820" spans="18:20">
      <c r="R5820" s="24" t="str">
        <f t="shared" si="324"/>
        <v/>
      </c>
      <c r="S5820" s="24" t="str">
        <f t="shared" si="325"/>
        <v/>
      </c>
      <c r="T5820" t="str">
        <f t="shared" si="323"/>
        <v/>
      </c>
    </row>
    <row r="5821" spans="18:20">
      <c r="R5821" s="24" t="str">
        <f t="shared" si="324"/>
        <v/>
      </c>
      <c r="S5821" s="24" t="str">
        <f t="shared" si="325"/>
        <v/>
      </c>
      <c r="T5821" t="str">
        <f t="shared" si="323"/>
        <v/>
      </c>
    </row>
    <row r="5822" spans="18:20">
      <c r="R5822" s="24" t="str">
        <f t="shared" si="324"/>
        <v/>
      </c>
      <c r="S5822" s="24" t="str">
        <f t="shared" si="325"/>
        <v/>
      </c>
      <c r="T5822" t="str">
        <f t="shared" si="323"/>
        <v/>
      </c>
    </row>
    <row r="5823" spans="18:20">
      <c r="R5823" s="24" t="str">
        <f t="shared" si="324"/>
        <v/>
      </c>
      <c r="S5823" s="24" t="str">
        <f t="shared" si="325"/>
        <v/>
      </c>
      <c r="T5823" t="str">
        <f t="shared" si="323"/>
        <v/>
      </c>
    </row>
    <row r="5824" spans="18:20">
      <c r="R5824" s="24" t="str">
        <f t="shared" si="324"/>
        <v/>
      </c>
      <c r="S5824" s="24" t="str">
        <f t="shared" si="325"/>
        <v/>
      </c>
      <c r="T5824" t="str">
        <f t="shared" si="323"/>
        <v/>
      </c>
    </row>
    <row r="5825" spans="18:20">
      <c r="R5825" s="24" t="str">
        <f t="shared" si="324"/>
        <v/>
      </c>
      <c r="S5825" s="24" t="str">
        <f t="shared" si="325"/>
        <v/>
      </c>
      <c r="T5825" t="str">
        <f t="shared" si="323"/>
        <v/>
      </c>
    </row>
    <row r="5826" spans="18:20">
      <c r="R5826" s="24" t="str">
        <f t="shared" si="324"/>
        <v/>
      </c>
      <c r="S5826" s="24" t="str">
        <f t="shared" si="325"/>
        <v/>
      </c>
      <c r="T5826" t="str">
        <f t="shared" si="323"/>
        <v/>
      </c>
    </row>
    <row r="5827" spans="18:20">
      <c r="R5827" s="24" t="str">
        <f t="shared" si="324"/>
        <v/>
      </c>
      <c r="S5827" s="24" t="str">
        <f t="shared" si="325"/>
        <v/>
      </c>
      <c r="T5827" t="str">
        <f t="shared" si="323"/>
        <v/>
      </c>
    </row>
    <row r="5828" spans="18:20">
      <c r="R5828" s="24" t="str">
        <f t="shared" si="324"/>
        <v/>
      </c>
      <c r="S5828" s="24" t="str">
        <f t="shared" si="325"/>
        <v/>
      </c>
      <c r="T5828" t="str">
        <f t="shared" si="323"/>
        <v/>
      </c>
    </row>
    <row r="5829" spans="18:20">
      <c r="R5829" s="24" t="str">
        <f t="shared" si="324"/>
        <v/>
      </c>
      <c r="S5829" s="24" t="str">
        <f t="shared" si="325"/>
        <v/>
      </c>
      <c r="T5829" t="str">
        <f t="shared" si="323"/>
        <v/>
      </c>
    </row>
    <row r="5830" spans="18:20">
      <c r="R5830" s="24" t="str">
        <f t="shared" si="324"/>
        <v/>
      </c>
      <c r="S5830" s="24" t="str">
        <f t="shared" si="325"/>
        <v/>
      </c>
      <c r="T5830" t="str">
        <f t="shared" si="323"/>
        <v/>
      </c>
    </row>
    <row r="5831" spans="18:20">
      <c r="R5831" s="24" t="str">
        <f t="shared" si="324"/>
        <v/>
      </c>
      <c r="S5831" s="24" t="str">
        <f t="shared" si="325"/>
        <v/>
      </c>
      <c r="T5831" t="str">
        <f t="shared" si="323"/>
        <v/>
      </c>
    </row>
    <row r="5832" spans="18:20">
      <c r="R5832" s="24" t="str">
        <f t="shared" si="324"/>
        <v/>
      </c>
      <c r="S5832" s="24" t="str">
        <f t="shared" si="325"/>
        <v/>
      </c>
      <c r="T5832" t="str">
        <f t="shared" si="323"/>
        <v/>
      </c>
    </row>
    <row r="5833" spans="18:20">
      <c r="R5833" s="24" t="str">
        <f t="shared" si="324"/>
        <v/>
      </c>
      <c r="S5833" s="24" t="str">
        <f t="shared" si="325"/>
        <v/>
      </c>
      <c r="T5833" t="str">
        <f t="shared" si="323"/>
        <v/>
      </c>
    </row>
    <row r="5834" spans="18:20">
      <c r="R5834" s="24" t="str">
        <f t="shared" si="324"/>
        <v/>
      </c>
      <c r="S5834" s="24" t="str">
        <f t="shared" si="325"/>
        <v/>
      </c>
      <c r="T5834" t="str">
        <f t="shared" si="323"/>
        <v/>
      </c>
    </row>
    <row r="5835" spans="18:20">
      <c r="R5835" s="24" t="str">
        <f t="shared" si="324"/>
        <v/>
      </c>
      <c r="S5835" s="24" t="str">
        <f t="shared" si="325"/>
        <v/>
      </c>
      <c r="T5835" t="str">
        <f t="shared" si="323"/>
        <v/>
      </c>
    </row>
    <row r="5836" spans="18:20">
      <c r="R5836" s="24" t="str">
        <f t="shared" si="324"/>
        <v/>
      </c>
      <c r="S5836" s="24" t="str">
        <f t="shared" si="325"/>
        <v/>
      </c>
      <c r="T5836" t="str">
        <f t="shared" si="323"/>
        <v/>
      </c>
    </row>
    <row r="5837" spans="18:20">
      <c r="R5837" s="24" t="str">
        <f t="shared" si="324"/>
        <v/>
      </c>
      <c r="S5837" s="24" t="str">
        <f t="shared" si="325"/>
        <v/>
      </c>
      <c r="T5837" t="str">
        <f t="shared" si="323"/>
        <v/>
      </c>
    </row>
    <row r="5838" spans="18:20">
      <c r="R5838" s="24" t="str">
        <f t="shared" si="324"/>
        <v/>
      </c>
      <c r="S5838" s="24" t="str">
        <f t="shared" si="325"/>
        <v/>
      </c>
      <c r="T5838" t="str">
        <f t="shared" si="323"/>
        <v/>
      </c>
    </row>
    <row r="5839" spans="18:20">
      <c r="R5839" s="24" t="str">
        <f t="shared" si="324"/>
        <v/>
      </c>
      <c r="S5839" s="24" t="str">
        <f t="shared" si="325"/>
        <v/>
      </c>
      <c r="T5839" t="str">
        <f t="shared" ref="T5839:T5902" si="326">IF(OR(C5839="",I5839&lt;&gt;"ENTRADA"),"",TEXT(B5839,"AAMMDD")&amp;"-"&amp;TEXT(VALUE(SUBSTITUTE(A5839,"MOV-","")),"000"))</f>
        <v/>
      </c>
    </row>
    <row r="5840" spans="18:20">
      <c r="R5840" s="24" t="str">
        <f t="shared" ref="R5840:R5903" si="327">IF(H5840="","",H5840&amp;I5840)</f>
        <v/>
      </c>
      <c r="S5840" s="24" t="str">
        <f t="shared" ref="S5840:S5903" si="328">IF(C5840="","",C5840&amp;I5840)</f>
        <v/>
      </c>
      <c r="T5840" t="str">
        <f t="shared" si="326"/>
        <v/>
      </c>
    </row>
    <row r="5841" spans="18:20">
      <c r="R5841" s="24" t="str">
        <f t="shared" si="327"/>
        <v/>
      </c>
      <c r="S5841" s="24" t="str">
        <f t="shared" si="328"/>
        <v/>
      </c>
      <c r="T5841" t="str">
        <f t="shared" si="326"/>
        <v/>
      </c>
    </row>
    <row r="5842" spans="18:20">
      <c r="R5842" s="24" t="str">
        <f t="shared" si="327"/>
        <v/>
      </c>
      <c r="S5842" s="24" t="str">
        <f t="shared" si="328"/>
        <v/>
      </c>
      <c r="T5842" t="str">
        <f t="shared" si="326"/>
        <v/>
      </c>
    </row>
    <row r="5843" spans="18:20">
      <c r="R5843" s="24" t="str">
        <f t="shared" si="327"/>
        <v/>
      </c>
      <c r="S5843" s="24" t="str">
        <f t="shared" si="328"/>
        <v/>
      </c>
      <c r="T5843" t="str">
        <f t="shared" si="326"/>
        <v/>
      </c>
    </row>
    <row r="5844" spans="18:20">
      <c r="R5844" s="24" t="str">
        <f t="shared" si="327"/>
        <v/>
      </c>
      <c r="S5844" s="24" t="str">
        <f t="shared" si="328"/>
        <v/>
      </c>
      <c r="T5844" t="str">
        <f t="shared" si="326"/>
        <v/>
      </c>
    </row>
    <row r="5845" spans="18:20">
      <c r="R5845" s="24" t="str">
        <f t="shared" si="327"/>
        <v/>
      </c>
      <c r="S5845" s="24" t="str">
        <f t="shared" si="328"/>
        <v/>
      </c>
      <c r="T5845" t="str">
        <f t="shared" si="326"/>
        <v/>
      </c>
    </row>
    <row r="5846" spans="18:20">
      <c r="R5846" s="24" t="str">
        <f t="shared" si="327"/>
        <v/>
      </c>
      <c r="S5846" s="24" t="str">
        <f t="shared" si="328"/>
        <v/>
      </c>
      <c r="T5846" t="str">
        <f t="shared" si="326"/>
        <v/>
      </c>
    </row>
    <row r="5847" spans="18:20">
      <c r="R5847" s="24" t="str">
        <f t="shared" si="327"/>
        <v/>
      </c>
      <c r="S5847" s="24" t="str">
        <f t="shared" si="328"/>
        <v/>
      </c>
      <c r="T5847" t="str">
        <f t="shared" si="326"/>
        <v/>
      </c>
    </row>
    <row r="5848" spans="18:20">
      <c r="R5848" s="24" t="str">
        <f t="shared" si="327"/>
        <v/>
      </c>
      <c r="S5848" s="24" t="str">
        <f t="shared" si="328"/>
        <v/>
      </c>
      <c r="T5848" t="str">
        <f t="shared" si="326"/>
        <v/>
      </c>
    </row>
    <row r="5849" spans="18:20">
      <c r="R5849" s="24" t="str">
        <f t="shared" si="327"/>
        <v/>
      </c>
      <c r="S5849" s="24" t="str">
        <f t="shared" si="328"/>
        <v/>
      </c>
      <c r="T5849" t="str">
        <f t="shared" si="326"/>
        <v/>
      </c>
    </row>
    <row r="5850" spans="18:20">
      <c r="R5850" s="24" t="str">
        <f t="shared" si="327"/>
        <v/>
      </c>
      <c r="S5850" s="24" t="str">
        <f t="shared" si="328"/>
        <v/>
      </c>
      <c r="T5850" t="str">
        <f t="shared" si="326"/>
        <v/>
      </c>
    </row>
    <row r="5851" spans="18:20">
      <c r="R5851" s="24" t="str">
        <f t="shared" si="327"/>
        <v/>
      </c>
      <c r="S5851" s="24" t="str">
        <f t="shared" si="328"/>
        <v/>
      </c>
      <c r="T5851" t="str">
        <f t="shared" si="326"/>
        <v/>
      </c>
    </row>
    <row r="5852" spans="18:20">
      <c r="R5852" s="24" t="str">
        <f t="shared" si="327"/>
        <v/>
      </c>
      <c r="S5852" s="24" t="str">
        <f t="shared" si="328"/>
        <v/>
      </c>
      <c r="T5852" t="str">
        <f t="shared" si="326"/>
        <v/>
      </c>
    </row>
    <row r="5853" spans="18:20">
      <c r="R5853" s="24" t="str">
        <f t="shared" si="327"/>
        <v/>
      </c>
      <c r="S5853" s="24" t="str">
        <f t="shared" si="328"/>
        <v/>
      </c>
      <c r="T5853" t="str">
        <f t="shared" si="326"/>
        <v/>
      </c>
    </row>
    <row r="5854" spans="18:20">
      <c r="R5854" s="24" t="str">
        <f t="shared" si="327"/>
        <v/>
      </c>
      <c r="S5854" s="24" t="str">
        <f t="shared" si="328"/>
        <v/>
      </c>
      <c r="T5854" t="str">
        <f t="shared" si="326"/>
        <v/>
      </c>
    </row>
    <row r="5855" spans="18:20">
      <c r="R5855" s="24" t="str">
        <f t="shared" si="327"/>
        <v/>
      </c>
      <c r="S5855" s="24" t="str">
        <f t="shared" si="328"/>
        <v/>
      </c>
      <c r="T5855" t="str">
        <f t="shared" si="326"/>
        <v/>
      </c>
    </row>
    <row r="5856" spans="18:20">
      <c r="R5856" s="24" t="str">
        <f t="shared" si="327"/>
        <v/>
      </c>
      <c r="S5856" s="24" t="str">
        <f t="shared" si="328"/>
        <v/>
      </c>
      <c r="T5856" t="str">
        <f t="shared" si="326"/>
        <v/>
      </c>
    </row>
    <row r="5857" spans="18:20">
      <c r="R5857" s="24" t="str">
        <f t="shared" si="327"/>
        <v/>
      </c>
      <c r="S5857" s="24" t="str">
        <f t="shared" si="328"/>
        <v/>
      </c>
      <c r="T5857" t="str">
        <f t="shared" si="326"/>
        <v/>
      </c>
    </row>
    <row r="5858" spans="18:20">
      <c r="R5858" s="24" t="str">
        <f t="shared" si="327"/>
        <v/>
      </c>
      <c r="S5858" s="24" t="str">
        <f t="shared" si="328"/>
        <v/>
      </c>
      <c r="T5858" t="str">
        <f t="shared" si="326"/>
        <v/>
      </c>
    </row>
    <row r="5859" spans="18:20">
      <c r="R5859" s="24" t="str">
        <f t="shared" si="327"/>
        <v/>
      </c>
      <c r="S5859" s="24" t="str">
        <f t="shared" si="328"/>
        <v/>
      </c>
      <c r="T5859" t="str">
        <f t="shared" si="326"/>
        <v/>
      </c>
    </row>
    <row r="5860" spans="18:20">
      <c r="R5860" s="24" t="str">
        <f t="shared" si="327"/>
        <v/>
      </c>
      <c r="S5860" s="24" t="str">
        <f t="shared" si="328"/>
        <v/>
      </c>
      <c r="T5860" t="str">
        <f t="shared" si="326"/>
        <v/>
      </c>
    </row>
    <row r="5861" spans="18:20">
      <c r="R5861" s="24" t="str">
        <f t="shared" si="327"/>
        <v/>
      </c>
      <c r="S5861" s="24" t="str">
        <f t="shared" si="328"/>
        <v/>
      </c>
      <c r="T5861" t="str">
        <f t="shared" si="326"/>
        <v/>
      </c>
    </row>
    <row r="5862" spans="18:20">
      <c r="R5862" s="24" t="str">
        <f t="shared" si="327"/>
        <v/>
      </c>
      <c r="S5862" s="24" t="str">
        <f t="shared" si="328"/>
        <v/>
      </c>
      <c r="T5862" t="str">
        <f t="shared" si="326"/>
        <v/>
      </c>
    </row>
    <row r="5863" spans="18:20">
      <c r="R5863" s="24" t="str">
        <f t="shared" si="327"/>
        <v/>
      </c>
      <c r="S5863" s="24" t="str">
        <f t="shared" si="328"/>
        <v/>
      </c>
      <c r="T5863" t="str">
        <f t="shared" si="326"/>
        <v/>
      </c>
    </row>
    <row r="5864" spans="18:20">
      <c r="R5864" s="24" t="str">
        <f t="shared" si="327"/>
        <v/>
      </c>
      <c r="S5864" s="24" t="str">
        <f t="shared" si="328"/>
        <v/>
      </c>
      <c r="T5864" t="str">
        <f t="shared" si="326"/>
        <v/>
      </c>
    </row>
    <row r="5865" spans="18:20">
      <c r="R5865" s="24" t="str">
        <f t="shared" si="327"/>
        <v/>
      </c>
      <c r="S5865" s="24" t="str">
        <f t="shared" si="328"/>
        <v/>
      </c>
      <c r="T5865" t="str">
        <f t="shared" si="326"/>
        <v/>
      </c>
    </row>
    <row r="5866" spans="18:20">
      <c r="R5866" s="24" t="str">
        <f t="shared" si="327"/>
        <v/>
      </c>
      <c r="S5866" s="24" t="str">
        <f t="shared" si="328"/>
        <v/>
      </c>
      <c r="T5866" t="str">
        <f t="shared" si="326"/>
        <v/>
      </c>
    </row>
    <row r="5867" spans="18:20">
      <c r="R5867" s="24" t="str">
        <f t="shared" si="327"/>
        <v/>
      </c>
      <c r="S5867" s="24" t="str">
        <f t="shared" si="328"/>
        <v/>
      </c>
      <c r="T5867" t="str">
        <f t="shared" si="326"/>
        <v/>
      </c>
    </row>
    <row r="5868" spans="18:20">
      <c r="R5868" s="24" t="str">
        <f t="shared" si="327"/>
        <v/>
      </c>
      <c r="S5868" s="24" t="str">
        <f t="shared" si="328"/>
        <v/>
      </c>
      <c r="T5868" t="str">
        <f t="shared" si="326"/>
        <v/>
      </c>
    </row>
    <row r="5869" spans="18:20">
      <c r="R5869" s="24" t="str">
        <f t="shared" si="327"/>
        <v/>
      </c>
      <c r="S5869" s="24" t="str">
        <f t="shared" si="328"/>
        <v/>
      </c>
      <c r="T5869" t="str">
        <f t="shared" si="326"/>
        <v/>
      </c>
    </row>
    <row r="5870" spans="18:20">
      <c r="R5870" s="24" t="str">
        <f t="shared" si="327"/>
        <v/>
      </c>
      <c r="S5870" s="24" t="str">
        <f t="shared" si="328"/>
        <v/>
      </c>
      <c r="T5870" t="str">
        <f t="shared" si="326"/>
        <v/>
      </c>
    </row>
    <row r="5871" spans="18:20">
      <c r="R5871" s="24" t="str">
        <f t="shared" si="327"/>
        <v/>
      </c>
      <c r="S5871" s="24" t="str">
        <f t="shared" si="328"/>
        <v/>
      </c>
      <c r="T5871" t="str">
        <f t="shared" si="326"/>
        <v/>
      </c>
    </row>
    <row r="5872" spans="18:20">
      <c r="R5872" s="24" t="str">
        <f t="shared" si="327"/>
        <v/>
      </c>
      <c r="S5872" s="24" t="str">
        <f t="shared" si="328"/>
        <v/>
      </c>
      <c r="T5872" t="str">
        <f t="shared" si="326"/>
        <v/>
      </c>
    </row>
    <row r="5873" spans="18:20">
      <c r="R5873" s="24" t="str">
        <f t="shared" si="327"/>
        <v/>
      </c>
      <c r="S5873" s="24" t="str">
        <f t="shared" si="328"/>
        <v/>
      </c>
      <c r="T5873" t="str">
        <f t="shared" si="326"/>
        <v/>
      </c>
    </row>
    <row r="5874" spans="18:20">
      <c r="R5874" s="24" t="str">
        <f t="shared" si="327"/>
        <v/>
      </c>
      <c r="S5874" s="24" t="str">
        <f t="shared" si="328"/>
        <v/>
      </c>
      <c r="T5874" t="str">
        <f t="shared" si="326"/>
        <v/>
      </c>
    </row>
    <row r="5875" spans="18:20">
      <c r="R5875" s="24" t="str">
        <f t="shared" si="327"/>
        <v/>
      </c>
      <c r="S5875" s="24" t="str">
        <f t="shared" si="328"/>
        <v/>
      </c>
      <c r="T5875" t="str">
        <f t="shared" si="326"/>
        <v/>
      </c>
    </row>
    <row r="5876" spans="18:20">
      <c r="R5876" s="24" t="str">
        <f t="shared" si="327"/>
        <v/>
      </c>
      <c r="S5876" s="24" t="str">
        <f t="shared" si="328"/>
        <v/>
      </c>
      <c r="T5876" t="str">
        <f t="shared" si="326"/>
        <v/>
      </c>
    </row>
    <row r="5877" spans="18:20">
      <c r="R5877" s="24" t="str">
        <f t="shared" si="327"/>
        <v/>
      </c>
      <c r="S5877" s="24" t="str">
        <f t="shared" si="328"/>
        <v/>
      </c>
      <c r="T5877" t="str">
        <f t="shared" si="326"/>
        <v/>
      </c>
    </row>
    <row r="5878" spans="18:20">
      <c r="R5878" s="24" t="str">
        <f t="shared" si="327"/>
        <v/>
      </c>
      <c r="S5878" s="24" t="str">
        <f t="shared" si="328"/>
        <v/>
      </c>
      <c r="T5878" t="str">
        <f t="shared" si="326"/>
        <v/>
      </c>
    </row>
    <row r="5879" spans="18:20">
      <c r="R5879" s="24" t="str">
        <f t="shared" si="327"/>
        <v/>
      </c>
      <c r="S5879" s="24" t="str">
        <f t="shared" si="328"/>
        <v/>
      </c>
      <c r="T5879" t="str">
        <f t="shared" si="326"/>
        <v/>
      </c>
    </row>
    <row r="5880" spans="18:20">
      <c r="R5880" s="24" t="str">
        <f t="shared" si="327"/>
        <v/>
      </c>
      <c r="S5880" s="24" t="str">
        <f t="shared" si="328"/>
        <v/>
      </c>
      <c r="T5880" t="str">
        <f t="shared" si="326"/>
        <v/>
      </c>
    </row>
    <row r="5881" spans="18:20">
      <c r="R5881" s="24" t="str">
        <f t="shared" si="327"/>
        <v/>
      </c>
      <c r="S5881" s="24" t="str">
        <f t="shared" si="328"/>
        <v/>
      </c>
      <c r="T5881" t="str">
        <f t="shared" si="326"/>
        <v/>
      </c>
    </row>
    <row r="5882" spans="18:20">
      <c r="R5882" s="24" t="str">
        <f t="shared" si="327"/>
        <v/>
      </c>
      <c r="S5882" s="24" t="str">
        <f t="shared" si="328"/>
        <v/>
      </c>
      <c r="T5882" t="str">
        <f t="shared" si="326"/>
        <v/>
      </c>
    </row>
    <row r="5883" spans="18:20">
      <c r="R5883" s="24" t="str">
        <f t="shared" si="327"/>
        <v/>
      </c>
      <c r="S5883" s="24" t="str">
        <f t="shared" si="328"/>
        <v/>
      </c>
      <c r="T5883" t="str">
        <f t="shared" si="326"/>
        <v/>
      </c>
    </row>
    <row r="5884" spans="18:20">
      <c r="R5884" s="24" t="str">
        <f t="shared" si="327"/>
        <v/>
      </c>
      <c r="S5884" s="24" t="str">
        <f t="shared" si="328"/>
        <v/>
      </c>
      <c r="T5884" t="str">
        <f t="shared" si="326"/>
        <v/>
      </c>
    </row>
    <row r="5885" spans="18:20">
      <c r="R5885" s="24" t="str">
        <f t="shared" si="327"/>
        <v/>
      </c>
      <c r="S5885" s="24" t="str">
        <f t="shared" si="328"/>
        <v/>
      </c>
      <c r="T5885" t="str">
        <f t="shared" si="326"/>
        <v/>
      </c>
    </row>
    <row r="5886" spans="18:20">
      <c r="R5886" s="24" t="str">
        <f t="shared" si="327"/>
        <v/>
      </c>
      <c r="S5886" s="24" t="str">
        <f t="shared" si="328"/>
        <v/>
      </c>
      <c r="T5886" t="str">
        <f t="shared" si="326"/>
        <v/>
      </c>
    </row>
    <row r="5887" spans="18:20">
      <c r="R5887" s="24" t="str">
        <f t="shared" si="327"/>
        <v/>
      </c>
      <c r="S5887" s="24" t="str">
        <f t="shared" si="328"/>
        <v/>
      </c>
      <c r="T5887" t="str">
        <f t="shared" si="326"/>
        <v/>
      </c>
    </row>
    <row r="5888" spans="18:20">
      <c r="R5888" s="24" t="str">
        <f t="shared" si="327"/>
        <v/>
      </c>
      <c r="S5888" s="24" t="str">
        <f t="shared" si="328"/>
        <v/>
      </c>
      <c r="T5888" t="str">
        <f t="shared" si="326"/>
        <v/>
      </c>
    </row>
    <row r="5889" spans="18:20">
      <c r="R5889" s="24" t="str">
        <f t="shared" si="327"/>
        <v/>
      </c>
      <c r="S5889" s="24" t="str">
        <f t="shared" si="328"/>
        <v/>
      </c>
      <c r="T5889" t="str">
        <f t="shared" si="326"/>
        <v/>
      </c>
    </row>
    <row r="5890" spans="18:20">
      <c r="R5890" s="24" t="str">
        <f t="shared" si="327"/>
        <v/>
      </c>
      <c r="S5890" s="24" t="str">
        <f t="shared" si="328"/>
        <v/>
      </c>
      <c r="T5890" t="str">
        <f t="shared" si="326"/>
        <v/>
      </c>
    </row>
    <row r="5891" spans="18:20">
      <c r="R5891" s="24" t="str">
        <f t="shared" si="327"/>
        <v/>
      </c>
      <c r="S5891" s="24" t="str">
        <f t="shared" si="328"/>
        <v/>
      </c>
      <c r="T5891" t="str">
        <f t="shared" si="326"/>
        <v/>
      </c>
    </row>
    <row r="5892" spans="18:20">
      <c r="R5892" s="24" t="str">
        <f t="shared" si="327"/>
        <v/>
      </c>
      <c r="S5892" s="24" t="str">
        <f t="shared" si="328"/>
        <v/>
      </c>
      <c r="T5892" t="str">
        <f t="shared" si="326"/>
        <v/>
      </c>
    </row>
    <row r="5893" spans="18:20">
      <c r="R5893" s="24" t="str">
        <f t="shared" si="327"/>
        <v/>
      </c>
      <c r="S5893" s="24" t="str">
        <f t="shared" si="328"/>
        <v/>
      </c>
      <c r="T5893" t="str">
        <f t="shared" si="326"/>
        <v/>
      </c>
    </row>
    <row r="5894" spans="18:20">
      <c r="R5894" s="24" t="str">
        <f t="shared" si="327"/>
        <v/>
      </c>
      <c r="S5894" s="24" t="str">
        <f t="shared" si="328"/>
        <v/>
      </c>
      <c r="T5894" t="str">
        <f t="shared" si="326"/>
        <v/>
      </c>
    </row>
    <row r="5895" spans="18:20">
      <c r="R5895" s="24" t="str">
        <f t="shared" si="327"/>
        <v/>
      </c>
      <c r="S5895" s="24" t="str">
        <f t="shared" si="328"/>
        <v/>
      </c>
      <c r="T5895" t="str">
        <f t="shared" si="326"/>
        <v/>
      </c>
    </row>
    <row r="5896" spans="18:20">
      <c r="R5896" s="24" t="str">
        <f t="shared" si="327"/>
        <v/>
      </c>
      <c r="S5896" s="24" t="str">
        <f t="shared" si="328"/>
        <v/>
      </c>
      <c r="T5896" t="str">
        <f t="shared" si="326"/>
        <v/>
      </c>
    </row>
    <row r="5897" spans="18:20">
      <c r="R5897" s="24" t="str">
        <f t="shared" si="327"/>
        <v/>
      </c>
      <c r="S5897" s="24" t="str">
        <f t="shared" si="328"/>
        <v/>
      </c>
      <c r="T5897" t="str">
        <f t="shared" si="326"/>
        <v/>
      </c>
    </row>
    <row r="5898" spans="18:20">
      <c r="R5898" s="24" t="str">
        <f t="shared" si="327"/>
        <v/>
      </c>
      <c r="S5898" s="24" t="str">
        <f t="shared" si="328"/>
        <v/>
      </c>
      <c r="T5898" t="str">
        <f t="shared" si="326"/>
        <v/>
      </c>
    </row>
    <row r="5899" spans="18:20">
      <c r="R5899" s="24" t="str">
        <f t="shared" si="327"/>
        <v/>
      </c>
      <c r="S5899" s="24" t="str">
        <f t="shared" si="328"/>
        <v/>
      </c>
      <c r="T5899" t="str">
        <f t="shared" si="326"/>
        <v/>
      </c>
    </row>
    <row r="5900" spans="18:20">
      <c r="R5900" s="24" t="str">
        <f t="shared" si="327"/>
        <v/>
      </c>
      <c r="S5900" s="24" t="str">
        <f t="shared" si="328"/>
        <v/>
      </c>
      <c r="T5900" t="str">
        <f t="shared" si="326"/>
        <v/>
      </c>
    </row>
    <row r="5901" spans="18:20">
      <c r="R5901" s="24" t="str">
        <f t="shared" si="327"/>
        <v/>
      </c>
      <c r="S5901" s="24" t="str">
        <f t="shared" si="328"/>
        <v/>
      </c>
      <c r="T5901" t="str">
        <f t="shared" si="326"/>
        <v/>
      </c>
    </row>
    <row r="5902" spans="18:20">
      <c r="R5902" s="24" t="str">
        <f t="shared" si="327"/>
        <v/>
      </c>
      <c r="S5902" s="24" t="str">
        <f t="shared" si="328"/>
        <v/>
      </c>
      <c r="T5902" t="str">
        <f t="shared" si="326"/>
        <v/>
      </c>
    </row>
    <row r="5903" spans="18:20">
      <c r="R5903" s="24" t="str">
        <f t="shared" si="327"/>
        <v/>
      </c>
      <c r="S5903" s="24" t="str">
        <f t="shared" si="328"/>
        <v/>
      </c>
      <c r="T5903" t="str">
        <f t="shared" ref="T5903:T5966" si="329">IF(OR(C5903="",I5903&lt;&gt;"ENTRADA"),"",TEXT(B5903,"AAMMDD")&amp;"-"&amp;TEXT(VALUE(SUBSTITUTE(A5903,"MOV-","")),"000"))</f>
        <v/>
      </c>
    </row>
    <row r="5904" spans="18:20">
      <c r="R5904" s="24" t="str">
        <f t="shared" ref="R5904:R5967" si="330">IF(H5904="","",H5904&amp;I5904)</f>
        <v/>
      </c>
      <c r="S5904" s="24" t="str">
        <f t="shared" ref="S5904:S5967" si="331">IF(C5904="","",C5904&amp;I5904)</f>
        <v/>
      </c>
      <c r="T5904" t="str">
        <f t="shared" si="329"/>
        <v/>
      </c>
    </row>
    <row r="5905" spans="18:20">
      <c r="R5905" s="24" t="str">
        <f t="shared" si="330"/>
        <v/>
      </c>
      <c r="S5905" s="24" t="str">
        <f t="shared" si="331"/>
        <v/>
      </c>
      <c r="T5905" t="str">
        <f t="shared" si="329"/>
        <v/>
      </c>
    </row>
    <row r="5906" spans="18:20">
      <c r="R5906" s="24" t="str">
        <f t="shared" si="330"/>
        <v/>
      </c>
      <c r="S5906" s="24" t="str">
        <f t="shared" si="331"/>
        <v/>
      </c>
      <c r="T5906" t="str">
        <f t="shared" si="329"/>
        <v/>
      </c>
    </row>
    <row r="5907" spans="18:20">
      <c r="R5907" s="24" t="str">
        <f t="shared" si="330"/>
        <v/>
      </c>
      <c r="S5907" s="24" t="str">
        <f t="shared" si="331"/>
        <v/>
      </c>
      <c r="T5907" t="str">
        <f t="shared" si="329"/>
        <v/>
      </c>
    </row>
    <row r="5908" spans="18:20">
      <c r="R5908" s="24" t="str">
        <f t="shared" si="330"/>
        <v/>
      </c>
      <c r="S5908" s="24" t="str">
        <f t="shared" si="331"/>
        <v/>
      </c>
      <c r="T5908" t="str">
        <f t="shared" si="329"/>
        <v/>
      </c>
    </row>
    <row r="5909" spans="18:20">
      <c r="R5909" s="24" t="str">
        <f t="shared" si="330"/>
        <v/>
      </c>
      <c r="S5909" s="24" t="str">
        <f t="shared" si="331"/>
        <v/>
      </c>
      <c r="T5909" t="str">
        <f t="shared" si="329"/>
        <v/>
      </c>
    </row>
    <row r="5910" spans="18:20">
      <c r="R5910" s="24" t="str">
        <f t="shared" si="330"/>
        <v/>
      </c>
      <c r="S5910" s="24" t="str">
        <f t="shared" si="331"/>
        <v/>
      </c>
      <c r="T5910" t="str">
        <f t="shared" si="329"/>
        <v/>
      </c>
    </row>
    <row r="5911" spans="18:20">
      <c r="R5911" s="24" t="str">
        <f t="shared" si="330"/>
        <v/>
      </c>
      <c r="S5911" s="24" t="str">
        <f t="shared" si="331"/>
        <v/>
      </c>
      <c r="T5911" t="str">
        <f t="shared" si="329"/>
        <v/>
      </c>
    </row>
    <row r="5912" spans="18:20">
      <c r="R5912" s="24" t="str">
        <f t="shared" si="330"/>
        <v/>
      </c>
      <c r="S5912" s="24" t="str">
        <f t="shared" si="331"/>
        <v/>
      </c>
      <c r="T5912" t="str">
        <f t="shared" si="329"/>
        <v/>
      </c>
    </row>
    <row r="5913" spans="18:20">
      <c r="R5913" s="24" t="str">
        <f t="shared" si="330"/>
        <v/>
      </c>
      <c r="S5913" s="24" t="str">
        <f t="shared" si="331"/>
        <v/>
      </c>
      <c r="T5913" t="str">
        <f t="shared" si="329"/>
        <v/>
      </c>
    </row>
    <row r="5914" spans="18:20">
      <c r="R5914" s="24" t="str">
        <f t="shared" si="330"/>
        <v/>
      </c>
      <c r="S5914" s="24" t="str">
        <f t="shared" si="331"/>
        <v/>
      </c>
      <c r="T5914" t="str">
        <f t="shared" si="329"/>
        <v/>
      </c>
    </row>
    <row r="5915" spans="18:20">
      <c r="R5915" s="24" t="str">
        <f t="shared" si="330"/>
        <v/>
      </c>
      <c r="S5915" s="24" t="str">
        <f t="shared" si="331"/>
        <v/>
      </c>
      <c r="T5915" t="str">
        <f t="shared" si="329"/>
        <v/>
      </c>
    </row>
    <row r="5916" spans="18:20">
      <c r="R5916" s="24" t="str">
        <f t="shared" si="330"/>
        <v/>
      </c>
      <c r="S5916" s="24" t="str">
        <f t="shared" si="331"/>
        <v/>
      </c>
      <c r="T5916" t="str">
        <f t="shared" si="329"/>
        <v/>
      </c>
    </row>
    <row r="5917" spans="18:20">
      <c r="R5917" s="24" t="str">
        <f t="shared" si="330"/>
        <v/>
      </c>
      <c r="S5917" s="24" t="str">
        <f t="shared" si="331"/>
        <v/>
      </c>
      <c r="T5917" t="str">
        <f t="shared" si="329"/>
        <v/>
      </c>
    </row>
    <row r="5918" spans="18:20">
      <c r="R5918" s="24" t="str">
        <f t="shared" si="330"/>
        <v/>
      </c>
      <c r="S5918" s="24" t="str">
        <f t="shared" si="331"/>
        <v/>
      </c>
      <c r="T5918" t="str">
        <f t="shared" si="329"/>
        <v/>
      </c>
    </row>
    <row r="5919" spans="18:20">
      <c r="R5919" s="24" t="str">
        <f t="shared" si="330"/>
        <v/>
      </c>
      <c r="S5919" s="24" t="str">
        <f t="shared" si="331"/>
        <v/>
      </c>
      <c r="T5919" t="str">
        <f t="shared" si="329"/>
        <v/>
      </c>
    </row>
    <row r="5920" spans="18:20">
      <c r="R5920" s="24" t="str">
        <f t="shared" si="330"/>
        <v/>
      </c>
      <c r="S5920" s="24" t="str">
        <f t="shared" si="331"/>
        <v/>
      </c>
      <c r="T5920" t="str">
        <f t="shared" si="329"/>
        <v/>
      </c>
    </row>
    <row r="5921" spans="18:20">
      <c r="R5921" s="24" t="str">
        <f t="shared" si="330"/>
        <v/>
      </c>
      <c r="S5921" s="24" t="str">
        <f t="shared" si="331"/>
        <v/>
      </c>
      <c r="T5921" t="str">
        <f t="shared" si="329"/>
        <v/>
      </c>
    </row>
    <row r="5922" spans="18:20">
      <c r="R5922" s="24" t="str">
        <f t="shared" si="330"/>
        <v/>
      </c>
      <c r="S5922" s="24" t="str">
        <f t="shared" si="331"/>
        <v/>
      </c>
      <c r="T5922" t="str">
        <f t="shared" si="329"/>
        <v/>
      </c>
    </row>
    <row r="5923" spans="18:20">
      <c r="R5923" s="24" t="str">
        <f t="shared" si="330"/>
        <v/>
      </c>
      <c r="S5923" s="24" t="str">
        <f t="shared" si="331"/>
        <v/>
      </c>
      <c r="T5923" t="str">
        <f t="shared" si="329"/>
        <v/>
      </c>
    </row>
    <row r="5924" spans="18:20">
      <c r="R5924" s="24" t="str">
        <f t="shared" si="330"/>
        <v/>
      </c>
      <c r="S5924" s="24" t="str">
        <f t="shared" si="331"/>
        <v/>
      </c>
      <c r="T5924" t="str">
        <f t="shared" si="329"/>
        <v/>
      </c>
    </row>
    <row r="5925" spans="18:20">
      <c r="R5925" s="24" t="str">
        <f t="shared" si="330"/>
        <v/>
      </c>
      <c r="S5925" s="24" t="str">
        <f t="shared" si="331"/>
        <v/>
      </c>
      <c r="T5925" t="str">
        <f t="shared" si="329"/>
        <v/>
      </c>
    </row>
    <row r="5926" spans="18:20">
      <c r="R5926" s="24" t="str">
        <f t="shared" si="330"/>
        <v/>
      </c>
      <c r="S5926" s="24" t="str">
        <f t="shared" si="331"/>
        <v/>
      </c>
      <c r="T5926" t="str">
        <f t="shared" si="329"/>
        <v/>
      </c>
    </row>
    <row r="5927" spans="18:20">
      <c r="R5927" s="24" t="str">
        <f t="shared" si="330"/>
        <v/>
      </c>
      <c r="S5927" s="24" t="str">
        <f t="shared" si="331"/>
        <v/>
      </c>
      <c r="T5927" t="str">
        <f t="shared" si="329"/>
        <v/>
      </c>
    </row>
    <row r="5928" spans="18:20">
      <c r="R5928" s="24" t="str">
        <f t="shared" si="330"/>
        <v/>
      </c>
      <c r="S5928" s="24" t="str">
        <f t="shared" si="331"/>
        <v/>
      </c>
      <c r="T5928" t="str">
        <f t="shared" si="329"/>
        <v/>
      </c>
    </row>
    <row r="5929" spans="18:20">
      <c r="R5929" s="24" t="str">
        <f t="shared" si="330"/>
        <v/>
      </c>
      <c r="S5929" s="24" t="str">
        <f t="shared" si="331"/>
        <v/>
      </c>
      <c r="T5929" t="str">
        <f t="shared" si="329"/>
        <v/>
      </c>
    </row>
    <row r="5930" spans="18:20">
      <c r="R5930" s="24" t="str">
        <f t="shared" si="330"/>
        <v/>
      </c>
      <c r="S5930" s="24" t="str">
        <f t="shared" si="331"/>
        <v/>
      </c>
      <c r="T5930" t="str">
        <f t="shared" si="329"/>
        <v/>
      </c>
    </row>
    <row r="5931" spans="18:20">
      <c r="R5931" s="24" t="str">
        <f t="shared" si="330"/>
        <v/>
      </c>
      <c r="S5931" s="24" t="str">
        <f t="shared" si="331"/>
        <v/>
      </c>
      <c r="T5931" t="str">
        <f t="shared" si="329"/>
        <v/>
      </c>
    </row>
    <row r="5932" spans="18:20">
      <c r="R5932" s="24" t="str">
        <f t="shared" si="330"/>
        <v/>
      </c>
      <c r="S5932" s="24" t="str">
        <f t="shared" si="331"/>
        <v/>
      </c>
      <c r="T5932" t="str">
        <f t="shared" si="329"/>
        <v/>
      </c>
    </row>
    <row r="5933" spans="18:20">
      <c r="R5933" s="24" t="str">
        <f t="shared" si="330"/>
        <v/>
      </c>
      <c r="S5933" s="24" t="str">
        <f t="shared" si="331"/>
        <v/>
      </c>
      <c r="T5933" t="str">
        <f t="shared" si="329"/>
        <v/>
      </c>
    </row>
    <row r="5934" spans="18:20">
      <c r="R5934" s="24" t="str">
        <f t="shared" si="330"/>
        <v/>
      </c>
      <c r="S5934" s="24" t="str">
        <f t="shared" si="331"/>
        <v/>
      </c>
      <c r="T5934" t="str">
        <f t="shared" si="329"/>
        <v/>
      </c>
    </row>
    <row r="5935" spans="18:20">
      <c r="R5935" s="24" t="str">
        <f t="shared" si="330"/>
        <v/>
      </c>
      <c r="S5935" s="24" t="str">
        <f t="shared" si="331"/>
        <v/>
      </c>
      <c r="T5935" t="str">
        <f t="shared" si="329"/>
        <v/>
      </c>
    </row>
    <row r="5936" spans="18:20">
      <c r="R5936" s="24" t="str">
        <f t="shared" si="330"/>
        <v/>
      </c>
      <c r="S5936" s="24" t="str">
        <f t="shared" si="331"/>
        <v/>
      </c>
      <c r="T5936" t="str">
        <f t="shared" si="329"/>
        <v/>
      </c>
    </row>
    <row r="5937" spans="18:20">
      <c r="R5937" s="24" t="str">
        <f t="shared" si="330"/>
        <v/>
      </c>
      <c r="S5937" s="24" t="str">
        <f t="shared" si="331"/>
        <v/>
      </c>
      <c r="T5937" t="str">
        <f t="shared" si="329"/>
        <v/>
      </c>
    </row>
    <row r="5938" spans="18:20">
      <c r="R5938" s="24" t="str">
        <f t="shared" si="330"/>
        <v/>
      </c>
      <c r="S5938" s="24" t="str">
        <f t="shared" si="331"/>
        <v/>
      </c>
      <c r="T5938" t="str">
        <f t="shared" si="329"/>
        <v/>
      </c>
    </row>
    <row r="5939" spans="18:20">
      <c r="R5939" s="24" t="str">
        <f t="shared" si="330"/>
        <v/>
      </c>
      <c r="S5939" s="24" t="str">
        <f t="shared" si="331"/>
        <v/>
      </c>
      <c r="T5939" t="str">
        <f t="shared" si="329"/>
        <v/>
      </c>
    </row>
    <row r="5940" spans="18:20">
      <c r="R5940" s="24" t="str">
        <f t="shared" si="330"/>
        <v/>
      </c>
      <c r="S5940" s="24" t="str">
        <f t="shared" si="331"/>
        <v/>
      </c>
      <c r="T5940" t="str">
        <f t="shared" si="329"/>
        <v/>
      </c>
    </row>
    <row r="5941" spans="18:20">
      <c r="R5941" s="24" t="str">
        <f t="shared" si="330"/>
        <v/>
      </c>
      <c r="S5941" s="24" t="str">
        <f t="shared" si="331"/>
        <v/>
      </c>
      <c r="T5941" t="str">
        <f t="shared" si="329"/>
        <v/>
      </c>
    </row>
    <row r="5942" spans="18:20">
      <c r="R5942" s="24" t="str">
        <f t="shared" si="330"/>
        <v/>
      </c>
      <c r="S5942" s="24" t="str">
        <f t="shared" si="331"/>
        <v/>
      </c>
      <c r="T5942" t="str">
        <f t="shared" si="329"/>
        <v/>
      </c>
    </row>
    <row r="5943" spans="18:20">
      <c r="R5943" s="24" t="str">
        <f t="shared" si="330"/>
        <v/>
      </c>
      <c r="S5943" s="24" t="str">
        <f t="shared" si="331"/>
        <v/>
      </c>
      <c r="T5943" t="str">
        <f t="shared" si="329"/>
        <v/>
      </c>
    </row>
    <row r="5944" spans="18:20">
      <c r="R5944" s="24" t="str">
        <f t="shared" si="330"/>
        <v/>
      </c>
      <c r="S5944" s="24" t="str">
        <f t="shared" si="331"/>
        <v/>
      </c>
      <c r="T5944" t="str">
        <f t="shared" si="329"/>
        <v/>
      </c>
    </row>
    <row r="5945" spans="18:20">
      <c r="R5945" s="24" t="str">
        <f t="shared" si="330"/>
        <v/>
      </c>
      <c r="S5945" s="24" t="str">
        <f t="shared" si="331"/>
        <v/>
      </c>
      <c r="T5945" t="str">
        <f t="shared" si="329"/>
        <v/>
      </c>
    </row>
    <row r="5946" spans="18:20">
      <c r="R5946" s="24" t="str">
        <f t="shared" si="330"/>
        <v/>
      </c>
      <c r="S5946" s="24" t="str">
        <f t="shared" si="331"/>
        <v/>
      </c>
      <c r="T5946" t="str">
        <f t="shared" si="329"/>
        <v/>
      </c>
    </row>
    <row r="5947" spans="18:20">
      <c r="R5947" s="24" t="str">
        <f t="shared" si="330"/>
        <v/>
      </c>
      <c r="S5947" s="24" t="str">
        <f t="shared" si="331"/>
        <v/>
      </c>
      <c r="T5947" t="str">
        <f t="shared" si="329"/>
        <v/>
      </c>
    </row>
    <row r="5948" spans="18:20">
      <c r="R5948" s="24" t="str">
        <f t="shared" si="330"/>
        <v/>
      </c>
      <c r="S5948" s="24" t="str">
        <f t="shared" si="331"/>
        <v/>
      </c>
      <c r="T5948" t="str">
        <f t="shared" si="329"/>
        <v/>
      </c>
    </row>
    <row r="5949" spans="18:20">
      <c r="R5949" s="24" t="str">
        <f t="shared" si="330"/>
        <v/>
      </c>
      <c r="S5949" s="24" t="str">
        <f t="shared" si="331"/>
        <v/>
      </c>
      <c r="T5949" t="str">
        <f t="shared" si="329"/>
        <v/>
      </c>
    </row>
    <row r="5950" spans="18:20">
      <c r="R5950" s="24" t="str">
        <f t="shared" si="330"/>
        <v/>
      </c>
      <c r="S5950" s="24" t="str">
        <f t="shared" si="331"/>
        <v/>
      </c>
      <c r="T5950" t="str">
        <f t="shared" si="329"/>
        <v/>
      </c>
    </row>
    <row r="5951" spans="18:20">
      <c r="R5951" s="24" t="str">
        <f t="shared" si="330"/>
        <v/>
      </c>
      <c r="S5951" s="24" t="str">
        <f t="shared" si="331"/>
        <v/>
      </c>
      <c r="T5951" t="str">
        <f t="shared" si="329"/>
        <v/>
      </c>
    </row>
    <row r="5952" spans="18:20">
      <c r="R5952" s="24" t="str">
        <f t="shared" si="330"/>
        <v/>
      </c>
      <c r="S5952" s="24" t="str">
        <f t="shared" si="331"/>
        <v/>
      </c>
      <c r="T5952" t="str">
        <f t="shared" si="329"/>
        <v/>
      </c>
    </row>
    <row r="5953" spans="18:20">
      <c r="R5953" s="24" t="str">
        <f t="shared" si="330"/>
        <v/>
      </c>
      <c r="S5953" s="24" t="str">
        <f t="shared" si="331"/>
        <v/>
      </c>
      <c r="T5953" t="str">
        <f t="shared" si="329"/>
        <v/>
      </c>
    </row>
    <row r="5954" spans="18:20">
      <c r="R5954" s="24" t="str">
        <f t="shared" si="330"/>
        <v/>
      </c>
      <c r="S5954" s="24" t="str">
        <f t="shared" si="331"/>
        <v/>
      </c>
      <c r="T5954" t="str">
        <f t="shared" si="329"/>
        <v/>
      </c>
    </row>
    <row r="5955" spans="18:20">
      <c r="R5955" s="24" t="str">
        <f t="shared" si="330"/>
        <v/>
      </c>
      <c r="S5955" s="24" t="str">
        <f t="shared" si="331"/>
        <v/>
      </c>
      <c r="T5955" t="str">
        <f t="shared" si="329"/>
        <v/>
      </c>
    </row>
    <row r="5956" spans="18:20">
      <c r="R5956" s="24" t="str">
        <f t="shared" si="330"/>
        <v/>
      </c>
      <c r="S5956" s="24" t="str">
        <f t="shared" si="331"/>
        <v/>
      </c>
      <c r="T5956" t="str">
        <f t="shared" si="329"/>
        <v/>
      </c>
    </row>
    <row r="5957" spans="18:20">
      <c r="R5957" s="24" t="str">
        <f t="shared" si="330"/>
        <v/>
      </c>
      <c r="S5957" s="24" t="str">
        <f t="shared" si="331"/>
        <v/>
      </c>
      <c r="T5957" t="str">
        <f t="shared" si="329"/>
        <v/>
      </c>
    </row>
    <row r="5958" spans="18:20">
      <c r="R5958" s="24" t="str">
        <f t="shared" si="330"/>
        <v/>
      </c>
      <c r="S5958" s="24" t="str">
        <f t="shared" si="331"/>
        <v/>
      </c>
      <c r="T5958" t="str">
        <f t="shared" si="329"/>
        <v/>
      </c>
    </row>
    <row r="5959" spans="18:20">
      <c r="R5959" s="24" t="str">
        <f t="shared" si="330"/>
        <v/>
      </c>
      <c r="S5959" s="24" t="str">
        <f t="shared" si="331"/>
        <v/>
      </c>
      <c r="T5959" t="str">
        <f t="shared" si="329"/>
        <v/>
      </c>
    </row>
    <row r="5960" spans="18:20">
      <c r="R5960" s="24" t="str">
        <f t="shared" si="330"/>
        <v/>
      </c>
      <c r="S5960" s="24" t="str">
        <f t="shared" si="331"/>
        <v/>
      </c>
      <c r="T5960" t="str">
        <f t="shared" si="329"/>
        <v/>
      </c>
    </row>
    <row r="5961" spans="18:20">
      <c r="R5961" s="24" t="str">
        <f t="shared" si="330"/>
        <v/>
      </c>
      <c r="S5961" s="24" t="str">
        <f t="shared" si="331"/>
        <v/>
      </c>
      <c r="T5961" t="str">
        <f t="shared" si="329"/>
        <v/>
      </c>
    </row>
    <row r="5962" spans="18:20">
      <c r="R5962" s="24" t="str">
        <f t="shared" si="330"/>
        <v/>
      </c>
      <c r="S5962" s="24" t="str">
        <f t="shared" si="331"/>
        <v/>
      </c>
      <c r="T5962" t="str">
        <f t="shared" si="329"/>
        <v/>
      </c>
    </row>
    <row r="5963" spans="18:20">
      <c r="R5963" s="24" t="str">
        <f t="shared" si="330"/>
        <v/>
      </c>
      <c r="S5963" s="24" t="str">
        <f t="shared" si="331"/>
        <v/>
      </c>
      <c r="T5963" t="str">
        <f t="shared" si="329"/>
        <v/>
      </c>
    </row>
    <row r="5964" spans="18:20">
      <c r="R5964" s="24" t="str">
        <f t="shared" si="330"/>
        <v/>
      </c>
      <c r="S5964" s="24" t="str">
        <f t="shared" si="331"/>
        <v/>
      </c>
      <c r="T5964" t="str">
        <f t="shared" si="329"/>
        <v/>
      </c>
    </row>
    <row r="5965" spans="18:20">
      <c r="R5965" s="24" t="str">
        <f t="shared" si="330"/>
        <v/>
      </c>
      <c r="S5965" s="24" t="str">
        <f t="shared" si="331"/>
        <v/>
      </c>
      <c r="T5965" t="str">
        <f t="shared" si="329"/>
        <v/>
      </c>
    </row>
    <row r="5966" spans="18:20">
      <c r="R5966" s="24" t="str">
        <f t="shared" si="330"/>
        <v/>
      </c>
      <c r="S5966" s="24" t="str">
        <f t="shared" si="331"/>
        <v/>
      </c>
      <c r="T5966" t="str">
        <f t="shared" si="329"/>
        <v/>
      </c>
    </row>
    <row r="5967" spans="18:20">
      <c r="R5967" s="24" t="str">
        <f t="shared" si="330"/>
        <v/>
      </c>
      <c r="S5967" s="24" t="str">
        <f t="shared" si="331"/>
        <v/>
      </c>
      <c r="T5967" t="str">
        <f t="shared" ref="T5967:T6030" si="332">IF(OR(C5967="",I5967&lt;&gt;"ENTRADA"),"",TEXT(B5967,"AAMMDD")&amp;"-"&amp;TEXT(VALUE(SUBSTITUTE(A5967,"MOV-","")),"000"))</f>
        <v/>
      </c>
    </row>
    <row r="5968" spans="18:20">
      <c r="R5968" s="24" t="str">
        <f t="shared" ref="R5968:R6031" si="333">IF(H5968="","",H5968&amp;I5968)</f>
        <v/>
      </c>
      <c r="S5968" s="24" t="str">
        <f t="shared" ref="S5968:S6031" si="334">IF(C5968="","",C5968&amp;I5968)</f>
        <v/>
      </c>
      <c r="T5968" t="str">
        <f t="shared" si="332"/>
        <v/>
      </c>
    </row>
    <row r="5969" spans="18:20">
      <c r="R5969" s="24" t="str">
        <f t="shared" si="333"/>
        <v/>
      </c>
      <c r="S5969" s="24" t="str">
        <f t="shared" si="334"/>
        <v/>
      </c>
      <c r="T5969" t="str">
        <f t="shared" si="332"/>
        <v/>
      </c>
    </row>
    <row r="5970" spans="18:20">
      <c r="R5970" s="24" t="str">
        <f t="shared" si="333"/>
        <v/>
      </c>
      <c r="S5970" s="24" t="str">
        <f t="shared" si="334"/>
        <v/>
      </c>
      <c r="T5970" t="str">
        <f t="shared" si="332"/>
        <v/>
      </c>
    </row>
    <row r="5971" spans="18:20">
      <c r="R5971" s="24" t="str">
        <f t="shared" si="333"/>
        <v/>
      </c>
      <c r="S5971" s="24" t="str">
        <f t="shared" si="334"/>
        <v/>
      </c>
      <c r="T5971" t="str">
        <f t="shared" si="332"/>
        <v/>
      </c>
    </row>
    <row r="5972" spans="18:20">
      <c r="R5972" s="24" t="str">
        <f t="shared" si="333"/>
        <v/>
      </c>
      <c r="S5972" s="24" t="str">
        <f t="shared" si="334"/>
        <v/>
      </c>
      <c r="T5972" t="str">
        <f t="shared" si="332"/>
        <v/>
      </c>
    </row>
    <row r="5973" spans="18:20">
      <c r="R5973" s="24" t="str">
        <f t="shared" si="333"/>
        <v/>
      </c>
      <c r="S5973" s="24" t="str">
        <f t="shared" si="334"/>
        <v/>
      </c>
      <c r="T5973" t="str">
        <f t="shared" si="332"/>
        <v/>
      </c>
    </row>
    <row r="5974" spans="18:20">
      <c r="R5974" s="24" t="str">
        <f t="shared" si="333"/>
        <v/>
      </c>
      <c r="S5974" s="24" t="str">
        <f t="shared" si="334"/>
        <v/>
      </c>
      <c r="T5974" t="str">
        <f t="shared" si="332"/>
        <v/>
      </c>
    </row>
    <row r="5975" spans="18:20">
      <c r="R5975" s="24" t="str">
        <f t="shared" si="333"/>
        <v/>
      </c>
      <c r="S5975" s="24" t="str">
        <f t="shared" si="334"/>
        <v/>
      </c>
      <c r="T5975" t="str">
        <f t="shared" si="332"/>
        <v/>
      </c>
    </row>
    <row r="5976" spans="18:20">
      <c r="R5976" s="24" t="str">
        <f t="shared" si="333"/>
        <v/>
      </c>
      <c r="S5976" s="24" t="str">
        <f t="shared" si="334"/>
        <v/>
      </c>
      <c r="T5976" t="str">
        <f t="shared" si="332"/>
        <v/>
      </c>
    </row>
    <row r="5977" spans="18:20">
      <c r="R5977" s="24" t="str">
        <f t="shared" si="333"/>
        <v/>
      </c>
      <c r="S5977" s="24" t="str">
        <f t="shared" si="334"/>
        <v/>
      </c>
      <c r="T5977" t="str">
        <f t="shared" si="332"/>
        <v/>
      </c>
    </row>
    <row r="5978" spans="18:20">
      <c r="R5978" s="24" t="str">
        <f t="shared" si="333"/>
        <v/>
      </c>
      <c r="S5978" s="24" t="str">
        <f t="shared" si="334"/>
        <v/>
      </c>
      <c r="T5978" t="str">
        <f t="shared" si="332"/>
        <v/>
      </c>
    </row>
    <row r="5979" spans="18:20">
      <c r="R5979" s="24" t="str">
        <f t="shared" si="333"/>
        <v/>
      </c>
      <c r="S5979" s="24" t="str">
        <f t="shared" si="334"/>
        <v/>
      </c>
      <c r="T5979" t="str">
        <f t="shared" si="332"/>
        <v/>
      </c>
    </row>
    <row r="5980" spans="18:20">
      <c r="R5980" s="24" t="str">
        <f t="shared" si="333"/>
        <v/>
      </c>
      <c r="S5980" s="24" t="str">
        <f t="shared" si="334"/>
        <v/>
      </c>
      <c r="T5980" t="str">
        <f t="shared" si="332"/>
        <v/>
      </c>
    </row>
    <row r="5981" spans="18:20">
      <c r="R5981" s="24" t="str">
        <f t="shared" si="333"/>
        <v/>
      </c>
      <c r="S5981" s="24" t="str">
        <f t="shared" si="334"/>
        <v/>
      </c>
      <c r="T5981" t="str">
        <f t="shared" si="332"/>
        <v/>
      </c>
    </row>
    <row r="5982" spans="18:20">
      <c r="R5982" s="24" t="str">
        <f t="shared" si="333"/>
        <v/>
      </c>
      <c r="S5982" s="24" t="str">
        <f t="shared" si="334"/>
        <v/>
      </c>
      <c r="T5982" t="str">
        <f t="shared" si="332"/>
        <v/>
      </c>
    </row>
    <row r="5983" spans="18:20">
      <c r="R5983" s="24" t="str">
        <f t="shared" si="333"/>
        <v/>
      </c>
      <c r="S5983" s="24" t="str">
        <f t="shared" si="334"/>
        <v/>
      </c>
      <c r="T5983" t="str">
        <f t="shared" si="332"/>
        <v/>
      </c>
    </row>
    <row r="5984" spans="18:20">
      <c r="R5984" s="24" t="str">
        <f t="shared" si="333"/>
        <v/>
      </c>
      <c r="S5984" s="24" t="str">
        <f t="shared" si="334"/>
        <v/>
      </c>
      <c r="T5984" t="str">
        <f t="shared" si="332"/>
        <v/>
      </c>
    </row>
    <row r="5985" spans="18:20">
      <c r="R5985" s="24" t="str">
        <f t="shared" si="333"/>
        <v/>
      </c>
      <c r="S5985" s="24" t="str">
        <f t="shared" si="334"/>
        <v/>
      </c>
      <c r="T5985" t="str">
        <f t="shared" si="332"/>
        <v/>
      </c>
    </row>
    <row r="5986" spans="18:20">
      <c r="R5986" s="24" t="str">
        <f t="shared" si="333"/>
        <v/>
      </c>
      <c r="S5986" s="24" t="str">
        <f t="shared" si="334"/>
        <v/>
      </c>
      <c r="T5986" t="str">
        <f t="shared" si="332"/>
        <v/>
      </c>
    </row>
    <row r="5987" spans="18:20">
      <c r="R5987" s="24" t="str">
        <f t="shared" si="333"/>
        <v/>
      </c>
      <c r="S5987" s="24" t="str">
        <f t="shared" si="334"/>
        <v/>
      </c>
      <c r="T5987" t="str">
        <f t="shared" si="332"/>
        <v/>
      </c>
    </row>
    <row r="5988" spans="18:20">
      <c r="R5988" s="24" t="str">
        <f t="shared" si="333"/>
        <v/>
      </c>
      <c r="S5988" s="24" t="str">
        <f t="shared" si="334"/>
        <v/>
      </c>
      <c r="T5988" t="str">
        <f t="shared" si="332"/>
        <v/>
      </c>
    </row>
    <row r="5989" spans="18:20">
      <c r="R5989" s="24" t="str">
        <f t="shared" si="333"/>
        <v/>
      </c>
      <c r="S5989" s="24" t="str">
        <f t="shared" si="334"/>
        <v/>
      </c>
      <c r="T5989" t="str">
        <f t="shared" si="332"/>
        <v/>
      </c>
    </row>
    <row r="5990" spans="18:20">
      <c r="R5990" s="24" t="str">
        <f t="shared" si="333"/>
        <v/>
      </c>
      <c r="S5990" s="24" t="str">
        <f t="shared" si="334"/>
        <v/>
      </c>
      <c r="T5990" t="str">
        <f t="shared" si="332"/>
        <v/>
      </c>
    </row>
    <row r="5991" spans="18:20">
      <c r="R5991" s="24" t="str">
        <f t="shared" si="333"/>
        <v/>
      </c>
      <c r="S5991" s="24" t="str">
        <f t="shared" si="334"/>
        <v/>
      </c>
      <c r="T5991" t="str">
        <f t="shared" si="332"/>
        <v/>
      </c>
    </row>
    <row r="5992" spans="18:20">
      <c r="R5992" s="24" t="str">
        <f t="shared" si="333"/>
        <v/>
      </c>
      <c r="S5992" s="24" t="str">
        <f t="shared" si="334"/>
        <v/>
      </c>
      <c r="T5992" t="str">
        <f t="shared" si="332"/>
        <v/>
      </c>
    </row>
    <row r="5993" spans="18:20">
      <c r="R5993" s="24" t="str">
        <f t="shared" si="333"/>
        <v/>
      </c>
      <c r="S5993" s="24" t="str">
        <f t="shared" si="334"/>
        <v/>
      </c>
      <c r="T5993" t="str">
        <f t="shared" si="332"/>
        <v/>
      </c>
    </row>
    <row r="5994" spans="18:20">
      <c r="R5994" s="24" t="str">
        <f t="shared" si="333"/>
        <v/>
      </c>
      <c r="S5994" s="24" t="str">
        <f t="shared" si="334"/>
        <v/>
      </c>
      <c r="T5994" t="str">
        <f t="shared" si="332"/>
        <v/>
      </c>
    </row>
    <row r="5995" spans="18:20">
      <c r="R5995" s="24" t="str">
        <f t="shared" si="333"/>
        <v/>
      </c>
      <c r="S5995" s="24" t="str">
        <f t="shared" si="334"/>
        <v/>
      </c>
      <c r="T5995" t="str">
        <f t="shared" si="332"/>
        <v/>
      </c>
    </row>
    <row r="5996" spans="18:20">
      <c r="R5996" s="24" t="str">
        <f t="shared" si="333"/>
        <v/>
      </c>
      <c r="S5996" s="24" t="str">
        <f t="shared" si="334"/>
        <v/>
      </c>
      <c r="T5996" t="str">
        <f t="shared" si="332"/>
        <v/>
      </c>
    </row>
    <row r="5997" spans="18:20">
      <c r="R5997" s="24" t="str">
        <f t="shared" si="333"/>
        <v/>
      </c>
      <c r="S5997" s="24" t="str">
        <f t="shared" si="334"/>
        <v/>
      </c>
      <c r="T5997" t="str">
        <f t="shared" si="332"/>
        <v/>
      </c>
    </row>
    <row r="5998" spans="18:20">
      <c r="R5998" s="24" t="str">
        <f t="shared" si="333"/>
        <v/>
      </c>
      <c r="S5998" s="24" t="str">
        <f t="shared" si="334"/>
        <v/>
      </c>
      <c r="T5998" t="str">
        <f t="shared" si="332"/>
        <v/>
      </c>
    </row>
    <row r="5999" spans="18:20">
      <c r="R5999" s="24" t="str">
        <f t="shared" si="333"/>
        <v/>
      </c>
      <c r="S5999" s="24" t="str">
        <f t="shared" si="334"/>
        <v/>
      </c>
      <c r="T5999" t="str">
        <f t="shared" si="332"/>
        <v/>
      </c>
    </row>
    <row r="6000" spans="18:20">
      <c r="R6000" s="24" t="str">
        <f t="shared" si="333"/>
        <v/>
      </c>
      <c r="S6000" s="24" t="str">
        <f t="shared" si="334"/>
        <v/>
      </c>
      <c r="T6000" t="str">
        <f t="shared" si="332"/>
        <v/>
      </c>
    </row>
    <row r="6001" spans="18:20">
      <c r="R6001" s="24" t="str">
        <f t="shared" si="333"/>
        <v/>
      </c>
      <c r="S6001" s="24" t="str">
        <f t="shared" si="334"/>
        <v/>
      </c>
      <c r="T6001" t="str">
        <f t="shared" si="332"/>
        <v/>
      </c>
    </row>
    <row r="6002" spans="18:20">
      <c r="R6002" s="24" t="str">
        <f t="shared" si="333"/>
        <v/>
      </c>
      <c r="S6002" s="24" t="str">
        <f t="shared" si="334"/>
        <v/>
      </c>
      <c r="T6002" t="str">
        <f t="shared" si="332"/>
        <v/>
      </c>
    </row>
    <row r="6003" spans="18:20">
      <c r="R6003" s="24" t="str">
        <f t="shared" si="333"/>
        <v/>
      </c>
      <c r="S6003" s="24" t="str">
        <f t="shared" si="334"/>
        <v/>
      </c>
      <c r="T6003" t="str">
        <f t="shared" si="332"/>
        <v/>
      </c>
    </row>
    <row r="6004" spans="18:20">
      <c r="R6004" s="24" t="str">
        <f t="shared" si="333"/>
        <v/>
      </c>
      <c r="S6004" s="24" t="str">
        <f t="shared" si="334"/>
        <v/>
      </c>
      <c r="T6004" t="str">
        <f t="shared" si="332"/>
        <v/>
      </c>
    </row>
    <row r="6005" spans="18:20">
      <c r="R6005" s="24" t="str">
        <f t="shared" si="333"/>
        <v/>
      </c>
      <c r="S6005" s="24" t="str">
        <f t="shared" si="334"/>
        <v/>
      </c>
      <c r="T6005" t="str">
        <f t="shared" si="332"/>
        <v/>
      </c>
    </row>
    <row r="6006" spans="18:20">
      <c r="R6006" s="24" t="str">
        <f t="shared" si="333"/>
        <v/>
      </c>
      <c r="S6006" s="24" t="str">
        <f t="shared" si="334"/>
        <v/>
      </c>
      <c r="T6006" t="str">
        <f t="shared" si="332"/>
        <v/>
      </c>
    </row>
    <row r="6007" spans="18:20">
      <c r="R6007" s="24" t="str">
        <f t="shared" si="333"/>
        <v/>
      </c>
      <c r="S6007" s="24" t="str">
        <f t="shared" si="334"/>
        <v/>
      </c>
      <c r="T6007" t="str">
        <f t="shared" si="332"/>
        <v/>
      </c>
    </row>
    <row r="6008" spans="18:20">
      <c r="R6008" s="24" t="str">
        <f t="shared" si="333"/>
        <v/>
      </c>
      <c r="S6008" s="24" t="str">
        <f t="shared" si="334"/>
        <v/>
      </c>
      <c r="T6008" t="str">
        <f t="shared" si="332"/>
        <v/>
      </c>
    </row>
    <row r="6009" spans="18:20">
      <c r="R6009" s="24" t="str">
        <f t="shared" si="333"/>
        <v/>
      </c>
      <c r="S6009" s="24" t="str">
        <f t="shared" si="334"/>
        <v/>
      </c>
      <c r="T6009" t="str">
        <f t="shared" si="332"/>
        <v/>
      </c>
    </row>
    <row r="6010" spans="18:20">
      <c r="R6010" s="24" t="str">
        <f t="shared" si="333"/>
        <v/>
      </c>
      <c r="S6010" s="24" t="str">
        <f t="shared" si="334"/>
        <v/>
      </c>
      <c r="T6010" t="str">
        <f t="shared" si="332"/>
        <v/>
      </c>
    </row>
    <row r="6011" spans="18:20">
      <c r="R6011" s="24" t="str">
        <f t="shared" si="333"/>
        <v/>
      </c>
      <c r="S6011" s="24" t="str">
        <f t="shared" si="334"/>
        <v/>
      </c>
      <c r="T6011" t="str">
        <f t="shared" si="332"/>
        <v/>
      </c>
    </row>
    <row r="6012" spans="18:20">
      <c r="R6012" s="24" t="str">
        <f t="shared" si="333"/>
        <v/>
      </c>
      <c r="S6012" s="24" t="str">
        <f t="shared" si="334"/>
        <v/>
      </c>
      <c r="T6012" t="str">
        <f t="shared" si="332"/>
        <v/>
      </c>
    </row>
    <row r="6013" spans="18:20">
      <c r="R6013" s="24" t="str">
        <f t="shared" si="333"/>
        <v/>
      </c>
      <c r="S6013" s="24" t="str">
        <f t="shared" si="334"/>
        <v/>
      </c>
      <c r="T6013" t="str">
        <f t="shared" si="332"/>
        <v/>
      </c>
    </row>
    <row r="6014" spans="18:20">
      <c r="R6014" s="24" t="str">
        <f t="shared" si="333"/>
        <v/>
      </c>
      <c r="S6014" s="24" t="str">
        <f t="shared" si="334"/>
        <v/>
      </c>
      <c r="T6014" t="str">
        <f t="shared" si="332"/>
        <v/>
      </c>
    </row>
    <row r="6015" spans="18:20">
      <c r="R6015" s="24" t="str">
        <f t="shared" si="333"/>
        <v/>
      </c>
      <c r="S6015" s="24" t="str">
        <f t="shared" si="334"/>
        <v/>
      </c>
      <c r="T6015" t="str">
        <f t="shared" si="332"/>
        <v/>
      </c>
    </row>
    <row r="6016" spans="18:20">
      <c r="R6016" s="24" t="str">
        <f t="shared" si="333"/>
        <v/>
      </c>
      <c r="S6016" s="24" t="str">
        <f t="shared" si="334"/>
        <v/>
      </c>
      <c r="T6016" t="str">
        <f t="shared" si="332"/>
        <v/>
      </c>
    </row>
    <row r="6017" spans="18:20">
      <c r="R6017" s="24" t="str">
        <f t="shared" si="333"/>
        <v/>
      </c>
      <c r="S6017" s="24" t="str">
        <f t="shared" si="334"/>
        <v/>
      </c>
      <c r="T6017" t="str">
        <f t="shared" si="332"/>
        <v/>
      </c>
    </row>
    <row r="6018" spans="18:20">
      <c r="R6018" s="24" t="str">
        <f t="shared" si="333"/>
        <v/>
      </c>
      <c r="S6018" s="24" t="str">
        <f t="shared" si="334"/>
        <v/>
      </c>
      <c r="T6018" t="str">
        <f t="shared" si="332"/>
        <v/>
      </c>
    </row>
    <row r="6019" spans="18:20">
      <c r="R6019" s="24" t="str">
        <f t="shared" si="333"/>
        <v/>
      </c>
      <c r="S6019" s="24" t="str">
        <f t="shared" si="334"/>
        <v/>
      </c>
      <c r="T6019" t="str">
        <f t="shared" si="332"/>
        <v/>
      </c>
    </row>
    <row r="6020" spans="18:20">
      <c r="R6020" s="24" t="str">
        <f t="shared" si="333"/>
        <v/>
      </c>
      <c r="S6020" s="24" t="str">
        <f t="shared" si="334"/>
        <v/>
      </c>
      <c r="T6020" t="str">
        <f t="shared" si="332"/>
        <v/>
      </c>
    </row>
    <row r="6021" spans="18:20">
      <c r="R6021" s="24" t="str">
        <f t="shared" si="333"/>
        <v/>
      </c>
      <c r="S6021" s="24" t="str">
        <f t="shared" si="334"/>
        <v/>
      </c>
      <c r="T6021" t="str">
        <f t="shared" si="332"/>
        <v/>
      </c>
    </row>
    <row r="6022" spans="18:20">
      <c r="R6022" s="24" t="str">
        <f t="shared" si="333"/>
        <v/>
      </c>
      <c r="S6022" s="24" t="str">
        <f t="shared" si="334"/>
        <v/>
      </c>
      <c r="T6022" t="str">
        <f t="shared" si="332"/>
        <v/>
      </c>
    </row>
    <row r="6023" spans="18:20">
      <c r="R6023" s="24" t="str">
        <f t="shared" si="333"/>
        <v/>
      </c>
      <c r="S6023" s="24" t="str">
        <f t="shared" si="334"/>
        <v/>
      </c>
      <c r="T6023" t="str">
        <f t="shared" si="332"/>
        <v/>
      </c>
    </row>
    <row r="6024" spans="18:20">
      <c r="R6024" s="24" t="str">
        <f t="shared" si="333"/>
        <v/>
      </c>
      <c r="S6024" s="24" t="str">
        <f t="shared" si="334"/>
        <v/>
      </c>
      <c r="T6024" t="str">
        <f t="shared" si="332"/>
        <v/>
      </c>
    </row>
    <row r="6025" spans="18:20">
      <c r="R6025" s="24" t="str">
        <f t="shared" si="333"/>
        <v/>
      </c>
      <c r="S6025" s="24" t="str">
        <f t="shared" si="334"/>
        <v/>
      </c>
      <c r="T6025" t="str">
        <f t="shared" si="332"/>
        <v/>
      </c>
    </row>
    <row r="6026" spans="18:20">
      <c r="R6026" s="24" t="str">
        <f t="shared" si="333"/>
        <v/>
      </c>
      <c r="S6026" s="24" t="str">
        <f t="shared" si="334"/>
        <v/>
      </c>
      <c r="T6026" t="str">
        <f t="shared" si="332"/>
        <v/>
      </c>
    </row>
    <row r="6027" spans="18:20">
      <c r="R6027" s="24" t="str">
        <f t="shared" si="333"/>
        <v/>
      </c>
      <c r="S6027" s="24" t="str">
        <f t="shared" si="334"/>
        <v/>
      </c>
      <c r="T6027" t="str">
        <f t="shared" si="332"/>
        <v/>
      </c>
    </row>
    <row r="6028" spans="18:20">
      <c r="R6028" s="24" t="str">
        <f t="shared" si="333"/>
        <v/>
      </c>
      <c r="S6028" s="24" t="str">
        <f t="shared" si="334"/>
        <v/>
      </c>
      <c r="T6028" t="str">
        <f t="shared" si="332"/>
        <v/>
      </c>
    </row>
    <row r="6029" spans="18:20">
      <c r="R6029" s="24" t="str">
        <f t="shared" si="333"/>
        <v/>
      </c>
      <c r="S6029" s="24" t="str">
        <f t="shared" si="334"/>
        <v/>
      </c>
      <c r="T6029" t="str">
        <f t="shared" si="332"/>
        <v/>
      </c>
    </row>
    <row r="6030" spans="18:20">
      <c r="R6030" s="24" t="str">
        <f t="shared" si="333"/>
        <v/>
      </c>
      <c r="S6030" s="24" t="str">
        <f t="shared" si="334"/>
        <v/>
      </c>
      <c r="T6030" t="str">
        <f t="shared" si="332"/>
        <v/>
      </c>
    </row>
    <row r="6031" spans="18:20">
      <c r="R6031" s="24" t="str">
        <f t="shared" si="333"/>
        <v/>
      </c>
      <c r="S6031" s="24" t="str">
        <f t="shared" si="334"/>
        <v/>
      </c>
      <c r="T6031" t="str">
        <f t="shared" ref="T6031:T6094" si="335">IF(OR(C6031="",I6031&lt;&gt;"ENTRADA"),"",TEXT(B6031,"AAMMDD")&amp;"-"&amp;TEXT(VALUE(SUBSTITUTE(A6031,"MOV-","")),"000"))</f>
        <v/>
      </c>
    </row>
    <row r="6032" spans="18:20">
      <c r="R6032" s="24" t="str">
        <f t="shared" ref="R6032:R6095" si="336">IF(H6032="","",H6032&amp;I6032)</f>
        <v/>
      </c>
      <c r="S6032" s="24" t="str">
        <f t="shared" ref="S6032:S6095" si="337">IF(C6032="","",C6032&amp;I6032)</f>
        <v/>
      </c>
      <c r="T6032" t="str">
        <f t="shared" si="335"/>
        <v/>
      </c>
    </row>
    <row r="6033" spans="18:20">
      <c r="R6033" s="24" t="str">
        <f t="shared" si="336"/>
        <v/>
      </c>
      <c r="S6033" s="24" t="str">
        <f t="shared" si="337"/>
        <v/>
      </c>
      <c r="T6033" t="str">
        <f t="shared" si="335"/>
        <v/>
      </c>
    </row>
    <row r="6034" spans="18:20">
      <c r="R6034" s="24" t="str">
        <f t="shared" si="336"/>
        <v/>
      </c>
      <c r="S6034" s="24" t="str">
        <f t="shared" si="337"/>
        <v/>
      </c>
      <c r="T6034" t="str">
        <f t="shared" si="335"/>
        <v/>
      </c>
    </row>
    <row r="6035" spans="18:20">
      <c r="R6035" s="24" t="str">
        <f t="shared" si="336"/>
        <v/>
      </c>
      <c r="S6035" s="24" t="str">
        <f t="shared" si="337"/>
        <v/>
      </c>
      <c r="T6035" t="str">
        <f t="shared" si="335"/>
        <v/>
      </c>
    </row>
    <row r="6036" spans="18:20">
      <c r="R6036" s="24" t="str">
        <f t="shared" si="336"/>
        <v/>
      </c>
      <c r="S6036" s="24" t="str">
        <f t="shared" si="337"/>
        <v/>
      </c>
      <c r="T6036" t="str">
        <f t="shared" si="335"/>
        <v/>
      </c>
    </row>
    <row r="6037" spans="18:20">
      <c r="R6037" s="24" t="str">
        <f t="shared" si="336"/>
        <v/>
      </c>
      <c r="S6037" s="24" t="str">
        <f t="shared" si="337"/>
        <v/>
      </c>
      <c r="T6037" t="str">
        <f t="shared" si="335"/>
        <v/>
      </c>
    </row>
    <row r="6038" spans="18:20">
      <c r="R6038" s="24" t="str">
        <f t="shared" si="336"/>
        <v/>
      </c>
      <c r="S6038" s="24" t="str">
        <f t="shared" si="337"/>
        <v/>
      </c>
      <c r="T6038" t="str">
        <f t="shared" si="335"/>
        <v/>
      </c>
    </row>
    <row r="6039" spans="18:20">
      <c r="R6039" s="24" t="str">
        <f t="shared" si="336"/>
        <v/>
      </c>
      <c r="S6039" s="24" t="str">
        <f t="shared" si="337"/>
        <v/>
      </c>
      <c r="T6039" t="str">
        <f t="shared" si="335"/>
        <v/>
      </c>
    </row>
    <row r="6040" spans="18:20">
      <c r="R6040" s="24" t="str">
        <f t="shared" si="336"/>
        <v/>
      </c>
      <c r="S6040" s="24" t="str">
        <f t="shared" si="337"/>
        <v/>
      </c>
      <c r="T6040" t="str">
        <f t="shared" si="335"/>
        <v/>
      </c>
    </row>
    <row r="6041" spans="18:20">
      <c r="R6041" s="24" t="str">
        <f t="shared" si="336"/>
        <v/>
      </c>
      <c r="S6041" s="24" t="str">
        <f t="shared" si="337"/>
        <v/>
      </c>
      <c r="T6041" t="str">
        <f t="shared" si="335"/>
        <v/>
      </c>
    </row>
    <row r="6042" spans="18:20">
      <c r="R6042" s="24" t="str">
        <f t="shared" si="336"/>
        <v/>
      </c>
      <c r="S6042" s="24" t="str">
        <f t="shared" si="337"/>
        <v/>
      </c>
      <c r="T6042" t="str">
        <f t="shared" si="335"/>
        <v/>
      </c>
    </row>
    <row r="6043" spans="18:20">
      <c r="R6043" s="24" t="str">
        <f t="shared" si="336"/>
        <v/>
      </c>
      <c r="S6043" s="24" t="str">
        <f t="shared" si="337"/>
        <v/>
      </c>
      <c r="T6043" t="str">
        <f t="shared" si="335"/>
        <v/>
      </c>
    </row>
    <row r="6044" spans="18:20">
      <c r="R6044" s="24" t="str">
        <f t="shared" si="336"/>
        <v/>
      </c>
      <c r="S6044" s="24" t="str">
        <f t="shared" si="337"/>
        <v/>
      </c>
      <c r="T6044" t="str">
        <f t="shared" si="335"/>
        <v/>
      </c>
    </row>
    <row r="6045" spans="18:20">
      <c r="R6045" s="24" t="str">
        <f t="shared" si="336"/>
        <v/>
      </c>
      <c r="S6045" s="24" t="str">
        <f t="shared" si="337"/>
        <v/>
      </c>
      <c r="T6045" t="str">
        <f t="shared" si="335"/>
        <v/>
      </c>
    </row>
    <row r="6046" spans="18:20">
      <c r="R6046" s="24" t="str">
        <f t="shared" si="336"/>
        <v/>
      </c>
      <c r="S6046" s="24" t="str">
        <f t="shared" si="337"/>
        <v/>
      </c>
      <c r="T6046" t="str">
        <f t="shared" si="335"/>
        <v/>
      </c>
    </row>
    <row r="6047" spans="18:20">
      <c r="R6047" s="24" t="str">
        <f t="shared" si="336"/>
        <v/>
      </c>
      <c r="S6047" s="24" t="str">
        <f t="shared" si="337"/>
        <v/>
      </c>
      <c r="T6047" t="str">
        <f t="shared" si="335"/>
        <v/>
      </c>
    </row>
    <row r="6048" spans="18:20">
      <c r="R6048" s="24" t="str">
        <f t="shared" si="336"/>
        <v/>
      </c>
      <c r="S6048" s="24" t="str">
        <f t="shared" si="337"/>
        <v/>
      </c>
      <c r="T6048" t="str">
        <f t="shared" si="335"/>
        <v/>
      </c>
    </row>
    <row r="6049" spans="18:20">
      <c r="R6049" s="24" t="str">
        <f t="shared" si="336"/>
        <v/>
      </c>
      <c r="S6049" s="24" t="str">
        <f t="shared" si="337"/>
        <v/>
      </c>
      <c r="T6049" t="str">
        <f t="shared" si="335"/>
        <v/>
      </c>
    </row>
    <row r="6050" spans="18:20">
      <c r="R6050" s="24" t="str">
        <f t="shared" si="336"/>
        <v/>
      </c>
      <c r="S6050" s="24" t="str">
        <f t="shared" si="337"/>
        <v/>
      </c>
      <c r="T6050" t="str">
        <f t="shared" si="335"/>
        <v/>
      </c>
    </row>
    <row r="6051" spans="18:20">
      <c r="R6051" s="24" t="str">
        <f t="shared" si="336"/>
        <v/>
      </c>
      <c r="S6051" s="24" t="str">
        <f t="shared" si="337"/>
        <v/>
      </c>
      <c r="T6051" t="str">
        <f t="shared" si="335"/>
        <v/>
      </c>
    </row>
    <row r="6052" spans="18:20">
      <c r="R6052" s="24" t="str">
        <f t="shared" si="336"/>
        <v/>
      </c>
      <c r="S6052" s="24" t="str">
        <f t="shared" si="337"/>
        <v/>
      </c>
      <c r="T6052" t="str">
        <f t="shared" si="335"/>
        <v/>
      </c>
    </row>
    <row r="6053" spans="18:20">
      <c r="R6053" s="24" t="str">
        <f t="shared" si="336"/>
        <v/>
      </c>
      <c r="S6053" s="24" t="str">
        <f t="shared" si="337"/>
        <v/>
      </c>
      <c r="T6053" t="str">
        <f t="shared" si="335"/>
        <v/>
      </c>
    </row>
    <row r="6054" spans="18:20">
      <c r="R6054" s="24" t="str">
        <f t="shared" si="336"/>
        <v/>
      </c>
      <c r="S6054" s="24" t="str">
        <f t="shared" si="337"/>
        <v/>
      </c>
      <c r="T6054" t="str">
        <f t="shared" si="335"/>
        <v/>
      </c>
    </row>
    <row r="6055" spans="18:20">
      <c r="R6055" s="24" t="str">
        <f t="shared" si="336"/>
        <v/>
      </c>
      <c r="S6055" s="24" t="str">
        <f t="shared" si="337"/>
        <v/>
      </c>
      <c r="T6055" t="str">
        <f t="shared" si="335"/>
        <v/>
      </c>
    </row>
    <row r="6056" spans="18:20">
      <c r="R6056" s="24" t="str">
        <f t="shared" si="336"/>
        <v/>
      </c>
      <c r="S6056" s="24" t="str">
        <f t="shared" si="337"/>
        <v/>
      </c>
      <c r="T6056" t="str">
        <f t="shared" si="335"/>
        <v/>
      </c>
    </row>
    <row r="6057" spans="18:20">
      <c r="R6057" s="24" t="str">
        <f t="shared" si="336"/>
        <v/>
      </c>
      <c r="S6057" s="24" t="str">
        <f t="shared" si="337"/>
        <v/>
      </c>
      <c r="T6057" t="str">
        <f t="shared" si="335"/>
        <v/>
      </c>
    </row>
    <row r="6058" spans="18:20">
      <c r="R6058" s="24" t="str">
        <f t="shared" si="336"/>
        <v/>
      </c>
      <c r="S6058" s="24" t="str">
        <f t="shared" si="337"/>
        <v/>
      </c>
      <c r="T6058" t="str">
        <f t="shared" si="335"/>
        <v/>
      </c>
    </row>
    <row r="6059" spans="18:20">
      <c r="R6059" s="24" t="str">
        <f t="shared" si="336"/>
        <v/>
      </c>
      <c r="S6059" s="24" t="str">
        <f t="shared" si="337"/>
        <v/>
      </c>
      <c r="T6059" t="str">
        <f t="shared" si="335"/>
        <v/>
      </c>
    </row>
    <row r="6060" spans="18:20">
      <c r="R6060" s="24" t="str">
        <f t="shared" si="336"/>
        <v/>
      </c>
      <c r="S6060" s="24" t="str">
        <f t="shared" si="337"/>
        <v/>
      </c>
      <c r="T6060" t="str">
        <f t="shared" si="335"/>
        <v/>
      </c>
    </row>
    <row r="6061" spans="18:20">
      <c r="R6061" s="24" t="str">
        <f t="shared" si="336"/>
        <v/>
      </c>
      <c r="S6061" s="24" t="str">
        <f t="shared" si="337"/>
        <v/>
      </c>
      <c r="T6061" t="str">
        <f t="shared" si="335"/>
        <v/>
      </c>
    </row>
    <row r="6062" spans="18:20">
      <c r="R6062" s="24" t="str">
        <f t="shared" si="336"/>
        <v/>
      </c>
      <c r="S6062" s="24" t="str">
        <f t="shared" si="337"/>
        <v/>
      </c>
      <c r="T6062" t="str">
        <f t="shared" si="335"/>
        <v/>
      </c>
    </row>
    <row r="6063" spans="18:20">
      <c r="R6063" s="24" t="str">
        <f t="shared" si="336"/>
        <v/>
      </c>
      <c r="S6063" s="24" t="str">
        <f t="shared" si="337"/>
        <v/>
      </c>
      <c r="T6063" t="str">
        <f t="shared" si="335"/>
        <v/>
      </c>
    </row>
    <row r="6064" spans="18:20">
      <c r="R6064" s="24" t="str">
        <f t="shared" si="336"/>
        <v/>
      </c>
      <c r="S6064" s="24" t="str">
        <f t="shared" si="337"/>
        <v/>
      </c>
      <c r="T6064" t="str">
        <f t="shared" si="335"/>
        <v/>
      </c>
    </row>
    <row r="6065" spans="18:20">
      <c r="R6065" s="24" t="str">
        <f t="shared" si="336"/>
        <v/>
      </c>
      <c r="S6065" s="24" t="str">
        <f t="shared" si="337"/>
        <v/>
      </c>
      <c r="T6065" t="str">
        <f t="shared" si="335"/>
        <v/>
      </c>
    </row>
    <row r="6066" spans="18:20">
      <c r="R6066" s="24" t="str">
        <f t="shared" si="336"/>
        <v/>
      </c>
      <c r="S6066" s="24" t="str">
        <f t="shared" si="337"/>
        <v/>
      </c>
      <c r="T6066" t="str">
        <f t="shared" si="335"/>
        <v/>
      </c>
    </row>
    <row r="6067" spans="18:20">
      <c r="R6067" s="24" t="str">
        <f t="shared" si="336"/>
        <v/>
      </c>
      <c r="S6067" s="24" t="str">
        <f t="shared" si="337"/>
        <v/>
      </c>
      <c r="T6067" t="str">
        <f t="shared" si="335"/>
        <v/>
      </c>
    </row>
    <row r="6068" spans="18:20">
      <c r="R6068" s="24" t="str">
        <f t="shared" si="336"/>
        <v/>
      </c>
      <c r="S6068" s="24" t="str">
        <f t="shared" si="337"/>
        <v/>
      </c>
      <c r="T6068" t="str">
        <f t="shared" si="335"/>
        <v/>
      </c>
    </row>
    <row r="6069" spans="18:20">
      <c r="R6069" s="24" t="str">
        <f t="shared" si="336"/>
        <v/>
      </c>
      <c r="S6069" s="24" t="str">
        <f t="shared" si="337"/>
        <v/>
      </c>
      <c r="T6069" t="str">
        <f t="shared" si="335"/>
        <v/>
      </c>
    </row>
    <row r="6070" spans="18:20">
      <c r="R6070" s="24" t="str">
        <f t="shared" si="336"/>
        <v/>
      </c>
      <c r="S6070" s="24" t="str">
        <f t="shared" si="337"/>
        <v/>
      </c>
      <c r="T6070" t="str">
        <f t="shared" si="335"/>
        <v/>
      </c>
    </row>
    <row r="6071" spans="18:20">
      <c r="R6071" s="24" t="str">
        <f t="shared" si="336"/>
        <v/>
      </c>
      <c r="S6071" s="24" t="str">
        <f t="shared" si="337"/>
        <v/>
      </c>
      <c r="T6071" t="str">
        <f t="shared" si="335"/>
        <v/>
      </c>
    </row>
    <row r="6072" spans="18:20">
      <c r="R6072" s="24" t="str">
        <f t="shared" si="336"/>
        <v/>
      </c>
      <c r="S6072" s="24" t="str">
        <f t="shared" si="337"/>
        <v/>
      </c>
      <c r="T6072" t="str">
        <f t="shared" si="335"/>
        <v/>
      </c>
    </row>
    <row r="6073" spans="18:20">
      <c r="R6073" s="24" t="str">
        <f t="shared" si="336"/>
        <v/>
      </c>
      <c r="S6073" s="24" t="str">
        <f t="shared" si="337"/>
        <v/>
      </c>
      <c r="T6073" t="str">
        <f t="shared" si="335"/>
        <v/>
      </c>
    </row>
    <row r="6074" spans="18:20">
      <c r="R6074" s="24" t="str">
        <f t="shared" si="336"/>
        <v/>
      </c>
      <c r="S6074" s="24" t="str">
        <f t="shared" si="337"/>
        <v/>
      </c>
      <c r="T6074" t="str">
        <f t="shared" si="335"/>
        <v/>
      </c>
    </row>
    <row r="6075" spans="18:20">
      <c r="R6075" s="24" t="str">
        <f t="shared" si="336"/>
        <v/>
      </c>
      <c r="S6075" s="24" t="str">
        <f t="shared" si="337"/>
        <v/>
      </c>
      <c r="T6075" t="str">
        <f t="shared" si="335"/>
        <v/>
      </c>
    </row>
    <row r="6076" spans="18:20">
      <c r="R6076" s="24" t="str">
        <f t="shared" si="336"/>
        <v/>
      </c>
      <c r="S6076" s="24" t="str">
        <f t="shared" si="337"/>
        <v/>
      </c>
      <c r="T6076" t="str">
        <f t="shared" si="335"/>
        <v/>
      </c>
    </row>
    <row r="6077" spans="18:20">
      <c r="R6077" s="24" t="str">
        <f t="shared" si="336"/>
        <v/>
      </c>
      <c r="S6077" s="24" t="str">
        <f t="shared" si="337"/>
        <v/>
      </c>
      <c r="T6077" t="str">
        <f t="shared" si="335"/>
        <v/>
      </c>
    </row>
    <row r="6078" spans="18:20">
      <c r="R6078" s="24" t="str">
        <f t="shared" si="336"/>
        <v/>
      </c>
      <c r="S6078" s="24" t="str">
        <f t="shared" si="337"/>
        <v/>
      </c>
      <c r="T6078" t="str">
        <f t="shared" si="335"/>
        <v/>
      </c>
    </row>
    <row r="6079" spans="18:20">
      <c r="R6079" s="24" t="str">
        <f t="shared" si="336"/>
        <v/>
      </c>
      <c r="S6079" s="24" t="str">
        <f t="shared" si="337"/>
        <v/>
      </c>
      <c r="T6079" t="str">
        <f t="shared" si="335"/>
        <v/>
      </c>
    </row>
    <row r="6080" spans="18:20">
      <c r="R6080" s="24" t="str">
        <f t="shared" si="336"/>
        <v/>
      </c>
      <c r="S6080" s="24" t="str">
        <f t="shared" si="337"/>
        <v/>
      </c>
      <c r="T6080" t="str">
        <f t="shared" si="335"/>
        <v/>
      </c>
    </row>
    <row r="6081" spans="18:20">
      <c r="R6081" s="24" t="str">
        <f t="shared" si="336"/>
        <v/>
      </c>
      <c r="S6081" s="24" t="str">
        <f t="shared" si="337"/>
        <v/>
      </c>
      <c r="T6081" t="str">
        <f t="shared" si="335"/>
        <v/>
      </c>
    </row>
    <row r="6082" spans="18:20">
      <c r="R6082" s="24" t="str">
        <f t="shared" si="336"/>
        <v/>
      </c>
      <c r="S6082" s="24" t="str">
        <f t="shared" si="337"/>
        <v/>
      </c>
      <c r="T6082" t="str">
        <f t="shared" si="335"/>
        <v/>
      </c>
    </row>
    <row r="6083" spans="18:20">
      <c r="R6083" s="24" t="str">
        <f t="shared" si="336"/>
        <v/>
      </c>
      <c r="S6083" s="24" t="str">
        <f t="shared" si="337"/>
        <v/>
      </c>
      <c r="T6083" t="str">
        <f t="shared" si="335"/>
        <v/>
      </c>
    </row>
    <row r="6084" spans="18:20">
      <c r="R6084" s="24" t="str">
        <f t="shared" si="336"/>
        <v/>
      </c>
      <c r="S6084" s="24" t="str">
        <f t="shared" si="337"/>
        <v/>
      </c>
      <c r="T6084" t="str">
        <f t="shared" si="335"/>
        <v/>
      </c>
    </row>
    <row r="6085" spans="18:20">
      <c r="R6085" s="24" t="str">
        <f t="shared" si="336"/>
        <v/>
      </c>
      <c r="S6085" s="24" t="str">
        <f t="shared" si="337"/>
        <v/>
      </c>
      <c r="T6085" t="str">
        <f t="shared" si="335"/>
        <v/>
      </c>
    </row>
    <row r="6086" spans="18:20">
      <c r="R6086" s="24" t="str">
        <f t="shared" si="336"/>
        <v/>
      </c>
      <c r="S6086" s="24" t="str">
        <f t="shared" si="337"/>
        <v/>
      </c>
      <c r="T6086" t="str">
        <f t="shared" si="335"/>
        <v/>
      </c>
    </row>
    <row r="6087" spans="18:20">
      <c r="R6087" s="24" t="str">
        <f t="shared" si="336"/>
        <v/>
      </c>
      <c r="S6087" s="24" t="str">
        <f t="shared" si="337"/>
        <v/>
      </c>
      <c r="T6087" t="str">
        <f t="shared" si="335"/>
        <v/>
      </c>
    </row>
    <row r="6088" spans="18:20">
      <c r="R6088" s="24" t="str">
        <f t="shared" si="336"/>
        <v/>
      </c>
      <c r="S6088" s="24" t="str">
        <f t="shared" si="337"/>
        <v/>
      </c>
      <c r="T6088" t="str">
        <f t="shared" si="335"/>
        <v/>
      </c>
    </row>
    <row r="6089" spans="18:20">
      <c r="R6089" s="24" t="str">
        <f t="shared" si="336"/>
        <v/>
      </c>
      <c r="S6089" s="24" t="str">
        <f t="shared" si="337"/>
        <v/>
      </c>
      <c r="T6089" t="str">
        <f t="shared" si="335"/>
        <v/>
      </c>
    </row>
    <row r="6090" spans="18:20">
      <c r="R6090" s="24" t="str">
        <f t="shared" si="336"/>
        <v/>
      </c>
      <c r="S6090" s="24" t="str">
        <f t="shared" si="337"/>
        <v/>
      </c>
      <c r="T6090" t="str">
        <f t="shared" si="335"/>
        <v/>
      </c>
    </row>
    <row r="6091" spans="18:20">
      <c r="R6091" s="24" t="str">
        <f t="shared" si="336"/>
        <v/>
      </c>
      <c r="S6091" s="24" t="str">
        <f t="shared" si="337"/>
        <v/>
      </c>
      <c r="T6091" t="str">
        <f t="shared" si="335"/>
        <v/>
      </c>
    </row>
    <row r="6092" spans="18:20">
      <c r="R6092" s="24" t="str">
        <f t="shared" si="336"/>
        <v/>
      </c>
      <c r="S6092" s="24" t="str">
        <f t="shared" si="337"/>
        <v/>
      </c>
      <c r="T6092" t="str">
        <f t="shared" si="335"/>
        <v/>
      </c>
    </row>
    <row r="6093" spans="18:20">
      <c r="R6093" s="24" t="str">
        <f t="shared" si="336"/>
        <v/>
      </c>
      <c r="S6093" s="24" t="str">
        <f t="shared" si="337"/>
        <v/>
      </c>
      <c r="T6093" t="str">
        <f t="shared" si="335"/>
        <v/>
      </c>
    </row>
    <row r="6094" spans="18:20">
      <c r="R6094" s="24" t="str">
        <f t="shared" si="336"/>
        <v/>
      </c>
      <c r="S6094" s="24" t="str">
        <f t="shared" si="337"/>
        <v/>
      </c>
      <c r="T6094" t="str">
        <f t="shared" si="335"/>
        <v/>
      </c>
    </row>
    <row r="6095" spans="18:20">
      <c r="R6095" s="24" t="str">
        <f t="shared" si="336"/>
        <v/>
      </c>
      <c r="S6095" s="24" t="str">
        <f t="shared" si="337"/>
        <v/>
      </c>
      <c r="T6095" t="str">
        <f t="shared" ref="T6095:T6158" si="338">IF(OR(C6095="",I6095&lt;&gt;"ENTRADA"),"",TEXT(B6095,"AAMMDD")&amp;"-"&amp;TEXT(VALUE(SUBSTITUTE(A6095,"MOV-","")),"000"))</f>
        <v/>
      </c>
    </row>
    <row r="6096" spans="18:20">
      <c r="R6096" s="24" t="str">
        <f t="shared" ref="R6096:R6159" si="339">IF(H6096="","",H6096&amp;I6096)</f>
        <v/>
      </c>
      <c r="S6096" s="24" t="str">
        <f t="shared" ref="S6096:S6159" si="340">IF(C6096="","",C6096&amp;I6096)</f>
        <v/>
      </c>
      <c r="T6096" t="str">
        <f t="shared" si="338"/>
        <v/>
      </c>
    </row>
    <row r="6097" spans="18:20">
      <c r="R6097" s="24" t="str">
        <f t="shared" si="339"/>
        <v/>
      </c>
      <c r="S6097" s="24" t="str">
        <f t="shared" si="340"/>
        <v/>
      </c>
      <c r="T6097" t="str">
        <f t="shared" si="338"/>
        <v/>
      </c>
    </row>
    <row r="6098" spans="18:20">
      <c r="R6098" s="24" t="str">
        <f t="shared" si="339"/>
        <v/>
      </c>
      <c r="S6098" s="24" t="str">
        <f t="shared" si="340"/>
        <v/>
      </c>
      <c r="T6098" t="str">
        <f t="shared" si="338"/>
        <v/>
      </c>
    </row>
    <row r="6099" spans="18:20">
      <c r="R6099" s="24" t="str">
        <f t="shared" si="339"/>
        <v/>
      </c>
      <c r="S6099" s="24" t="str">
        <f t="shared" si="340"/>
        <v/>
      </c>
      <c r="T6099" t="str">
        <f t="shared" si="338"/>
        <v/>
      </c>
    </row>
    <row r="6100" spans="18:20">
      <c r="R6100" s="24" t="str">
        <f t="shared" si="339"/>
        <v/>
      </c>
      <c r="S6100" s="24" t="str">
        <f t="shared" si="340"/>
        <v/>
      </c>
      <c r="T6100" t="str">
        <f t="shared" si="338"/>
        <v/>
      </c>
    </row>
    <row r="6101" spans="18:20">
      <c r="R6101" s="24" t="str">
        <f t="shared" si="339"/>
        <v/>
      </c>
      <c r="S6101" s="24" t="str">
        <f t="shared" si="340"/>
        <v/>
      </c>
      <c r="T6101" t="str">
        <f t="shared" si="338"/>
        <v/>
      </c>
    </row>
    <row r="6102" spans="18:20">
      <c r="R6102" s="24" t="str">
        <f t="shared" si="339"/>
        <v/>
      </c>
      <c r="S6102" s="24" t="str">
        <f t="shared" si="340"/>
        <v/>
      </c>
      <c r="T6102" t="str">
        <f t="shared" si="338"/>
        <v/>
      </c>
    </row>
    <row r="6103" spans="18:20">
      <c r="R6103" s="24" t="str">
        <f t="shared" si="339"/>
        <v/>
      </c>
      <c r="S6103" s="24" t="str">
        <f t="shared" si="340"/>
        <v/>
      </c>
      <c r="T6103" t="str">
        <f t="shared" si="338"/>
        <v/>
      </c>
    </row>
    <row r="6104" spans="18:20">
      <c r="R6104" s="24" t="str">
        <f t="shared" si="339"/>
        <v/>
      </c>
      <c r="S6104" s="24" t="str">
        <f t="shared" si="340"/>
        <v/>
      </c>
      <c r="T6104" t="str">
        <f t="shared" si="338"/>
        <v/>
      </c>
    </row>
    <row r="6105" spans="18:20">
      <c r="R6105" s="24" t="str">
        <f t="shared" si="339"/>
        <v/>
      </c>
      <c r="S6105" s="24" t="str">
        <f t="shared" si="340"/>
        <v/>
      </c>
      <c r="T6105" t="str">
        <f t="shared" si="338"/>
        <v/>
      </c>
    </row>
    <row r="6106" spans="18:20">
      <c r="R6106" s="24" t="str">
        <f t="shared" si="339"/>
        <v/>
      </c>
      <c r="S6106" s="24" t="str">
        <f t="shared" si="340"/>
        <v/>
      </c>
      <c r="T6106" t="str">
        <f t="shared" si="338"/>
        <v/>
      </c>
    </row>
    <row r="6107" spans="18:20">
      <c r="R6107" s="24" t="str">
        <f t="shared" si="339"/>
        <v/>
      </c>
      <c r="S6107" s="24" t="str">
        <f t="shared" si="340"/>
        <v/>
      </c>
      <c r="T6107" t="str">
        <f t="shared" si="338"/>
        <v/>
      </c>
    </row>
    <row r="6108" spans="18:20">
      <c r="R6108" s="24" t="str">
        <f t="shared" si="339"/>
        <v/>
      </c>
      <c r="S6108" s="24" t="str">
        <f t="shared" si="340"/>
        <v/>
      </c>
      <c r="T6108" t="str">
        <f t="shared" si="338"/>
        <v/>
      </c>
    </row>
    <row r="6109" spans="18:20">
      <c r="R6109" s="24" t="str">
        <f t="shared" si="339"/>
        <v/>
      </c>
      <c r="S6109" s="24" t="str">
        <f t="shared" si="340"/>
        <v/>
      </c>
      <c r="T6109" t="str">
        <f t="shared" si="338"/>
        <v/>
      </c>
    </row>
    <row r="6110" spans="18:20">
      <c r="R6110" s="24" t="str">
        <f t="shared" si="339"/>
        <v/>
      </c>
      <c r="S6110" s="24" t="str">
        <f t="shared" si="340"/>
        <v/>
      </c>
      <c r="T6110" t="str">
        <f t="shared" si="338"/>
        <v/>
      </c>
    </row>
    <row r="6111" spans="18:20">
      <c r="R6111" s="24" t="str">
        <f t="shared" si="339"/>
        <v/>
      </c>
      <c r="S6111" s="24" t="str">
        <f t="shared" si="340"/>
        <v/>
      </c>
      <c r="T6111" t="str">
        <f t="shared" si="338"/>
        <v/>
      </c>
    </row>
    <row r="6112" spans="18:20">
      <c r="R6112" s="24" t="str">
        <f t="shared" si="339"/>
        <v/>
      </c>
      <c r="S6112" s="24" t="str">
        <f t="shared" si="340"/>
        <v/>
      </c>
      <c r="T6112" t="str">
        <f t="shared" si="338"/>
        <v/>
      </c>
    </row>
    <row r="6113" spans="18:20">
      <c r="R6113" s="24" t="str">
        <f t="shared" si="339"/>
        <v/>
      </c>
      <c r="S6113" s="24" t="str">
        <f t="shared" si="340"/>
        <v/>
      </c>
      <c r="T6113" t="str">
        <f t="shared" si="338"/>
        <v/>
      </c>
    </row>
    <row r="6114" spans="18:20">
      <c r="R6114" s="24" t="str">
        <f t="shared" si="339"/>
        <v/>
      </c>
      <c r="S6114" s="24" t="str">
        <f t="shared" si="340"/>
        <v/>
      </c>
      <c r="T6114" t="str">
        <f t="shared" si="338"/>
        <v/>
      </c>
    </row>
    <row r="6115" spans="18:20">
      <c r="R6115" s="24" t="str">
        <f t="shared" si="339"/>
        <v/>
      </c>
      <c r="S6115" s="24" t="str">
        <f t="shared" si="340"/>
        <v/>
      </c>
      <c r="T6115" t="str">
        <f t="shared" si="338"/>
        <v/>
      </c>
    </row>
    <row r="6116" spans="18:20">
      <c r="R6116" s="24" t="str">
        <f t="shared" si="339"/>
        <v/>
      </c>
      <c r="S6116" s="24" t="str">
        <f t="shared" si="340"/>
        <v/>
      </c>
      <c r="T6116" t="str">
        <f t="shared" si="338"/>
        <v/>
      </c>
    </row>
    <row r="6117" spans="18:20">
      <c r="R6117" s="24" t="str">
        <f t="shared" si="339"/>
        <v/>
      </c>
      <c r="S6117" s="24" t="str">
        <f t="shared" si="340"/>
        <v/>
      </c>
      <c r="T6117" t="str">
        <f t="shared" si="338"/>
        <v/>
      </c>
    </row>
    <row r="6118" spans="18:20">
      <c r="R6118" s="24" t="str">
        <f t="shared" si="339"/>
        <v/>
      </c>
      <c r="S6118" s="24" t="str">
        <f t="shared" si="340"/>
        <v/>
      </c>
      <c r="T6118" t="str">
        <f t="shared" si="338"/>
        <v/>
      </c>
    </row>
    <row r="6119" spans="18:20">
      <c r="R6119" s="24" t="str">
        <f t="shared" si="339"/>
        <v/>
      </c>
      <c r="S6119" s="24" t="str">
        <f t="shared" si="340"/>
        <v/>
      </c>
      <c r="T6119" t="str">
        <f t="shared" si="338"/>
        <v/>
      </c>
    </row>
    <row r="6120" spans="18:20">
      <c r="R6120" s="24" t="str">
        <f t="shared" si="339"/>
        <v/>
      </c>
      <c r="S6120" s="24" t="str">
        <f t="shared" si="340"/>
        <v/>
      </c>
      <c r="T6120" t="str">
        <f t="shared" si="338"/>
        <v/>
      </c>
    </row>
    <row r="6121" spans="18:20">
      <c r="R6121" s="24" t="str">
        <f t="shared" si="339"/>
        <v/>
      </c>
      <c r="S6121" s="24" t="str">
        <f t="shared" si="340"/>
        <v/>
      </c>
      <c r="T6121" t="str">
        <f t="shared" si="338"/>
        <v/>
      </c>
    </row>
    <row r="6122" spans="18:20">
      <c r="R6122" s="24" t="str">
        <f t="shared" si="339"/>
        <v/>
      </c>
      <c r="S6122" s="24" t="str">
        <f t="shared" si="340"/>
        <v/>
      </c>
      <c r="T6122" t="str">
        <f t="shared" si="338"/>
        <v/>
      </c>
    </row>
    <row r="6123" spans="18:20">
      <c r="R6123" s="24" t="str">
        <f t="shared" si="339"/>
        <v/>
      </c>
      <c r="S6123" s="24" t="str">
        <f t="shared" si="340"/>
        <v/>
      </c>
      <c r="T6123" t="str">
        <f t="shared" si="338"/>
        <v/>
      </c>
    </row>
    <row r="6124" spans="18:20">
      <c r="R6124" s="24" t="str">
        <f t="shared" si="339"/>
        <v/>
      </c>
      <c r="S6124" s="24" t="str">
        <f t="shared" si="340"/>
        <v/>
      </c>
      <c r="T6124" t="str">
        <f t="shared" si="338"/>
        <v/>
      </c>
    </row>
    <row r="6125" spans="18:20">
      <c r="R6125" s="24" t="str">
        <f t="shared" si="339"/>
        <v/>
      </c>
      <c r="S6125" s="24" t="str">
        <f t="shared" si="340"/>
        <v/>
      </c>
      <c r="T6125" t="str">
        <f t="shared" si="338"/>
        <v/>
      </c>
    </row>
    <row r="6126" spans="18:20">
      <c r="R6126" s="24" t="str">
        <f t="shared" si="339"/>
        <v/>
      </c>
      <c r="S6126" s="24" t="str">
        <f t="shared" si="340"/>
        <v/>
      </c>
      <c r="T6126" t="str">
        <f t="shared" si="338"/>
        <v/>
      </c>
    </row>
    <row r="6127" spans="18:20">
      <c r="R6127" s="24" t="str">
        <f t="shared" si="339"/>
        <v/>
      </c>
      <c r="S6127" s="24" t="str">
        <f t="shared" si="340"/>
        <v/>
      </c>
      <c r="T6127" t="str">
        <f t="shared" si="338"/>
        <v/>
      </c>
    </row>
    <row r="6128" spans="18:20">
      <c r="R6128" s="24" t="str">
        <f t="shared" si="339"/>
        <v/>
      </c>
      <c r="S6128" s="24" t="str">
        <f t="shared" si="340"/>
        <v/>
      </c>
      <c r="T6128" t="str">
        <f t="shared" si="338"/>
        <v/>
      </c>
    </row>
    <row r="6129" spans="18:20">
      <c r="R6129" s="24" t="str">
        <f t="shared" si="339"/>
        <v/>
      </c>
      <c r="S6129" s="24" t="str">
        <f t="shared" si="340"/>
        <v/>
      </c>
      <c r="T6129" t="str">
        <f t="shared" si="338"/>
        <v/>
      </c>
    </row>
    <row r="6130" spans="18:20">
      <c r="R6130" s="24" t="str">
        <f t="shared" si="339"/>
        <v/>
      </c>
      <c r="S6130" s="24" t="str">
        <f t="shared" si="340"/>
        <v/>
      </c>
      <c r="T6130" t="str">
        <f t="shared" si="338"/>
        <v/>
      </c>
    </row>
    <row r="6131" spans="18:20">
      <c r="R6131" s="24" t="str">
        <f t="shared" si="339"/>
        <v/>
      </c>
      <c r="S6131" s="24" t="str">
        <f t="shared" si="340"/>
        <v/>
      </c>
      <c r="T6131" t="str">
        <f t="shared" si="338"/>
        <v/>
      </c>
    </row>
    <row r="6132" spans="18:20">
      <c r="R6132" s="24" t="str">
        <f t="shared" si="339"/>
        <v/>
      </c>
      <c r="S6132" s="24" t="str">
        <f t="shared" si="340"/>
        <v/>
      </c>
      <c r="T6132" t="str">
        <f t="shared" si="338"/>
        <v/>
      </c>
    </row>
    <row r="6133" spans="18:20">
      <c r="R6133" s="24" t="str">
        <f t="shared" si="339"/>
        <v/>
      </c>
      <c r="S6133" s="24" t="str">
        <f t="shared" si="340"/>
        <v/>
      </c>
      <c r="T6133" t="str">
        <f t="shared" si="338"/>
        <v/>
      </c>
    </row>
    <row r="6134" spans="18:20">
      <c r="R6134" s="24" t="str">
        <f t="shared" si="339"/>
        <v/>
      </c>
      <c r="S6134" s="24" t="str">
        <f t="shared" si="340"/>
        <v/>
      </c>
      <c r="T6134" t="str">
        <f t="shared" si="338"/>
        <v/>
      </c>
    </row>
    <row r="6135" spans="18:20">
      <c r="R6135" s="24" t="str">
        <f t="shared" si="339"/>
        <v/>
      </c>
      <c r="S6135" s="24" t="str">
        <f t="shared" si="340"/>
        <v/>
      </c>
      <c r="T6135" t="str">
        <f t="shared" si="338"/>
        <v/>
      </c>
    </row>
    <row r="6136" spans="18:20">
      <c r="R6136" s="24" t="str">
        <f t="shared" si="339"/>
        <v/>
      </c>
      <c r="S6136" s="24" t="str">
        <f t="shared" si="340"/>
        <v/>
      </c>
      <c r="T6136" t="str">
        <f t="shared" si="338"/>
        <v/>
      </c>
    </row>
    <row r="6137" spans="18:20">
      <c r="R6137" s="24" t="str">
        <f t="shared" si="339"/>
        <v/>
      </c>
      <c r="S6137" s="24" t="str">
        <f t="shared" si="340"/>
        <v/>
      </c>
      <c r="T6137" t="str">
        <f t="shared" si="338"/>
        <v/>
      </c>
    </row>
    <row r="6138" spans="18:20">
      <c r="R6138" s="24" t="str">
        <f t="shared" si="339"/>
        <v/>
      </c>
      <c r="S6138" s="24" t="str">
        <f t="shared" si="340"/>
        <v/>
      </c>
      <c r="T6138" t="str">
        <f t="shared" si="338"/>
        <v/>
      </c>
    </row>
    <row r="6139" spans="18:20">
      <c r="R6139" s="24" t="str">
        <f t="shared" si="339"/>
        <v/>
      </c>
      <c r="S6139" s="24" t="str">
        <f t="shared" si="340"/>
        <v/>
      </c>
      <c r="T6139" t="str">
        <f t="shared" si="338"/>
        <v/>
      </c>
    </row>
    <row r="6140" spans="18:20">
      <c r="R6140" s="24" t="str">
        <f t="shared" si="339"/>
        <v/>
      </c>
      <c r="S6140" s="24" t="str">
        <f t="shared" si="340"/>
        <v/>
      </c>
      <c r="T6140" t="str">
        <f t="shared" si="338"/>
        <v/>
      </c>
    </row>
    <row r="6141" spans="18:20">
      <c r="R6141" s="24" t="str">
        <f t="shared" si="339"/>
        <v/>
      </c>
      <c r="S6141" s="24" t="str">
        <f t="shared" si="340"/>
        <v/>
      </c>
      <c r="T6141" t="str">
        <f t="shared" si="338"/>
        <v/>
      </c>
    </row>
    <row r="6142" spans="18:20">
      <c r="R6142" s="24" t="str">
        <f t="shared" si="339"/>
        <v/>
      </c>
      <c r="S6142" s="24" t="str">
        <f t="shared" si="340"/>
        <v/>
      </c>
      <c r="T6142" t="str">
        <f t="shared" si="338"/>
        <v/>
      </c>
    </row>
    <row r="6143" spans="18:20">
      <c r="R6143" s="24" t="str">
        <f t="shared" si="339"/>
        <v/>
      </c>
      <c r="S6143" s="24" t="str">
        <f t="shared" si="340"/>
        <v/>
      </c>
      <c r="T6143" t="str">
        <f t="shared" si="338"/>
        <v/>
      </c>
    </row>
    <row r="6144" spans="18:20">
      <c r="R6144" s="24" t="str">
        <f t="shared" si="339"/>
        <v/>
      </c>
      <c r="S6144" s="24" t="str">
        <f t="shared" si="340"/>
        <v/>
      </c>
      <c r="T6144" t="str">
        <f t="shared" si="338"/>
        <v/>
      </c>
    </row>
    <row r="6145" spans="18:20">
      <c r="R6145" s="24" t="str">
        <f t="shared" si="339"/>
        <v/>
      </c>
      <c r="S6145" s="24" t="str">
        <f t="shared" si="340"/>
        <v/>
      </c>
      <c r="T6145" t="str">
        <f t="shared" si="338"/>
        <v/>
      </c>
    </row>
    <row r="6146" spans="18:20">
      <c r="R6146" s="24" t="str">
        <f t="shared" si="339"/>
        <v/>
      </c>
      <c r="S6146" s="24" t="str">
        <f t="shared" si="340"/>
        <v/>
      </c>
      <c r="T6146" t="str">
        <f t="shared" si="338"/>
        <v/>
      </c>
    </row>
    <row r="6147" spans="18:20">
      <c r="R6147" s="24" t="str">
        <f t="shared" si="339"/>
        <v/>
      </c>
      <c r="S6147" s="24" t="str">
        <f t="shared" si="340"/>
        <v/>
      </c>
      <c r="T6147" t="str">
        <f t="shared" si="338"/>
        <v/>
      </c>
    </row>
    <row r="6148" spans="18:20">
      <c r="R6148" s="24" t="str">
        <f t="shared" si="339"/>
        <v/>
      </c>
      <c r="S6148" s="24" t="str">
        <f t="shared" si="340"/>
        <v/>
      </c>
      <c r="T6148" t="str">
        <f t="shared" si="338"/>
        <v/>
      </c>
    </row>
    <row r="6149" spans="18:20">
      <c r="R6149" s="24" t="str">
        <f t="shared" si="339"/>
        <v/>
      </c>
      <c r="S6149" s="24" t="str">
        <f t="shared" si="340"/>
        <v/>
      </c>
      <c r="T6149" t="str">
        <f t="shared" si="338"/>
        <v/>
      </c>
    </row>
    <row r="6150" spans="18:20">
      <c r="R6150" s="24" t="str">
        <f t="shared" si="339"/>
        <v/>
      </c>
      <c r="S6150" s="24" t="str">
        <f t="shared" si="340"/>
        <v/>
      </c>
      <c r="T6150" t="str">
        <f t="shared" si="338"/>
        <v/>
      </c>
    </row>
    <row r="6151" spans="18:20">
      <c r="R6151" s="24" t="str">
        <f t="shared" si="339"/>
        <v/>
      </c>
      <c r="S6151" s="24" t="str">
        <f t="shared" si="340"/>
        <v/>
      </c>
      <c r="T6151" t="str">
        <f t="shared" si="338"/>
        <v/>
      </c>
    </row>
    <row r="6152" spans="18:20">
      <c r="R6152" s="24" t="str">
        <f t="shared" si="339"/>
        <v/>
      </c>
      <c r="S6152" s="24" t="str">
        <f t="shared" si="340"/>
        <v/>
      </c>
      <c r="T6152" t="str">
        <f t="shared" si="338"/>
        <v/>
      </c>
    </row>
    <row r="6153" spans="18:20">
      <c r="R6153" s="24" t="str">
        <f t="shared" si="339"/>
        <v/>
      </c>
      <c r="S6153" s="24" t="str">
        <f t="shared" si="340"/>
        <v/>
      </c>
      <c r="T6153" t="str">
        <f t="shared" si="338"/>
        <v/>
      </c>
    </row>
    <row r="6154" spans="18:20">
      <c r="R6154" s="24" t="str">
        <f t="shared" si="339"/>
        <v/>
      </c>
      <c r="S6154" s="24" t="str">
        <f t="shared" si="340"/>
        <v/>
      </c>
      <c r="T6154" t="str">
        <f t="shared" si="338"/>
        <v/>
      </c>
    </row>
    <row r="6155" spans="18:20">
      <c r="R6155" s="24" t="str">
        <f t="shared" si="339"/>
        <v/>
      </c>
      <c r="S6155" s="24" t="str">
        <f t="shared" si="340"/>
        <v/>
      </c>
      <c r="T6155" t="str">
        <f t="shared" si="338"/>
        <v/>
      </c>
    </row>
    <row r="6156" spans="18:20">
      <c r="R6156" s="24" t="str">
        <f t="shared" si="339"/>
        <v/>
      </c>
      <c r="S6156" s="24" t="str">
        <f t="shared" si="340"/>
        <v/>
      </c>
      <c r="T6156" t="str">
        <f t="shared" si="338"/>
        <v/>
      </c>
    </row>
    <row r="6157" spans="18:20">
      <c r="R6157" s="24" t="str">
        <f t="shared" si="339"/>
        <v/>
      </c>
      <c r="S6157" s="24" t="str">
        <f t="shared" si="340"/>
        <v/>
      </c>
      <c r="T6157" t="str">
        <f t="shared" si="338"/>
        <v/>
      </c>
    </row>
    <row r="6158" spans="18:20">
      <c r="R6158" s="24" t="str">
        <f t="shared" si="339"/>
        <v/>
      </c>
      <c r="S6158" s="24" t="str">
        <f t="shared" si="340"/>
        <v/>
      </c>
      <c r="T6158" t="str">
        <f t="shared" si="338"/>
        <v/>
      </c>
    </row>
    <row r="6159" spans="18:20">
      <c r="R6159" s="24" t="str">
        <f t="shared" si="339"/>
        <v/>
      </c>
      <c r="S6159" s="24" t="str">
        <f t="shared" si="340"/>
        <v/>
      </c>
      <c r="T6159" t="str">
        <f t="shared" ref="T6159:T6222" si="341">IF(OR(C6159="",I6159&lt;&gt;"ENTRADA"),"",TEXT(B6159,"AAMMDD")&amp;"-"&amp;TEXT(VALUE(SUBSTITUTE(A6159,"MOV-","")),"000"))</f>
        <v/>
      </c>
    </row>
    <row r="6160" spans="18:20">
      <c r="R6160" s="24" t="str">
        <f t="shared" ref="R6160:R6223" si="342">IF(H6160="","",H6160&amp;I6160)</f>
        <v/>
      </c>
      <c r="S6160" s="24" t="str">
        <f t="shared" ref="S6160:S6223" si="343">IF(C6160="","",C6160&amp;I6160)</f>
        <v/>
      </c>
      <c r="T6160" t="str">
        <f t="shared" si="341"/>
        <v/>
      </c>
    </row>
    <row r="6161" spans="18:20">
      <c r="R6161" s="24" t="str">
        <f t="shared" si="342"/>
        <v/>
      </c>
      <c r="S6161" s="24" t="str">
        <f t="shared" si="343"/>
        <v/>
      </c>
      <c r="T6161" t="str">
        <f t="shared" si="341"/>
        <v/>
      </c>
    </row>
    <row r="6162" spans="18:20">
      <c r="R6162" s="24" t="str">
        <f t="shared" si="342"/>
        <v/>
      </c>
      <c r="S6162" s="24" t="str">
        <f t="shared" si="343"/>
        <v/>
      </c>
      <c r="T6162" t="str">
        <f t="shared" si="341"/>
        <v/>
      </c>
    </row>
    <row r="6163" spans="18:20">
      <c r="R6163" s="24" t="str">
        <f t="shared" si="342"/>
        <v/>
      </c>
      <c r="S6163" s="24" t="str">
        <f t="shared" si="343"/>
        <v/>
      </c>
      <c r="T6163" t="str">
        <f t="shared" si="341"/>
        <v/>
      </c>
    </row>
    <row r="6164" spans="18:20">
      <c r="R6164" s="24" t="str">
        <f t="shared" si="342"/>
        <v/>
      </c>
      <c r="S6164" s="24" t="str">
        <f t="shared" si="343"/>
        <v/>
      </c>
      <c r="T6164" t="str">
        <f t="shared" si="341"/>
        <v/>
      </c>
    </row>
    <row r="6165" spans="18:20">
      <c r="R6165" s="24" t="str">
        <f t="shared" si="342"/>
        <v/>
      </c>
      <c r="S6165" s="24" t="str">
        <f t="shared" si="343"/>
        <v/>
      </c>
      <c r="T6165" t="str">
        <f t="shared" si="341"/>
        <v/>
      </c>
    </row>
    <row r="6166" spans="18:20">
      <c r="R6166" s="24" t="str">
        <f t="shared" si="342"/>
        <v/>
      </c>
      <c r="S6166" s="24" t="str">
        <f t="shared" si="343"/>
        <v/>
      </c>
      <c r="T6166" t="str">
        <f t="shared" si="341"/>
        <v/>
      </c>
    </row>
    <row r="6167" spans="18:20">
      <c r="R6167" s="24" t="str">
        <f t="shared" si="342"/>
        <v/>
      </c>
      <c r="S6167" s="24" t="str">
        <f t="shared" si="343"/>
        <v/>
      </c>
      <c r="T6167" t="str">
        <f t="shared" si="341"/>
        <v/>
      </c>
    </row>
    <row r="6168" spans="18:20">
      <c r="R6168" s="24" t="str">
        <f t="shared" si="342"/>
        <v/>
      </c>
      <c r="S6168" s="24" t="str">
        <f t="shared" si="343"/>
        <v/>
      </c>
      <c r="T6168" t="str">
        <f t="shared" si="341"/>
        <v/>
      </c>
    </row>
    <row r="6169" spans="18:20">
      <c r="R6169" s="24" t="str">
        <f t="shared" si="342"/>
        <v/>
      </c>
      <c r="S6169" s="24" t="str">
        <f t="shared" si="343"/>
        <v/>
      </c>
      <c r="T6169" t="str">
        <f t="shared" si="341"/>
        <v/>
      </c>
    </row>
    <row r="6170" spans="18:20">
      <c r="R6170" s="24" t="str">
        <f t="shared" si="342"/>
        <v/>
      </c>
      <c r="S6170" s="24" t="str">
        <f t="shared" si="343"/>
        <v/>
      </c>
      <c r="T6170" t="str">
        <f t="shared" si="341"/>
        <v/>
      </c>
    </row>
    <row r="6171" spans="18:20">
      <c r="R6171" s="24" t="str">
        <f t="shared" si="342"/>
        <v/>
      </c>
      <c r="S6171" s="24" t="str">
        <f t="shared" si="343"/>
        <v/>
      </c>
      <c r="T6171" t="str">
        <f t="shared" si="341"/>
        <v/>
      </c>
    </row>
    <row r="6172" spans="18:20">
      <c r="R6172" s="24" t="str">
        <f t="shared" si="342"/>
        <v/>
      </c>
      <c r="S6172" s="24" t="str">
        <f t="shared" si="343"/>
        <v/>
      </c>
      <c r="T6172" t="str">
        <f t="shared" si="341"/>
        <v/>
      </c>
    </row>
    <row r="6173" spans="18:20">
      <c r="R6173" s="24" t="str">
        <f t="shared" si="342"/>
        <v/>
      </c>
      <c r="S6173" s="24" t="str">
        <f t="shared" si="343"/>
        <v/>
      </c>
      <c r="T6173" t="str">
        <f t="shared" si="341"/>
        <v/>
      </c>
    </row>
    <row r="6174" spans="18:20">
      <c r="R6174" s="24" t="str">
        <f t="shared" si="342"/>
        <v/>
      </c>
      <c r="S6174" s="24" t="str">
        <f t="shared" si="343"/>
        <v/>
      </c>
      <c r="T6174" t="str">
        <f t="shared" si="341"/>
        <v/>
      </c>
    </row>
    <row r="6175" spans="18:20">
      <c r="R6175" s="24" t="str">
        <f t="shared" si="342"/>
        <v/>
      </c>
      <c r="S6175" s="24" t="str">
        <f t="shared" si="343"/>
        <v/>
      </c>
      <c r="T6175" t="str">
        <f t="shared" si="341"/>
        <v/>
      </c>
    </row>
    <row r="6176" spans="18:20">
      <c r="R6176" s="24" t="str">
        <f t="shared" si="342"/>
        <v/>
      </c>
      <c r="S6176" s="24" t="str">
        <f t="shared" si="343"/>
        <v/>
      </c>
      <c r="T6176" t="str">
        <f t="shared" si="341"/>
        <v/>
      </c>
    </row>
    <row r="6177" spans="18:20">
      <c r="R6177" s="24" t="str">
        <f t="shared" si="342"/>
        <v/>
      </c>
      <c r="S6177" s="24" t="str">
        <f t="shared" si="343"/>
        <v/>
      </c>
      <c r="T6177" t="str">
        <f t="shared" si="341"/>
        <v/>
      </c>
    </row>
    <row r="6178" spans="18:20">
      <c r="R6178" s="24" t="str">
        <f t="shared" si="342"/>
        <v/>
      </c>
      <c r="S6178" s="24" t="str">
        <f t="shared" si="343"/>
        <v/>
      </c>
      <c r="T6178" t="str">
        <f t="shared" si="341"/>
        <v/>
      </c>
    </row>
    <row r="6179" spans="18:20">
      <c r="R6179" s="24" t="str">
        <f t="shared" si="342"/>
        <v/>
      </c>
      <c r="S6179" s="24" t="str">
        <f t="shared" si="343"/>
        <v/>
      </c>
      <c r="T6179" t="str">
        <f t="shared" si="341"/>
        <v/>
      </c>
    </row>
    <row r="6180" spans="18:20">
      <c r="R6180" s="24" t="str">
        <f t="shared" si="342"/>
        <v/>
      </c>
      <c r="S6180" s="24" t="str">
        <f t="shared" si="343"/>
        <v/>
      </c>
      <c r="T6180" t="str">
        <f t="shared" si="341"/>
        <v/>
      </c>
    </row>
    <row r="6181" spans="18:20">
      <c r="R6181" s="24" t="str">
        <f t="shared" si="342"/>
        <v/>
      </c>
      <c r="S6181" s="24" t="str">
        <f t="shared" si="343"/>
        <v/>
      </c>
      <c r="T6181" t="str">
        <f t="shared" si="341"/>
        <v/>
      </c>
    </row>
    <row r="6182" spans="18:20">
      <c r="R6182" s="24" t="str">
        <f t="shared" si="342"/>
        <v/>
      </c>
      <c r="S6182" s="24" t="str">
        <f t="shared" si="343"/>
        <v/>
      </c>
      <c r="T6182" t="str">
        <f t="shared" si="341"/>
        <v/>
      </c>
    </row>
    <row r="6183" spans="18:20">
      <c r="R6183" s="24" t="str">
        <f t="shared" si="342"/>
        <v/>
      </c>
      <c r="S6183" s="24" t="str">
        <f t="shared" si="343"/>
        <v/>
      </c>
      <c r="T6183" t="str">
        <f t="shared" si="341"/>
        <v/>
      </c>
    </row>
    <row r="6184" spans="18:20">
      <c r="R6184" s="24" t="str">
        <f t="shared" si="342"/>
        <v/>
      </c>
      <c r="S6184" s="24" t="str">
        <f t="shared" si="343"/>
        <v/>
      </c>
      <c r="T6184" t="str">
        <f t="shared" si="341"/>
        <v/>
      </c>
    </row>
    <row r="6185" spans="18:20">
      <c r="R6185" s="24" t="str">
        <f t="shared" si="342"/>
        <v/>
      </c>
      <c r="S6185" s="24" t="str">
        <f t="shared" si="343"/>
        <v/>
      </c>
      <c r="T6185" t="str">
        <f t="shared" si="341"/>
        <v/>
      </c>
    </row>
    <row r="6186" spans="18:20">
      <c r="R6186" s="24" t="str">
        <f t="shared" si="342"/>
        <v/>
      </c>
      <c r="S6186" s="24" t="str">
        <f t="shared" si="343"/>
        <v/>
      </c>
      <c r="T6186" t="str">
        <f t="shared" si="341"/>
        <v/>
      </c>
    </row>
    <row r="6187" spans="18:20">
      <c r="R6187" s="24" t="str">
        <f t="shared" si="342"/>
        <v/>
      </c>
      <c r="S6187" s="24" t="str">
        <f t="shared" si="343"/>
        <v/>
      </c>
      <c r="T6187" t="str">
        <f t="shared" si="341"/>
        <v/>
      </c>
    </row>
    <row r="6188" spans="18:20">
      <c r="R6188" s="24" t="str">
        <f t="shared" si="342"/>
        <v/>
      </c>
      <c r="S6188" s="24" t="str">
        <f t="shared" si="343"/>
        <v/>
      </c>
      <c r="T6188" t="str">
        <f t="shared" si="341"/>
        <v/>
      </c>
    </row>
    <row r="6189" spans="18:20">
      <c r="R6189" s="24" t="str">
        <f t="shared" si="342"/>
        <v/>
      </c>
      <c r="S6189" s="24" t="str">
        <f t="shared" si="343"/>
        <v/>
      </c>
      <c r="T6189" t="str">
        <f t="shared" si="341"/>
        <v/>
      </c>
    </row>
    <row r="6190" spans="18:20">
      <c r="R6190" s="24" t="str">
        <f t="shared" si="342"/>
        <v/>
      </c>
      <c r="S6190" s="24" t="str">
        <f t="shared" si="343"/>
        <v/>
      </c>
      <c r="T6190" t="str">
        <f t="shared" si="341"/>
        <v/>
      </c>
    </row>
    <row r="6191" spans="18:20">
      <c r="R6191" s="24" t="str">
        <f t="shared" si="342"/>
        <v/>
      </c>
      <c r="S6191" s="24" t="str">
        <f t="shared" si="343"/>
        <v/>
      </c>
      <c r="T6191" t="str">
        <f t="shared" si="341"/>
        <v/>
      </c>
    </row>
    <row r="6192" spans="18:20">
      <c r="R6192" s="24" t="str">
        <f t="shared" si="342"/>
        <v/>
      </c>
      <c r="S6192" s="24" t="str">
        <f t="shared" si="343"/>
        <v/>
      </c>
      <c r="T6192" t="str">
        <f t="shared" si="341"/>
        <v/>
      </c>
    </row>
    <row r="6193" spans="18:20">
      <c r="R6193" s="24" t="str">
        <f t="shared" si="342"/>
        <v/>
      </c>
      <c r="S6193" s="24" t="str">
        <f t="shared" si="343"/>
        <v/>
      </c>
      <c r="T6193" t="str">
        <f t="shared" si="341"/>
        <v/>
      </c>
    </row>
    <row r="6194" spans="18:20">
      <c r="R6194" s="24" t="str">
        <f t="shared" si="342"/>
        <v/>
      </c>
      <c r="S6194" s="24" t="str">
        <f t="shared" si="343"/>
        <v/>
      </c>
      <c r="T6194" t="str">
        <f t="shared" si="341"/>
        <v/>
      </c>
    </row>
    <row r="6195" spans="18:20">
      <c r="R6195" s="24" t="str">
        <f t="shared" si="342"/>
        <v/>
      </c>
      <c r="S6195" s="24" t="str">
        <f t="shared" si="343"/>
        <v/>
      </c>
      <c r="T6195" t="str">
        <f t="shared" si="341"/>
        <v/>
      </c>
    </row>
    <row r="6196" spans="18:20">
      <c r="R6196" s="24" t="str">
        <f t="shared" si="342"/>
        <v/>
      </c>
      <c r="S6196" s="24" t="str">
        <f t="shared" si="343"/>
        <v/>
      </c>
      <c r="T6196" t="str">
        <f t="shared" si="341"/>
        <v/>
      </c>
    </row>
    <row r="6197" spans="18:20">
      <c r="R6197" s="24" t="str">
        <f t="shared" si="342"/>
        <v/>
      </c>
      <c r="S6197" s="24" t="str">
        <f t="shared" si="343"/>
        <v/>
      </c>
      <c r="T6197" t="str">
        <f t="shared" si="341"/>
        <v/>
      </c>
    </row>
    <row r="6198" spans="18:20">
      <c r="R6198" s="24" t="str">
        <f t="shared" si="342"/>
        <v/>
      </c>
      <c r="S6198" s="24" t="str">
        <f t="shared" si="343"/>
        <v/>
      </c>
      <c r="T6198" t="str">
        <f t="shared" si="341"/>
        <v/>
      </c>
    </row>
    <row r="6199" spans="18:20">
      <c r="R6199" s="24" t="str">
        <f t="shared" si="342"/>
        <v/>
      </c>
      <c r="S6199" s="24" t="str">
        <f t="shared" si="343"/>
        <v/>
      </c>
      <c r="T6199" t="str">
        <f t="shared" si="341"/>
        <v/>
      </c>
    </row>
    <row r="6200" spans="18:20">
      <c r="R6200" s="24" t="str">
        <f t="shared" si="342"/>
        <v/>
      </c>
      <c r="S6200" s="24" t="str">
        <f t="shared" si="343"/>
        <v/>
      </c>
      <c r="T6200" t="str">
        <f t="shared" si="341"/>
        <v/>
      </c>
    </row>
    <row r="6201" spans="18:20">
      <c r="R6201" s="24" t="str">
        <f t="shared" si="342"/>
        <v/>
      </c>
      <c r="S6201" s="24" t="str">
        <f t="shared" si="343"/>
        <v/>
      </c>
      <c r="T6201" t="str">
        <f t="shared" si="341"/>
        <v/>
      </c>
    </row>
    <row r="6202" spans="18:20">
      <c r="R6202" s="24" t="str">
        <f t="shared" si="342"/>
        <v/>
      </c>
      <c r="S6202" s="24" t="str">
        <f t="shared" si="343"/>
        <v/>
      </c>
      <c r="T6202" t="str">
        <f t="shared" si="341"/>
        <v/>
      </c>
    </row>
    <row r="6203" spans="18:20">
      <c r="R6203" s="24" t="str">
        <f t="shared" si="342"/>
        <v/>
      </c>
      <c r="S6203" s="24" t="str">
        <f t="shared" si="343"/>
        <v/>
      </c>
      <c r="T6203" t="str">
        <f t="shared" si="341"/>
        <v/>
      </c>
    </row>
    <row r="6204" spans="18:20">
      <c r="R6204" s="24" t="str">
        <f t="shared" si="342"/>
        <v/>
      </c>
      <c r="S6204" s="24" t="str">
        <f t="shared" si="343"/>
        <v/>
      </c>
      <c r="T6204" t="str">
        <f t="shared" si="341"/>
        <v/>
      </c>
    </row>
    <row r="6205" spans="18:20">
      <c r="R6205" s="24" t="str">
        <f t="shared" si="342"/>
        <v/>
      </c>
      <c r="S6205" s="24" t="str">
        <f t="shared" si="343"/>
        <v/>
      </c>
      <c r="T6205" t="str">
        <f t="shared" si="341"/>
        <v/>
      </c>
    </row>
    <row r="6206" spans="18:20">
      <c r="R6206" s="24" t="str">
        <f t="shared" si="342"/>
        <v/>
      </c>
      <c r="S6206" s="24" t="str">
        <f t="shared" si="343"/>
        <v/>
      </c>
      <c r="T6206" t="str">
        <f t="shared" si="341"/>
        <v/>
      </c>
    </row>
    <row r="6207" spans="18:20">
      <c r="R6207" s="24" t="str">
        <f t="shared" si="342"/>
        <v/>
      </c>
      <c r="S6207" s="24" t="str">
        <f t="shared" si="343"/>
        <v/>
      </c>
      <c r="T6207" t="str">
        <f t="shared" si="341"/>
        <v/>
      </c>
    </row>
    <row r="6208" spans="18:20">
      <c r="R6208" s="24" t="str">
        <f t="shared" si="342"/>
        <v/>
      </c>
      <c r="S6208" s="24" t="str">
        <f t="shared" si="343"/>
        <v/>
      </c>
      <c r="T6208" t="str">
        <f t="shared" si="341"/>
        <v/>
      </c>
    </row>
    <row r="6209" spans="18:20">
      <c r="R6209" s="24" t="str">
        <f t="shared" si="342"/>
        <v/>
      </c>
      <c r="S6209" s="24" t="str">
        <f t="shared" si="343"/>
        <v/>
      </c>
      <c r="T6209" t="str">
        <f t="shared" si="341"/>
        <v/>
      </c>
    </row>
    <row r="6210" spans="18:20">
      <c r="R6210" s="24" t="str">
        <f t="shared" si="342"/>
        <v/>
      </c>
      <c r="S6210" s="24" t="str">
        <f t="shared" si="343"/>
        <v/>
      </c>
      <c r="T6210" t="str">
        <f t="shared" si="341"/>
        <v/>
      </c>
    </row>
    <row r="6211" spans="18:20">
      <c r="R6211" s="24" t="str">
        <f t="shared" si="342"/>
        <v/>
      </c>
      <c r="S6211" s="24" t="str">
        <f t="shared" si="343"/>
        <v/>
      </c>
      <c r="T6211" t="str">
        <f t="shared" si="341"/>
        <v/>
      </c>
    </row>
    <row r="6212" spans="18:20">
      <c r="R6212" s="24" t="str">
        <f t="shared" si="342"/>
        <v/>
      </c>
      <c r="S6212" s="24" t="str">
        <f t="shared" si="343"/>
        <v/>
      </c>
      <c r="T6212" t="str">
        <f t="shared" si="341"/>
        <v/>
      </c>
    </row>
    <row r="6213" spans="18:20">
      <c r="R6213" s="24" t="str">
        <f t="shared" si="342"/>
        <v/>
      </c>
      <c r="S6213" s="24" t="str">
        <f t="shared" si="343"/>
        <v/>
      </c>
      <c r="T6213" t="str">
        <f t="shared" si="341"/>
        <v/>
      </c>
    </row>
    <row r="6214" spans="18:20">
      <c r="R6214" s="24" t="str">
        <f t="shared" si="342"/>
        <v/>
      </c>
      <c r="S6214" s="24" t="str">
        <f t="shared" si="343"/>
        <v/>
      </c>
      <c r="T6214" t="str">
        <f t="shared" si="341"/>
        <v/>
      </c>
    </row>
    <row r="6215" spans="18:20">
      <c r="R6215" s="24" t="str">
        <f t="shared" si="342"/>
        <v/>
      </c>
      <c r="S6215" s="24" t="str">
        <f t="shared" si="343"/>
        <v/>
      </c>
      <c r="T6215" t="str">
        <f t="shared" si="341"/>
        <v/>
      </c>
    </row>
    <row r="6216" spans="18:20">
      <c r="R6216" s="24" t="str">
        <f t="shared" si="342"/>
        <v/>
      </c>
      <c r="S6216" s="24" t="str">
        <f t="shared" si="343"/>
        <v/>
      </c>
      <c r="T6216" t="str">
        <f t="shared" si="341"/>
        <v/>
      </c>
    </row>
    <row r="6217" spans="18:20">
      <c r="R6217" s="24" t="str">
        <f t="shared" si="342"/>
        <v/>
      </c>
      <c r="S6217" s="24" t="str">
        <f t="shared" si="343"/>
        <v/>
      </c>
      <c r="T6217" t="str">
        <f t="shared" si="341"/>
        <v/>
      </c>
    </row>
    <row r="6218" spans="18:20">
      <c r="R6218" s="24" t="str">
        <f t="shared" si="342"/>
        <v/>
      </c>
      <c r="S6218" s="24" t="str">
        <f t="shared" si="343"/>
        <v/>
      </c>
      <c r="T6218" t="str">
        <f t="shared" si="341"/>
        <v/>
      </c>
    </row>
    <row r="6219" spans="18:20">
      <c r="R6219" s="24" t="str">
        <f t="shared" si="342"/>
        <v/>
      </c>
      <c r="S6219" s="24" t="str">
        <f t="shared" si="343"/>
        <v/>
      </c>
      <c r="T6219" t="str">
        <f t="shared" si="341"/>
        <v/>
      </c>
    </row>
    <row r="6220" spans="18:20">
      <c r="R6220" s="24" t="str">
        <f t="shared" si="342"/>
        <v/>
      </c>
      <c r="S6220" s="24" t="str">
        <f t="shared" si="343"/>
        <v/>
      </c>
      <c r="T6220" t="str">
        <f t="shared" si="341"/>
        <v/>
      </c>
    </row>
    <row r="6221" spans="18:20">
      <c r="R6221" s="24" t="str">
        <f t="shared" si="342"/>
        <v/>
      </c>
      <c r="S6221" s="24" t="str">
        <f t="shared" si="343"/>
        <v/>
      </c>
      <c r="T6221" t="str">
        <f t="shared" si="341"/>
        <v/>
      </c>
    </row>
    <row r="6222" spans="18:20">
      <c r="R6222" s="24" t="str">
        <f t="shared" si="342"/>
        <v/>
      </c>
      <c r="S6222" s="24" t="str">
        <f t="shared" si="343"/>
        <v/>
      </c>
      <c r="T6222" t="str">
        <f t="shared" si="341"/>
        <v/>
      </c>
    </row>
    <row r="6223" spans="18:20">
      <c r="R6223" s="24" t="str">
        <f t="shared" si="342"/>
        <v/>
      </c>
      <c r="S6223" s="24" t="str">
        <f t="shared" si="343"/>
        <v/>
      </c>
      <c r="T6223" t="str">
        <f t="shared" ref="T6223:T6286" si="344">IF(OR(C6223="",I6223&lt;&gt;"ENTRADA"),"",TEXT(B6223,"AAMMDD")&amp;"-"&amp;TEXT(VALUE(SUBSTITUTE(A6223,"MOV-","")),"000"))</f>
        <v/>
      </c>
    </row>
    <row r="6224" spans="18:20">
      <c r="R6224" s="24" t="str">
        <f t="shared" ref="R6224:R6287" si="345">IF(H6224="","",H6224&amp;I6224)</f>
        <v/>
      </c>
      <c r="S6224" s="24" t="str">
        <f t="shared" ref="S6224:S6287" si="346">IF(C6224="","",C6224&amp;I6224)</f>
        <v/>
      </c>
      <c r="T6224" t="str">
        <f t="shared" si="344"/>
        <v/>
      </c>
    </row>
    <row r="6225" spans="18:20">
      <c r="R6225" s="24" t="str">
        <f t="shared" si="345"/>
        <v/>
      </c>
      <c r="S6225" s="24" t="str">
        <f t="shared" si="346"/>
        <v/>
      </c>
      <c r="T6225" t="str">
        <f t="shared" si="344"/>
        <v/>
      </c>
    </row>
    <row r="6226" spans="18:20">
      <c r="R6226" s="24" t="str">
        <f t="shared" si="345"/>
        <v/>
      </c>
      <c r="S6226" s="24" t="str">
        <f t="shared" si="346"/>
        <v/>
      </c>
      <c r="T6226" t="str">
        <f t="shared" si="344"/>
        <v/>
      </c>
    </row>
    <row r="6227" spans="18:20">
      <c r="R6227" s="24" t="str">
        <f t="shared" si="345"/>
        <v/>
      </c>
      <c r="S6227" s="24" t="str">
        <f t="shared" si="346"/>
        <v/>
      </c>
      <c r="T6227" t="str">
        <f t="shared" si="344"/>
        <v/>
      </c>
    </row>
    <row r="6228" spans="18:20">
      <c r="R6228" s="24" t="str">
        <f t="shared" si="345"/>
        <v/>
      </c>
      <c r="S6228" s="24" t="str">
        <f t="shared" si="346"/>
        <v/>
      </c>
      <c r="T6228" t="str">
        <f t="shared" si="344"/>
        <v/>
      </c>
    </row>
    <row r="6229" spans="18:20">
      <c r="R6229" s="24" t="str">
        <f t="shared" si="345"/>
        <v/>
      </c>
      <c r="S6229" s="24" t="str">
        <f t="shared" si="346"/>
        <v/>
      </c>
      <c r="T6229" t="str">
        <f t="shared" si="344"/>
        <v/>
      </c>
    </row>
    <row r="6230" spans="18:20">
      <c r="R6230" s="24" t="str">
        <f t="shared" si="345"/>
        <v/>
      </c>
      <c r="S6230" s="24" t="str">
        <f t="shared" si="346"/>
        <v/>
      </c>
      <c r="T6230" t="str">
        <f t="shared" si="344"/>
        <v/>
      </c>
    </row>
    <row r="6231" spans="18:20">
      <c r="R6231" s="24" t="str">
        <f t="shared" si="345"/>
        <v/>
      </c>
      <c r="S6231" s="24" t="str">
        <f t="shared" si="346"/>
        <v/>
      </c>
      <c r="T6231" t="str">
        <f t="shared" si="344"/>
        <v/>
      </c>
    </row>
    <row r="6232" spans="18:20">
      <c r="R6232" s="24" t="str">
        <f t="shared" si="345"/>
        <v/>
      </c>
      <c r="S6232" s="24" t="str">
        <f t="shared" si="346"/>
        <v/>
      </c>
      <c r="T6232" t="str">
        <f t="shared" si="344"/>
        <v/>
      </c>
    </row>
    <row r="6233" spans="18:20">
      <c r="R6233" s="24" t="str">
        <f t="shared" si="345"/>
        <v/>
      </c>
      <c r="S6233" s="24" t="str">
        <f t="shared" si="346"/>
        <v/>
      </c>
      <c r="T6233" t="str">
        <f t="shared" si="344"/>
        <v/>
      </c>
    </row>
    <row r="6234" spans="18:20">
      <c r="R6234" s="24" t="str">
        <f t="shared" si="345"/>
        <v/>
      </c>
      <c r="S6234" s="24" t="str">
        <f t="shared" si="346"/>
        <v/>
      </c>
      <c r="T6234" t="str">
        <f t="shared" si="344"/>
        <v/>
      </c>
    </row>
    <row r="6235" spans="18:20">
      <c r="R6235" s="24" t="str">
        <f t="shared" si="345"/>
        <v/>
      </c>
      <c r="S6235" s="24" t="str">
        <f t="shared" si="346"/>
        <v/>
      </c>
      <c r="T6235" t="str">
        <f t="shared" si="344"/>
        <v/>
      </c>
    </row>
    <row r="6236" spans="18:20">
      <c r="R6236" s="24" t="str">
        <f t="shared" si="345"/>
        <v/>
      </c>
      <c r="S6236" s="24" t="str">
        <f t="shared" si="346"/>
        <v/>
      </c>
      <c r="T6236" t="str">
        <f t="shared" si="344"/>
        <v/>
      </c>
    </row>
    <row r="6237" spans="18:20">
      <c r="R6237" s="24" t="str">
        <f t="shared" si="345"/>
        <v/>
      </c>
      <c r="S6237" s="24" t="str">
        <f t="shared" si="346"/>
        <v/>
      </c>
      <c r="T6237" t="str">
        <f t="shared" si="344"/>
        <v/>
      </c>
    </row>
    <row r="6238" spans="18:20">
      <c r="R6238" s="24" t="str">
        <f t="shared" si="345"/>
        <v/>
      </c>
      <c r="S6238" s="24" t="str">
        <f t="shared" si="346"/>
        <v/>
      </c>
      <c r="T6238" t="str">
        <f t="shared" si="344"/>
        <v/>
      </c>
    </row>
    <row r="6239" spans="18:20">
      <c r="R6239" s="24" t="str">
        <f t="shared" si="345"/>
        <v/>
      </c>
      <c r="S6239" s="24" t="str">
        <f t="shared" si="346"/>
        <v/>
      </c>
      <c r="T6239" t="str">
        <f t="shared" si="344"/>
        <v/>
      </c>
    </row>
    <row r="6240" spans="18:20">
      <c r="R6240" s="24" t="str">
        <f t="shared" si="345"/>
        <v/>
      </c>
      <c r="S6240" s="24" t="str">
        <f t="shared" si="346"/>
        <v/>
      </c>
      <c r="T6240" t="str">
        <f t="shared" si="344"/>
        <v/>
      </c>
    </row>
    <row r="6241" spans="18:20">
      <c r="R6241" s="24" t="str">
        <f t="shared" si="345"/>
        <v/>
      </c>
      <c r="S6241" s="24" t="str">
        <f t="shared" si="346"/>
        <v/>
      </c>
      <c r="T6241" t="str">
        <f t="shared" si="344"/>
        <v/>
      </c>
    </row>
    <row r="6242" spans="18:20">
      <c r="R6242" s="24" t="str">
        <f t="shared" si="345"/>
        <v/>
      </c>
      <c r="S6242" s="24" t="str">
        <f t="shared" si="346"/>
        <v/>
      </c>
      <c r="T6242" t="str">
        <f t="shared" si="344"/>
        <v/>
      </c>
    </row>
    <row r="6243" spans="18:20">
      <c r="R6243" s="24" t="str">
        <f t="shared" si="345"/>
        <v/>
      </c>
      <c r="S6243" s="24" t="str">
        <f t="shared" si="346"/>
        <v/>
      </c>
      <c r="T6243" t="str">
        <f t="shared" si="344"/>
        <v/>
      </c>
    </row>
    <row r="6244" spans="18:20">
      <c r="R6244" s="24" t="str">
        <f t="shared" si="345"/>
        <v/>
      </c>
      <c r="S6244" s="24" t="str">
        <f t="shared" si="346"/>
        <v/>
      </c>
      <c r="T6244" t="str">
        <f t="shared" si="344"/>
        <v/>
      </c>
    </row>
    <row r="6245" spans="18:20">
      <c r="R6245" s="24" t="str">
        <f t="shared" si="345"/>
        <v/>
      </c>
      <c r="S6245" s="24" t="str">
        <f t="shared" si="346"/>
        <v/>
      </c>
      <c r="T6245" t="str">
        <f t="shared" si="344"/>
        <v/>
      </c>
    </row>
    <row r="6246" spans="18:20">
      <c r="R6246" s="24" t="str">
        <f t="shared" si="345"/>
        <v/>
      </c>
      <c r="S6246" s="24" t="str">
        <f t="shared" si="346"/>
        <v/>
      </c>
      <c r="T6246" t="str">
        <f t="shared" si="344"/>
        <v/>
      </c>
    </row>
    <row r="6247" spans="18:20">
      <c r="R6247" s="24" t="str">
        <f t="shared" si="345"/>
        <v/>
      </c>
      <c r="S6247" s="24" t="str">
        <f t="shared" si="346"/>
        <v/>
      </c>
      <c r="T6247" t="str">
        <f t="shared" si="344"/>
        <v/>
      </c>
    </row>
    <row r="6248" spans="18:20">
      <c r="R6248" s="24" t="str">
        <f t="shared" si="345"/>
        <v/>
      </c>
      <c r="S6248" s="24" t="str">
        <f t="shared" si="346"/>
        <v/>
      </c>
      <c r="T6248" t="str">
        <f t="shared" si="344"/>
        <v/>
      </c>
    </row>
    <row r="6249" spans="18:20">
      <c r="R6249" s="24" t="str">
        <f t="shared" si="345"/>
        <v/>
      </c>
      <c r="S6249" s="24" t="str">
        <f t="shared" si="346"/>
        <v/>
      </c>
      <c r="T6249" t="str">
        <f t="shared" si="344"/>
        <v/>
      </c>
    </row>
    <row r="6250" spans="18:20">
      <c r="R6250" s="24" t="str">
        <f t="shared" si="345"/>
        <v/>
      </c>
      <c r="S6250" s="24" t="str">
        <f t="shared" si="346"/>
        <v/>
      </c>
      <c r="T6250" t="str">
        <f t="shared" si="344"/>
        <v/>
      </c>
    </row>
    <row r="6251" spans="18:20">
      <c r="R6251" s="24" t="str">
        <f t="shared" si="345"/>
        <v/>
      </c>
      <c r="S6251" s="24" t="str">
        <f t="shared" si="346"/>
        <v/>
      </c>
      <c r="T6251" t="str">
        <f t="shared" si="344"/>
        <v/>
      </c>
    </row>
    <row r="6252" spans="18:20">
      <c r="R6252" s="24" t="str">
        <f t="shared" si="345"/>
        <v/>
      </c>
      <c r="S6252" s="24" t="str">
        <f t="shared" si="346"/>
        <v/>
      </c>
      <c r="T6252" t="str">
        <f t="shared" si="344"/>
        <v/>
      </c>
    </row>
    <row r="6253" spans="18:20">
      <c r="R6253" s="24" t="str">
        <f t="shared" si="345"/>
        <v/>
      </c>
      <c r="S6253" s="24" t="str">
        <f t="shared" si="346"/>
        <v/>
      </c>
      <c r="T6253" t="str">
        <f t="shared" si="344"/>
        <v/>
      </c>
    </row>
    <row r="6254" spans="18:20">
      <c r="R6254" s="24" t="str">
        <f t="shared" si="345"/>
        <v/>
      </c>
      <c r="S6254" s="24" t="str">
        <f t="shared" si="346"/>
        <v/>
      </c>
      <c r="T6254" t="str">
        <f t="shared" si="344"/>
        <v/>
      </c>
    </row>
    <row r="6255" spans="18:20">
      <c r="R6255" s="24" t="str">
        <f t="shared" si="345"/>
        <v/>
      </c>
      <c r="S6255" s="24" t="str">
        <f t="shared" si="346"/>
        <v/>
      </c>
      <c r="T6255" t="str">
        <f t="shared" si="344"/>
        <v/>
      </c>
    </row>
    <row r="6256" spans="18:20">
      <c r="R6256" s="24" t="str">
        <f t="shared" si="345"/>
        <v/>
      </c>
      <c r="S6256" s="24" t="str">
        <f t="shared" si="346"/>
        <v/>
      </c>
      <c r="T6256" t="str">
        <f t="shared" si="344"/>
        <v/>
      </c>
    </row>
    <row r="6257" spans="18:20">
      <c r="R6257" s="24" t="str">
        <f t="shared" si="345"/>
        <v/>
      </c>
      <c r="S6257" s="24" t="str">
        <f t="shared" si="346"/>
        <v/>
      </c>
      <c r="T6257" t="str">
        <f t="shared" si="344"/>
        <v/>
      </c>
    </row>
    <row r="6258" spans="18:20">
      <c r="R6258" s="24" t="str">
        <f t="shared" si="345"/>
        <v/>
      </c>
      <c r="S6258" s="24" t="str">
        <f t="shared" si="346"/>
        <v/>
      </c>
      <c r="T6258" t="str">
        <f t="shared" si="344"/>
        <v/>
      </c>
    </row>
    <row r="6259" spans="18:20">
      <c r="R6259" s="24" t="str">
        <f t="shared" si="345"/>
        <v/>
      </c>
      <c r="S6259" s="24" t="str">
        <f t="shared" si="346"/>
        <v/>
      </c>
      <c r="T6259" t="str">
        <f t="shared" si="344"/>
        <v/>
      </c>
    </row>
    <row r="6260" spans="18:20">
      <c r="R6260" s="24" t="str">
        <f t="shared" si="345"/>
        <v/>
      </c>
      <c r="S6260" s="24" t="str">
        <f t="shared" si="346"/>
        <v/>
      </c>
      <c r="T6260" t="str">
        <f t="shared" si="344"/>
        <v/>
      </c>
    </row>
    <row r="6261" spans="18:20">
      <c r="R6261" s="24" t="str">
        <f t="shared" si="345"/>
        <v/>
      </c>
      <c r="S6261" s="24" t="str">
        <f t="shared" si="346"/>
        <v/>
      </c>
      <c r="T6261" t="str">
        <f t="shared" si="344"/>
        <v/>
      </c>
    </row>
    <row r="6262" spans="18:20">
      <c r="R6262" s="24" t="str">
        <f t="shared" si="345"/>
        <v/>
      </c>
      <c r="S6262" s="24" t="str">
        <f t="shared" si="346"/>
        <v/>
      </c>
      <c r="T6262" t="str">
        <f t="shared" si="344"/>
        <v/>
      </c>
    </row>
    <row r="6263" spans="18:20">
      <c r="R6263" s="24" t="str">
        <f t="shared" si="345"/>
        <v/>
      </c>
      <c r="S6263" s="24" t="str">
        <f t="shared" si="346"/>
        <v/>
      </c>
      <c r="T6263" t="str">
        <f t="shared" si="344"/>
        <v/>
      </c>
    </row>
    <row r="6264" spans="18:20">
      <c r="R6264" s="24" t="str">
        <f t="shared" si="345"/>
        <v/>
      </c>
      <c r="S6264" s="24" t="str">
        <f t="shared" si="346"/>
        <v/>
      </c>
      <c r="T6264" t="str">
        <f t="shared" si="344"/>
        <v/>
      </c>
    </row>
    <row r="6265" spans="18:20">
      <c r="R6265" s="24" t="str">
        <f t="shared" si="345"/>
        <v/>
      </c>
      <c r="S6265" s="24" t="str">
        <f t="shared" si="346"/>
        <v/>
      </c>
      <c r="T6265" t="str">
        <f t="shared" si="344"/>
        <v/>
      </c>
    </row>
    <row r="6266" spans="18:20">
      <c r="R6266" s="24" t="str">
        <f t="shared" si="345"/>
        <v/>
      </c>
      <c r="S6266" s="24" t="str">
        <f t="shared" si="346"/>
        <v/>
      </c>
      <c r="T6266" t="str">
        <f t="shared" si="344"/>
        <v/>
      </c>
    </row>
    <row r="6267" spans="18:20">
      <c r="R6267" s="24" t="str">
        <f t="shared" si="345"/>
        <v/>
      </c>
      <c r="S6267" s="24" t="str">
        <f t="shared" si="346"/>
        <v/>
      </c>
      <c r="T6267" t="str">
        <f t="shared" si="344"/>
        <v/>
      </c>
    </row>
    <row r="6268" spans="18:20">
      <c r="R6268" s="24" t="str">
        <f t="shared" si="345"/>
        <v/>
      </c>
      <c r="S6268" s="24" t="str">
        <f t="shared" si="346"/>
        <v/>
      </c>
      <c r="T6268" t="str">
        <f t="shared" si="344"/>
        <v/>
      </c>
    </row>
    <row r="6269" spans="18:20">
      <c r="R6269" s="24" t="str">
        <f t="shared" si="345"/>
        <v/>
      </c>
      <c r="S6269" s="24" t="str">
        <f t="shared" si="346"/>
        <v/>
      </c>
      <c r="T6269" t="str">
        <f t="shared" si="344"/>
        <v/>
      </c>
    </row>
    <row r="6270" spans="18:20">
      <c r="R6270" s="24" t="str">
        <f t="shared" si="345"/>
        <v/>
      </c>
      <c r="S6270" s="24" t="str">
        <f t="shared" si="346"/>
        <v/>
      </c>
      <c r="T6270" t="str">
        <f t="shared" si="344"/>
        <v/>
      </c>
    </row>
    <row r="6271" spans="18:20">
      <c r="R6271" s="24" t="str">
        <f t="shared" si="345"/>
        <v/>
      </c>
      <c r="S6271" s="24" t="str">
        <f t="shared" si="346"/>
        <v/>
      </c>
      <c r="T6271" t="str">
        <f t="shared" si="344"/>
        <v/>
      </c>
    </row>
    <row r="6272" spans="18:20">
      <c r="R6272" s="24" t="str">
        <f t="shared" si="345"/>
        <v/>
      </c>
      <c r="S6272" s="24" t="str">
        <f t="shared" si="346"/>
        <v/>
      </c>
      <c r="T6272" t="str">
        <f t="shared" si="344"/>
        <v/>
      </c>
    </row>
    <row r="6273" spans="18:20">
      <c r="R6273" s="24" t="str">
        <f t="shared" si="345"/>
        <v/>
      </c>
      <c r="S6273" s="24" t="str">
        <f t="shared" si="346"/>
        <v/>
      </c>
      <c r="T6273" t="str">
        <f t="shared" si="344"/>
        <v/>
      </c>
    </row>
    <row r="6274" spans="18:20">
      <c r="R6274" s="24" t="str">
        <f t="shared" si="345"/>
        <v/>
      </c>
      <c r="S6274" s="24" t="str">
        <f t="shared" si="346"/>
        <v/>
      </c>
      <c r="T6274" t="str">
        <f t="shared" si="344"/>
        <v/>
      </c>
    </row>
    <row r="6275" spans="18:20">
      <c r="R6275" s="24" t="str">
        <f t="shared" si="345"/>
        <v/>
      </c>
      <c r="S6275" s="24" t="str">
        <f t="shared" si="346"/>
        <v/>
      </c>
      <c r="T6275" t="str">
        <f t="shared" si="344"/>
        <v/>
      </c>
    </row>
    <row r="6276" spans="18:20">
      <c r="R6276" s="24" t="str">
        <f t="shared" si="345"/>
        <v/>
      </c>
      <c r="S6276" s="24" t="str">
        <f t="shared" si="346"/>
        <v/>
      </c>
      <c r="T6276" t="str">
        <f t="shared" si="344"/>
        <v/>
      </c>
    </row>
    <row r="6277" spans="18:20">
      <c r="R6277" s="24" t="str">
        <f t="shared" si="345"/>
        <v/>
      </c>
      <c r="S6277" s="24" t="str">
        <f t="shared" si="346"/>
        <v/>
      </c>
      <c r="T6277" t="str">
        <f t="shared" si="344"/>
        <v/>
      </c>
    </row>
    <row r="6278" spans="18:20">
      <c r="R6278" s="24" t="str">
        <f t="shared" si="345"/>
        <v/>
      </c>
      <c r="S6278" s="24" t="str">
        <f t="shared" si="346"/>
        <v/>
      </c>
      <c r="T6278" t="str">
        <f t="shared" si="344"/>
        <v/>
      </c>
    </row>
    <row r="6279" spans="18:20">
      <c r="R6279" s="24" t="str">
        <f t="shared" si="345"/>
        <v/>
      </c>
      <c r="S6279" s="24" t="str">
        <f t="shared" si="346"/>
        <v/>
      </c>
      <c r="T6279" t="str">
        <f t="shared" si="344"/>
        <v/>
      </c>
    </row>
    <row r="6280" spans="18:20">
      <c r="R6280" s="24" t="str">
        <f t="shared" si="345"/>
        <v/>
      </c>
      <c r="S6280" s="24" t="str">
        <f t="shared" si="346"/>
        <v/>
      </c>
      <c r="T6280" t="str">
        <f t="shared" si="344"/>
        <v/>
      </c>
    </row>
    <row r="6281" spans="18:20">
      <c r="R6281" s="24" t="str">
        <f t="shared" si="345"/>
        <v/>
      </c>
      <c r="S6281" s="24" t="str">
        <f t="shared" si="346"/>
        <v/>
      </c>
      <c r="T6281" t="str">
        <f t="shared" si="344"/>
        <v/>
      </c>
    </row>
    <row r="6282" spans="18:20">
      <c r="R6282" s="24" t="str">
        <f t="shared" si="345"/>
        <v/>
      </c>
      <c r="S6282" s="24" t="str">
        <f t="shared" si="346"/>
        <v/>
      </c>
      <c r="T6282" t="str">
        <f t="shared" si="344"/>
        <v/>
      </c>
    </row>
    <row r="6283" spans="18:20">
      <c r="R6283" s="24" t="str">
        <f t="shared" si="345"/>
        <v/>
      </c>
      <c r="S6283" s="24" t="str">
        <f t="shared" si="346"/>
        <v/>
      </c>
      <c r="T6283" t="str">
        <f t="shared" si="344"/>
        <v/>
      </c>
    </row>
    <row r="6284" spans="18:20">
      <c r="R6284" s="24" t="str">
        <f t="shared" si="345"/>
        <v/>
      </c>
      <c r="S6284" s="24" t="str">
        <f t="shared" si="346"/>
        <v/>
      </c>
      <c r="T6284" t="str">
        <f t="shared" si="344"/>
        <v/>
      </c>
    </row>
    <row r="6285" spans="18:20">
      <c r="R6285" s="24" t="str">
        <f t="shared" si="345"/>
        <v/>
      </c>
      <c r="S6285" s="24" t="str">
        <f t="shared" si="346"/>
        <v/>
      </c>
      <c r="T6285" t="str">
        <f t="shared" si="344"/>
        <v/>
      </c>
    </row>
    <row r="6286" spans="18:20">
      <c r="R6286" s="24" t="str">
        <f t="shared" si="345"/>
        <v/>
      </c>
      <c r="S6286" s="24" t="str">
        <f t="shared" si="346"/>
        <v/>
      </c>
      <c r="T6286" t="str">
        <f t="shared" si="344"/>
        <v/>
      </c>
    </row>
    <row r="6287" spans="18:20">
      <c r="R6287" s="24" t="str">
        <f t="shared" si="345"/>
        <v/>
      </c>
      <c r="S6287" s="24" t="str">
        <f t="shared" si="346"/>
        <v/>
      </c>
      <c r="T6287" t="str">
        <f t="shared" ref="T6287:T6350" si="347">IF(OR(C6287="",I6287&lt;&gt;"ENTRADA"),"",TEXT(B6287,"AAMMDD")&amp;"-"&amp;TEXT(VALUE(SUBSTITUTE(A6287,"MOV-","")),"000"))</f>
        <v/>
      </c>
    </row>
    <row r="6288" spans="18:20">
      <c r="R6288" s="24" t="str">
        <f t="shared" ref="R6288:R6351" si="348">IF(H6288="","",H6288&amp;I6288)</f>
        <v/>
      </c>
      <c r="S6288" s="24" t="str">
        <f t="shared" ref="S6288:S6351" si="349">IF(C6288="","",C6288&amp;I6288)</f>
        <v/>
      </c>
      <c r="T6288" t="str">
        <f t="shared" si="347"/>
        <v/>
      </c>
    </row>
    <row r="6289" spans="18:20">
      <c r="R6289" s="24" t="str">
        <f t="shared" si="348"/>
        <v/>
      </c>
      <c r="S6289" s="24" t="str">
        <f t="shared" si="349"/>
        <v/>
      </c>
      <c r="T6289" t="str">
        <f t="shared" si="347"/>
        <v/>
      </c>
    </row>
    <row r="6290" spans="18:20">
      <c r="R6290" s="24" t="str">
        <f t="shared" si="348"/>
        <v/>
      </c>
      <c r="S6290" s="24" t="str">
        <f t="shared" si="349"/>
        <v/>
      </c>
      <c r="T6290" t="str">
        <f t="shared" si="347"/>
        <v/>
      </c>
    </row>
    <row r="6291" spans="18:20">
      <c r="R6291" s="24" t="str">
        <f t="shared" si="348"/>
        <v/>
      </c>
      <c r="S6291" s="24" t="str">
        <f t="shared" si="349"/>
        <v/>
      </c>
      <c r="T6291" t="str">
        <f t="shared" si="347"/>
        <v/>
      </c>
    </row>
    <row r="6292" spans="18:20">
      <c r="R6292" s="24" t="str">
        <f t="shared" si="348"/>
        <v/>
      </c>
      <c r="S6292" s="24" t="str">
        <f t="shared" si="349"/>
        <v/>
      </c>
      <c r="T6292" t="str">
        <f t="shared" si="347"/>
        <v/>
      </c>
    </row>
    <row r="6293" spans="18:20">
      <c r="R6293" s="24" t="str">
        <f t="shared" si="348"/>
        <v/>
      </c>
      <c r="S6293" s="24" t="str">
        <f t="shared" si="349"/>
        <v/>
      </c>
      <c r="T6293" t="str">
        <f t="shared" si="347"/>
        <v/>
      </c>
    </row>
    <row r="6294" spans="18:20">
      <c r="R6294" s="24" t="str">
        <f t="shared" si="348"/>
        <v/>
      </c>
      <c r="S6294" s="24" t="str">
        <f t="shared" si="349"/>
        <v/>
      </c>
      <c r="T6294" t="str">
        <f t="shared" si="347"/>
        <v/>
      </c>
    </row>
    <row r="6295" spans="18:20">
      <c r="R6295" s="24" t="str">
        <f t="shared" si="348"/>
        <v/>
      </c>
      <c r="S6295" s="24" t="str">
        <f t="shared" si="349"/>
        <v/>
      </c>
      <c r="T6295" t="str">
        <f t="shared" si="347"/>
        <v/>
      </c>
    </row>
    <row r="6296" spans="18:20">
      <c r="R6296" s="24" t="str">
        <f t="shared" si="348"/>
        <v/>
      </c>
      <c r="S6296" s="24" t="str">
        <f t="shared" si="349"/>
        <v/>
      </c>
      <c r="T6296" t="str">
        <f t="shared" si="347"/>
        <v/>
      </c>
    </row>
    <row r="6297" spans="18:20">
      <c r="R6297" s="24" t="str">
        <f t="shared" si="348"/>
        <v/>
      </c>
      <c r="S6297" s="24" t="str">
        <f t="shared" si="349"/>
        <v/>
      </c>
      <c r="T6297" t="str">
        <f t="shared" si="347"/>
        <v/>
      </c>
    </row>
    <row r="6298" spans="18:20">
      <c r="R6298" s="24" t="str">
        <f t="shared" si="348"/>
        <v/>
      </c>
      <c r="S6298" s="24" t="str">
        <f t="shared" si="349"/>
        <v/>
      </c>
      <c r="T6298" t="str">
        <f t="shared" si="347"/>
        <v/>
      </c>
    </row>
    <row r="6299" spans="18:20">
      <c r="R6299" s="24" t="str">
        <f t="shared" si="348"/>
        <v/>
      </c>
      <c r="S6299" s="24" t="str">
        <f t="shared" si="349"/>
        <v/>
      </c>
      <c r="T6299" t="str">
        <f t="shared" si="347"/>
        <v/>
      </c>
    </row>
    <row r="6300" spans="18:20">
      <c r="R6300" s="24" t="str">
        <f t="shared" si="348"/>
        <v/>
      </c>
      <c r="S6300" s="24" t="str">
        <f t="shared" si="349"/>
        <v/>
      </c>
      <c r="T6300" t="str">
        <f t="shared" si="347"/>
        <v/>
      </c>
    </row>
    <row r="6301" spans="18:20">
      <c r="R6301" s="24" t="str">
        <f t="shared" si="348"/>
        <v/>
      </c>
      <c r="S6301" s="24" t="str">
        <f t="shared" si="349"/>
        <v/>
      </c>
      <c r="T6301" t="str">
        <f t="shared" si="347"/>
        <v/>
      </c>
    </row>
    <row r="6302" spans="18:20">
      <c r="R6302" s="24" t="str">
        <f t="shared" si="348"/>
        <v/>
      </c>
      <c r="S6302" s="24" t="str">
        <f t="shared" si="349"/>
        <v/>
      </c>
      <c r="T6302" t="str">
        <f t="shared" si="347"/>
        <v/>
      </c>
    </row>
    <row r="6303" spans="18:20">
      <c r="R6303" s="24" t="str">
        <f t="shared" si="348"/>
        <v/>
      </c>
      <c r="S6303" s="24" t="str">
        <f t="shared" si="349"/>
        <v/>
      </c>
      <c r="T6303" t="str">
        <f t="shared" si="347"/>
        <v/>
      </c>
    </row>
    <row r="6304" spans="18:20">
      <c r="R6304" s="24" t="str">
        <f t="shared" si="348"/>
        <v/>
      </c>
      <c r="S6304" s="24" t="str">
        <f t="shared" si="349"/>
        <v/>
      </c>
      <c r="T6304" t="str">
        <f t="shared" si="347"/>
        <v/>
      </c>
    </row>
    <row r="6305" spans="18:20">
      <c r="R6305" s="24" t="str">
        <f t="shared" si="348"/>
        <v/>
      </c>
      <c r="S6305" s="24" t="str">
        <f t="shared" si="349"/>
        <v/>
      </c>
      <c r="T6305" t="str">
        <f t="shared" si="347"/>
        <v/>
      </c>
    </row>
    <row r="6306" spans="18:20">
      <c r="R6306" s="24" t="str">
        <f t="shared" si="348"/>
        <v/>
      </c>
      <c r="S6306" s="24" t="str">
        <f t="shared" si="349"/>
        <v/>
      </c>
      <c r="T6306" t="str">
        <f t="shared" si="347"/>
        <v/>
      </c>
    </row>
    <row r="6307" spans="18:20">
      <c r="R6307" s="24" t="str">
        <f t="shared" si="348"/>
        <v/>
      </c>
      <c r="S6307" s="24" t="str">
        <f t="shared" si="349"/>
        <v/>
      </c>
      <c r="T6307" t="str">
        <f t="shared" si="347"/>
        <v/>
      </c>
    </row>
    <row r="6308" spans="18:20">
      <c r="R6308" s="24" t="str">
        <f t="shared" si="348"/>
        <v/>
      </c>
      <c r="S6308" s="24" t="str">
        <f t="shared" si="349"/>
        <v/>
      </c>
      <c r="T6308" t="str">
        <f t="shared" si="347"/>
        <v/>
      </c>
    </row>
    <row r="6309" spans="18:20">
      <c r="R6309" s="24" t="str">
        <f t="shared" si="348"/>
        <v/>
      </c>
      <c r="S6309" s="24" t="str">
        <f t="shared" si="349"/>
        <v/>
      </c>
      <c r="T6309" t="str">
        <f t="shared" si="347"/>
        <v/>
      </c>
    </row>
    <row r="6310" spans="18:20">
      <c r="R6310" s="24" t="str">
        <f t="shared" si="348"/>
        <v/>
      </c>
      <c r="S6310" s="24" t="str">
        <f t="shared" si="349"/>
        <v/>
      </c>
      <c r="T6310" t="str">
        <f t="shared" si="347"/>
        <v/>
      </c>
    </row>
    <row r="6311" spans="18:20">
      <c r="R6311" s="24" t="str">
        <f t="shared" si="348"/>
        <v/>
      </c>
      <c r="S6311" s="24" t="str">
        <f t="shared" si="349"/>
        <v/>
      </c>
      <c r="T6311" t="str">
        <f t="shared" si="347"/>
        <v/>
      </c>
    </row>
    <row r="6312" spans="18:20">
      <c r="R6312" s="24" t="str">
        <f t="shared" si="348"/>
        <v/>
      </c>
      <c r="S6312" s="24" t="str">
        <f t="shared" si="349"/>
        <v/>
      </c>
      <c r="T6312" t="str">
        <f t="shared" si="347"/>
        <v/>
      </c>
    </row>
    <row r="6313" spans="18:20">
      <c r="R6313" s="24" t="str">
        <f t="shared" si="348"/>
        <v/>
      </c>
      <c r="S6313" s="24" t="str">
        <f t="shared" si="349"/>
        <v/>
      </c>
      <c r="T6313" t="str">
        <f t="shared" si="347"/>
        <v/>
      </c>
    </row>
    <row r="6314" spans="18:20">
      <c r="R6314" s="24" t="str">
        <f t="shared" si="348"/>
        <v/>
      </c>
      <c r="S6314" s="24" t="str">
        <f t="shared" si="349"/>
        <v/>
      </c>
      <c r="T6314" t="str">
        <f t="shared" si="347"/>
        <v/>
      </c>
    </row>
    <row r="6315" spans="18:20">
      <c r="R6315" s="24" t="str">
        <f t="shared" si="348"/>
        <v/>
      </c>
      <c r="S6315" s="24" t="str">
        <f t="shared" si="349"/>
        <v/>
      </c>
      <c r="T6315" t="str">
        <f t="shared" si="347"/>
        <v/>
      </c>
    </row>
    <row r="6316" spans="18:20">
      <c r="R6316" s="24" t="str">
        <f t="shared" si="348"/>
        <v/>
      </c>
      <c r="S6316" s="24" t="str">
        <f t="shared" si="349"/>
        <v/>
      </c>
      <c r="T6316" t="str">
        <f t="shared" si="347"/>
        <v/>
      </c>
    </row>
    <row r="6317" spans="18:20">
      <c r="R6317" s="24" t="str">
        <f t="shared" si="348"/>
        <v/>
      </c>
      <c r="S6317" s="24" t="str">
        <f t="shared" si="349"/>
        <v/>
      </c>
      <c r="T6317" t="str">
        <f t="shared" si="347"/>
        <v/>
      </c>
    </row>
    <row r="6318" spans="18:20">
      <c r="R6318" s="24" t="str">
        <f t="shared" si="348"/>
        <v/>
      </c>
      <c r="S6318" s="24" t="str">
        <f t="shared" si="349"/>
        <v/>
      </c>
      <c r="T6318" t="str">
        <f t="shared" si="347"/>
        <v/>
      </c>
    </row>
    <row r="6319" spans="18:20">
      <c r="R6319" s="24" t="str">
        <f t="shared" si="348"/>
        <v/>
      </c>
      <c r="S6319" s="24" t="str">
        <f t="shared" si="349"/>
        <v/>
      </c>
      <c r="T6319" t="str">
        <f t="shared" si="347"/>
        <v/>
      </c>
    </row>
    <row r="6320" spans="18:20">
      <c r="R6320" s="24" t="str">
        <f t="shared" si="348"/>
        <v/>
      </c>
      <c r="S6320" s="24" t="str">
        <f t="shared" si="349"/>
        <v/>
      </c>
      <c r="T6320" t="str">
        <f t="shared" si="347"/>
        <v/>
      </c>
    </row>
    <row r="6321" spans="18:20">
      <c r="R6321" s="24" t="str">
        <f t="shared" si="348"/>
        <v/>
      </c>
      <c r="S6321" s="24" t="str">
        <f t="shared" si="349"/>
        <v/>
      </c>
      <c r="T6321" t="str">
        <f t="shared" si="347"/>
        <v/>
      </c>
    </row>
    <row r="6322" spans="18:20">
      <c r="R6322" s="24" t="str">
        <f t="shared" si="348"/>
        <v/>
      </c>
      <c r="S6322" s="24" t="str">
        <f t="shared" si="349"/>
        <v/>
      </c>
      <c r="T6322" t="str">
        <f t="shared" si="347"/>
        <v/>
      </c>
    </row>
    <row r="6323" spans="18:20">
      <c r="R6323" s="24" t="str">
        <f t="shared" si="348"/>
        <v/>
      </c>
      <c r="S6323" s="24" t="str">
        <f t="shared" si="349"/>
        <v/>
      </c>
      <c r="T6323" t="str">
        <f t="shared" si="347"/>
        <v/>
      </c>
    </row>
    <row r="6324" spans="18:20">
      <c r="R6324" s="24" t="str">
        <f t="shared" si="348"/>
        <v/>
      </c>
      <c r="S6324" s="24" t="str">
        <f t="shared" si="349"/>
        <v/>
      </c>
      <c r="T6324" t="str">
        <f t="shared" si="347"/>
        <v/>
      </c>
    </row>
    <row r="6325" spans="18:20">
      <c r="R6325" s="24" t="str">
        <f t="shared" si="348"/>
        <v/>
      </c>
      <c r="S6325" s="24" t="str">
        <f t="shared" si="349"/>
        <v/>
      </c>
      <c r="T6325" t="str">
        <f t="shared" si="347"/>
        <v/>
      </c>
    </row>
    <row r="6326" spans="18:20">
      <c r="R6326" s="24" t="str">
        <f t="shared" si="348"/>
        <v/>
      </c>
      <c r="S6326" s="24" t="str">
        <f t="shared" si="349"/>
        <v/>
      </c>
      <c r="T6326" t="str">
        <f t="shared" si="347"/>
        <v/>
      </c>
    </row>
    <row r="6327" spans="18:20">
      <c r="R6327" s="24" t="str">
        <f t="shared" si="348"/>
        <v/>
      </c>
      <c r="S6327" s="24" t="str">
        <f t="shared" si="349"/>
        <v/>
      </c>
      <c r="T6327" t="str">
        <f t="shared" si="347"/>
        <v/>
      </c>
    </row>
    <row r="6328" spans="18:20">
      <c r="R6328" s="24" t="str">
        <f t="shared" si="348"/>
        <v/>
      </c>
      <c r="S6328" s="24" t="str">
        <f t="shared" si="349"/>
        <v/>
      </c>
      <c r="T6328" t="str">
        <f t="shared" si="347"/>
        <v/>
      </c>
    </row>
    <row r="6329" spans="18:20">
      <c r="R6329" s="24" t="str">
        <f t="shared" si="348"/>
        <v/>
      </c>
      <c r="S6329" s="24" t="str">
        <f t="shared" si="349"/>
        <v/>
      </c>
      <c r="T6329" t="str">
        <f t="shared" si="347"/>
        <v/>
      </c>
    </row>
    <row r="6330" spans="18:20">
      <c r="R6330" s="24" t="str">
        <f t="shared" si="348"/>
        <v/>
      </c>
      <c r="S6330" s="24" t="str">
        <f t="shared" si="349"/>
        <v/>
      </c>
      <c r="T6330" t="str">
        <f t="shared" si="347"/>
        <v/>
      </c>
    </row>
    <row r="6331" spans="18:20">
      <c r="R6331" s="24" t="str">
        <f t="shared" si="348"/>
        <v/>
      </c>
      <c r="S6331" s="24" t="str">
        <f t="shared" si="349"/>
        <v/>
      </c>
      <c r="T6331" t="str">
        <f t="shared" si="347"/>
        <v/>
      </c>
    </row>
    <row r="6332" spans="18:20">
      <c r="R6332" s="24" t="str">
        <f t="shared" si="348"/>
        <v/>
      </c>
      <c r="S6332" s="24" t="str">
        <f t="shared" si="349"/>
        <v/>
      </c>
      <c r="T6332" t="str">
        <f t="shared" si="347"/>
        <v/>
      </c>
    </row>
    <row r="6333" spans="18:20">
      <c r="R6333" s="24" t="str">
        <f t="shared" si="348"/>
        <v/>
      </c>
      <c r="S6333" s="24" t="str">
        <f t="shared" si="349"/>
        <v/>
      </c>
      <c r="T6333" t="str">
        <f t="shared" si="347"/>
        <v/>
      </c>
    </row>
    <row r="6334" spans="18:20">
      <c r="R6334" s="24" t="str">
        <f t="shared" si="348"/>
        <v/>
      </c>
      <c r="S6334" s="24" t="str">
        <f t="shared" si="349"/>
        <v/>
      </c>
      <c r="T6334" t="str">
        <f t="shared" si="347"/>
        <v/>
      </c>
    </row>
    <row r="6335" spans="18:20">
      <c r="R6335" s="24" t="str">
        <f t="shared" si="348"/>
        <v/>
      </c>
      <c r="S6335" s="24" t="str">
        <f t="shared" si="349"/>
        <v/>
      </c>
      <c r="T6335" t="str">
        <f t="shared" si="347"/>
        <v/>
      </c>
    </row>
    <row r="6336" spans="18:20">
      <c r="R6336" s="24" t="str">
        <f t="shared" si="348"/>
        <v/>
      </c>
      <c r="S6336" s="24" t="str">
        <f t="shared" si="349"/>
        <v/>
      </c>
      <c r="T6336" t="str">
        <f t="shared" si="347"/>
        <v/>
      </c>
    </row>
    <row r="6337" spans="18:20">
      <c r="R6337" s="24" t="str">
        <f t="shared" si="348"/>
        <v/>
      </c>
      <c r="S6337" s="24" t="str">
        <f t="shared" si="349"/>
        <v/>
      </c>
      <c r="T6337" t="str">
        <f t="shared" si="347"/>
        <v/>
      </c>
    </row>
    <row r="6338" spans="18:20">
      <c r="R6338" s="24" t="str">
        <f t="shared" si="348"/>
        <v/>
      </c>
      <c r="S6338" s="24" t="str">
        <f t="shared" si="349"/>
        <v/>
      </c>
      <c r="T6338" t="str">
        <f t="shared" si="347"/>
        <v/>
      </c>
    </row>
    <row r="6339" spans="18:20">
      <c r="R6339" s="24" t="str">
        <f t="shared" si="348"/>
        <v/>
      </c>
      <c r="S6339" s="24" t="str">
        <f t="shared" si="349"/>
        <v/>
      </c>
      <c r="T6339" t="str">
        <f t="shared" si="347"/>
        <v/>
      </c>
    </row>
    <row r="6340" spans="18:20">
      <c r="R6340" s="24" t="str">
        <f t="shared" si="348"/>
        <v/>
      </c>
      <c r="S6340" s="24" t="str">
        <f t="shared" si="349"/>
        <v/>
      </c>
      <c r="T6340" t="str">
        <f t="shared" si="347"/>
        <v/>
      </c>
    </row>
    <row r="6341" spans="18:20">
      <c r="R6341" s="24" t="str">
        <f t="shared" si="348"/>
        <v/>
      </c>
      <c r="S6341" s="24" t="str">
        <f t="shared" si="349"/>
        <v/>
      </c>
      <c r="T6341" t="str">
        <f t="shared" si="347"/>
        <v/>
      </c>
    </row>
    <row r="6342" spans="18:20">
      <c r="R6342" s="24" t="str">
        <f t="shared" si="348"/>
        <v/>
      </c>
      <c r="S6342" s="24" t="str">
        <f t="shared" si="349"/>
        <v/>
      </c>
      <c r="T6342" t="str">
        <f t="shared" si="347"/>
        <v/>
      </c>
    </row>
    <row r="6343" spans="18:20">
      <c r="R6343" s="24" t="str">
        <f t="shared" si="348"/>
        <v/>
      </c>
      <c r="S6343" s="24" t="str">
        <f t="shared" si="349"/>
        <v/>
      </c>
      <c r="T6343" t="str">
        <f t="shared" si="347"/>
        <v/>
      </c>
    </row>
    <row r="6344" spans="18:20">
      <c r="R6344" s="24" t="str">
        <f t="shared" si="348"/>
        <v/>
      </c>
      <c r="S6344" s="24" t="str">
        <f t="shared" si="349"/>
        <v/>
      </c>
      <c r="T6344" t="str">
        <f t="shared" si="347"/>
        <v/>
      </c>
    </row>
    <row r="6345" spans="18:20">
      <c r="R6345" s="24" t="str">
        <f t="shared" si="348"/>
        <v/>
      </c>
      <c r="S6345" s="24" t="str">
        <f t="shared" si="349"/>
        <v/>
      </c>
      <c r="T6345" t="str">
        <f t="shared" si="347"/>
        <v/>
      </c>
    </row>
    <row r="6346" spans="18:20">
      <c r="R6346" s="24" t="str">
        <f t="shared" si="348"/>
        <v/>
      </c>
      <c r="S6346" s="24" t="str">
        <f t="shared" si="349"/>
        <v/>
      </c>
      <c r="T6346" t="str">
        <f t="shared" si="347"/>
        <v/>
      </c>
    </row>
    <row r="6347" spans="18:20">
      <c r="R6347" s="24" t="str">
        <f t="shared" si="348"/>
        <v/>
      </c>
      <c r="S6347" s="24" t="str">
        <f t="shared" si="349"/>
        <v/>
      </c>
      <c r="T6347" t="str">
        <f t="shared" si="347"/>
        <v/>
      </c>
    </row>
    <row r="6348" spans="18:20">
      <c r="R6348" s="24" t="str">
        <f t="shared" si="348"/>
        <v/>
      </c>
      <c r="S6348" s="24" t="str">
        <f t="shared" si="349"/>
        <v/>
      </c>
      <c r="T6348" t="str">
        <f t="shared" si="347"/>
        <v/>
      </c>
    </row>
    <row r="6349" spans="18:20">
      <c r="R6349" s="24" t="str">
        <f t="shared" si="348"/>
        <v/>
      </c>
      <c r="S6349" s="24" t="str">
        <f t="shared" si="349"/>
        <v/>
      </c>
      <c r="T6349" t="str">
        <f t="shared" si="347"/>
        <v/>
      </c>
    </row>
    <row r="6350" spans="18:20">
      <c r="R6350" s="24" t="str">
        <f t="shared" si="348"/>
        <v/>
      </c>
      <c r="S6350" s="24" t="str">
        <f t="shared" si="349"/>
        <v/>
      </c>
      <c r="T6350" t="str">
        <f t="shared" si="347"/>
        <v/>
      </c>
    </row>
    <row r="6351" spans="18:20">
      <c r="R6351" s="24" t="str">
        <f t="shared" si="348"/>
        <v/>
      </c>
      <c r="S6351" s="24" t="str">
        <f t="shared" si="349"/>
        <v/>
      </c>
      <c r="T6351" t="str">
        <f t="shared" ref="T6351:T6414" si="350">IF(OR(C6351="",I6351&lt;&gt;"ENTRADA"),"",TEXT(B6351,"AAMMDD")&amp;"-"&amp;TEXT(VALUE(SUBSTITUTE(A6351,"MOV-","")),"000"))</f>
        <v/>
      </c>
    </row>
    <row r="6352" spans="18:20">
      <c r="R6352" s="24" t="str">
        <f t="shared" ref="R6352:R6415" si="351">IF(H6352="","",H6352&amp;I6352)</f>
        <v/>
      </c>
      <c r="S6352" s="24" t="str">
        <f t="shared" ref="S6352:S6415" si="352">IF(C6352="","",C6352&amp;I6352)</f>
        <v/>
      </c>
      <c r="T6352" t="str">
        <f t="shared" si="350"/>
        <v/>
      </c>
    </row>
    <row r="6353" spans="18:20">
      <c r="R6353" s="24" t="str">
        <f t="shared" si="351"/>
        <v/>
      </c>
      <c r="S6353" s="24" t="str">
        <f t="shared" si="352"/>
        <v/>
      </c>
      <c r="T6353" t="str">
        <f t="shared" si="350"/>
        <v/>
      </c>
    </row>
    <row r="6354" spans="18:20">
      <c r="R6354" s="24" t="str">
        <f t="shared" si="351"/>
        <v/>
      </c>
      <c r="S6354" s="24" t="str">
        <f t="shared" si="352"/>
        <v/>
      </c>
      <c r="T6354" t="str">
        <f t="shared" si="350"/>
        <v/>
      </c>
    </row>
    <row r="6355" spans="18:20">
      <c r="R6355" s="24" t="str">
        <f t="shared" si="351"/>
        <v/>
      </c>
      <c r="S6355" s="24" t="str">
        <f t="shared" si="352"/>
        <v/>
      </c>
      <c r="T6355" t="str">
        <f t="shared" si="350"/>
        <v/>
      </c>
    </row>
    <row r="6356" spans="18:20">
      <c r="R6356" s="24" t="str">
        <f t="shared" si="351"/>
        <v/>
      </c>
      <c r="S6356" s="24" t="str">
        <f t="shared" si="352"/>
        <v/>
      </c>
      <c r="T6356" t="str">
        <f t="shared" si="350"/>
        <v/>
      </c>
    </row>
    <row r="6357" spans="18:20">
      <c r="R6357" s="24" t="str">
        <f t="shared" si="351"/>
        <v/>
      </c>
      <c r="S6357" s="24" t="str">
        <f t="shared" si="352"/>
        <v/>
      </c>
      <c r="T6357" t="str">
        <f t="shared" si="350"/>
        <v/>
      </c>
    </row>
    <row r="6358" spans="18:20">
      <c r="R6358" s="24" t="str">
        <f t="shared" si="351"/>
        <v/>
      </c>
      <c r="S6358" s="24" t="str">
        <f t="shared" si="352"/>
        <v/>
      </c>
      <c r="T6358" t="str">
        <f t="shared" si="350"/>
        <v/>
      </c>
    </row>
    <row r="6359" spans="18:20">
      <c r="R6359" s="24" t="str">
        <f t="shared" si="351"/>
        <v/>
      </c>
      <c r="S6359" s="24" t="str">
        <f t="shared" si="352"/>
        <v/>
      </c>
      <c r="T6359" t="str">
        <f t="shared" si="350"/>
        <v/>
      </c>
    </row>
    <row r="6360" spans="18:20">
      <c r="R6360" s="24" t="str">
        <f t="shared" si="351"/>
        <v/>
      </c>
      <c r="S6360" s="24" t="str">
        <f t="shared" si="352"/>
        <v/>
      </c>
      <c r="T6360" t="str">
        <f t="shared" si="350"/>
        <v/>
      </c>
    </row>
    <row r="6361" spans="18:20">
      <c r="R6361" s="24" t="str">
        <f t="shared" si="351"/>
        <v/>
      </c>
      <c r="S6361" s="24" t="str">
        <f t="shared" si="352"/>
        <v/>
      </c>
      <c r="T6361" t="str">
        <f t="shared" si="350"/>
        <v/>
      </c>
    </row>
    <row r="6362" spans="18:20">
      <c r="R6362" s="24" t="str">
        <f t="shared" si="351"/>
        <v/>
      </c>
      <c r="S6362" s="24" t="str">
        <f t="shared" si="352"/>
        <v/>
      </c>
      <c r="T6362" t="str">
        <f t="shared" si="350"/>
        <v/>
      </c>
    </row>
    <row r="6363" spans="18:20">
      <c r="R6363" s="24" t="str">
        <f t="shared" si="351"/>
        <v/>
      </c>
      <c r="S6363" s="24" t="str">
        <f t="shared" si="352"/>
        <v/>
      </c>
      <c r="T6363" t="str">
        <f t="shared" si="350"/>
        <v/>
      </c>
    </row>
    <row r="6364" spans="18:20">
      <c r="R6364" s="24" t="str">
        <f t="shared" si="351"/>
        <v/>
      </c>
      <c r="S6364" s="24" t="str">
        <f t="shared" si="352"/>
        <v/>
      </c>
      <c r="T6364" t="str">
        <f t="shared" si="350"/>
        <v/>
      </c>
    </row>
    <row r="6365" spans="18:20">
      <c r="R6365" s="24" t="str">
        <f t="shared" si="351"/>
        <v/>
      </c>
      <c r="S6365" s="24" t="str">
        <f t="shared" si="352"/>
        <v/>
      </c>
      <c r="T6365" t="str">
        <f t="shared" si="350"/>
        <v/>
      </c>
    </row>
    <row r="6366" spans="18:20">
      <c r="R6366" s="24" t="str">
        <f t="shared" si="351"/>
        <v/>
      </c>
      <c r="S6366" s="24" t="str">
        <f t="shared" si="352"/>
        <v/>
      </c>
      <c r="T6366" t="str">
        <f t="shared" si="350"/>
        <v/>
      </c>
    </row>
    <row r="6367" spans="18:20">
      <c r="R6367" s="24" t="str">
        <f t="shared" si="351"/>
        <v/>
      </c>
      <c r="S6367" s="24" t="str">
        <f t="shared" si="352"/>
        <v/>
      </c>
      <c r="T6367" t="str">
        <f t="shared" si="350"/>
        <v/>
      </c>
    </row>
    <row r="6368" spans="18:20">
      <c r="R6368" s="24" t="str">
        <f t="shared" si="351"/>
        <v/>
      </c>
      <c r="S6368" s="24" t="str">
        <f t="shared" si="352"/>
        <v/>
      </c>
      <c r="T6368" t="str">
        <f t="shared" si="350"/>
        <v/>
      </c>
    </row>
    <row r="6369" spans="18:20">
      <c r="R6369" s="24" t="str">
        <f t="shared" si="351"/>
        <v/>
      </c>
      <c r="S6369" s="24" t="str">
        <f t="shared" si="352"/>
        <v/>
      </c>
      <c r="T6369" t="str">
        <f t="shared" si="350"/>
        <v/>
      </c>
    </row>
    <row r="6370" spans="18:20">
      <c r="R6370" s="24" t="str">
        <f t="shared" si="351"/>
        <v/>
      </c>
      <c r="S6370" s="24" t="str">
        <f t="shared" si="352"/>
        <v/>
      </c>
      <c r="T6370" t="str">
        <f t="shared" si="350"/>
        <v/>
      </c>
    </row>
    <row r="6371" spans="18:20">
      <c r="R6371" s="24" t="str">
        <f t="shared" si="351"/>
        <v/>
      </c>
      <c r="S6371" s="24" t="str">
        <f t="shared" si="352"/>
        <v/>
      </c>
      <c r="T6371" t="str">
        <f t="shared" si="350"/>
        <v/>
      </c>
    </row>
    <row r="6372" spans="18:20">
      <c r="R6372" s="24" t="str">
        <f t="shared" si="351"/>
        <v/>
      </c>
      <c r="S6372" s="24" t="str">
        <f t="shared" si="352"/>
        <v/>
      </c>
      <c r="T6372" t="str">
        <f t="shared" si="350"/>
        <v/>
      </c>
    </row>
    <row r="6373" spans="18:20">
      <c r="R6373" s="24" t="str">
        <f t="shared" si="351"/>
        <v/>
      </c>
      <c r="S6373" s="24" t="str">
        <f t="shared" si="352"/>
        <v/>
      </c>
      <c r="T6373" t="str">
        <f t="shared" si="350"/>
        <v/>
      </c>
    </row>
    <row r="6374" spans="18:20">
      <c r="R6374" s="24" t="str">
        <f t="shared" si="351"/>
        <v/>
      </c>
      <c r="S6374" s="24" t="str">
        <f t="shared" si="352"/>
        <v/>
      </c>
      <c r="T6374" t="str">
        <f t="shared" si="350"/>
        <v/>
      </c>
    </row>
    <row r="6375" spans="18:20">
      <c r="R6375" s="24" t="str">
        <f t="shared" si="351"/>
        <v/>
      </c>
      <c r="S6375" s="24" t="str">
        <f t="shared" si="352"/>
        <v/>
      </c>
      <c r="T6375" t="str">
        <f t="shared" si="350"/>
        <v/>
      </c>
    </row>
    <row r="6376" spans="18:20">
      <c r="R6376" s="24" t="str">
        <f t="shared" si="351"/>
        <v/>
      </c>
      <c r="S6376" s="24" t="str">
        <f t="shared" si="352"/>
        <v/>
      </c>
      <c r="T6376" t="str">
        <f t="shared" si="350"/>
        <v/>
      </c>
    </row>
    <row r="6377" spans="18:20">
      <c r="R6377" s="24" t="str">
        <f t="shared" si="351"/>
        <v/>
      </c>
      <c r="S6377" s="24" t="str">
        <f t="shared" si="352"/>
        <v/>
      </c>
      <c r="T6377" t="str">
        <f t="shared" si="350"/>
        <v/>
      </c>
    </row>
    <row r="6378" spans="18:20">
      <c r="R6378" s="24" t="str">
        <f t="shared" si="351"/>
        <v/>
      </c>
      <c r="S6378" s="24" t="str">
        <f t="shared" si="352"/>
        <v/>
      </c>
      <c r="T6378" t="str">
        <f t="shared" si="350"/>
        <v/>
      </c>
    </row>
    <row r="6379" spans="18:20">
      <c r="R6379" s="24" t="str">
        <f t="shared" si="351"/>
        <v/>
      </c>
      <c r="S6379" s="24" t="str">
        <f t="shared" si="352"/>
        <v/>
      </c>
      <c r="T6379" t="str">
        <f t="shared" si="350"/>
        <v/>
      </c>
    </row>
    <row r="6380" spans="18:20">
      <c r="R6380" s="24" t="str">
        <f t="shared" si="351"/>
        <v/>
      </c>
      <c r="S6380" s="24" t="str">
        <f t="shared" si="352"/>
        <v/>
      </c>
      <c r="T6380" t="str">
        <f t="shared" si="350"/>
        <v/>
      </c>
    </row>
    <row r="6381" spans="18:20">
      <c r="R6381" s="24" t="str">
        <f t="shared" si="351"/>
        <v/>
      </c>
      <c r="S6381" s="24" t="str">
        <f t="shared" si="352"/>
        <v/>
      </c>
      <c r="T6381" t="str">
        <f t="shared" si="350"/>
        <v/>
      </c>
    </row>
    <row r="6382" spans="18:20">
      <c r="R6382" s="24" t="str">
        <f t="shared" si="351"/>
        <v/>
      </c>
      <c r="S6382" s="24" t="str">
        <f t="shared" si="352"/>
        <v/>
      </c>
      <c r="T6382" t="str">
        <f t="shared" si="350"/>
        <v/>
      </c>
    </row>
    <row r="6383" spans="18:20">
      <c r="R6383" s="24" t="str">
        <f t="shared" si="351"/>
        <v/>
      </c>
      <c r="S6383" s="24" t="str">
        <f t="shared" si="352"/>
        <v/>
      </c>
      <c r="T6383" t="str">
        <f t="shared" si="350"/>
        <v/>
      </c>
    </row>
    <row r="6384" spans="18:20">
      <c r="R6384" s="24" t="str">
        <f t="shared" si="351"/>
        <v/>
      </c>
      <c r="S6384" s="24" t="str">
        <f t="shared" si="352"/>
        <v/>
      </c>
      <c r="T6384" t="str">
        <f t="shared" si="350"/>
        <v/>
      </c>
    </row>
    <row r="6385" spans="18:20">
      <c r="R6385" s="24" t="str">
        <f t="shared" si="351"/>
        <v/>
      </c>
      <c r="S6385" s="24" t="str">
        <f t="shared" si="352"/>
        <v/>
      </c>
      <c r="T6385" t="str">
        <f t="shared" si="350"/>
        <v/>
      </c>
    </row>
    <row r="6386" spans="18:20">
      <c r="R6386" s="24" t="str">
        <f t="shared" si="351"/>
        <v/>
      </c>
      <c r="S6386" s="24" t="str">
        <f t="shared" si="352"/>
        <v/>
      </c>
      <c r="T6386" t="str">
        <f t="shared" si="350"/>
        <v/>
      </c>
    </row>
    <row r="6387" spans="18:20">
      <c r="R6387" s="24" t="str">
        <f t="shared" si="351"/>
        <v/>
      </c>
      <c r="S6387" s="24" t="str">
        <f t="shared" si="352"/>
        <v/>
      </c>
      <c r="T6387" t="str">
        <f t="shared" si="350"/>
        <v/>
      </c>
    </row>
    <row r="6388" spans="18:20">
      <c r="R6388" s="24" t="str">
        <f t="shared" si="351"/>
        <v/>
      </c>
      <c r="S6388" s="24" t="str">
        <f t="shared" si="352"/>
        <v/>
      </c>
      <c r="T6388" t="str">
        <f t="shared" si="350"/>
        <v/>
      </c>
    </row>
    <row r="6389" spans="18:20">
      <c r="R6389" s="24" t="str">
        <f t="shared" si="351"/>
        <v/>
      </c>
      <c r="S6389" s="24" t="str">
        <f t="shared" si="352"/>
        <v/>
      </c>
      <c r="T6389" t="str">
        <f t="shared" si="350"/>
        <v/>
      </c>
    </row>
    <row r="6390" spans="18:20">
      <c r="R6390" s="24" t="str">
        <f t="shared" si="351"/>
        <v/>
      </c>
      <c r="S6390" s="24" t="str">
        <f t="shared" si="352"/>
        <v/>
      </c>
      <c r="T6390" t="str">
        <f t="shared" si="350"/>
        <v/>
      </c>
    </row>
    <row r="6391" spans="18:20">
      <c r="R6391" s="24" t="str">
        <f t="shared" si="351"/>
        <v/>
      </c>
      <c r="S6391" s="24" t="str">
        <f t="shared" si="352"/>
        <v/>
      </c>
      <c r="T6391" t="str">
        <f t="shared" si="350"/>
        <v/>
      </c>
    </row>
    <row r="6392" spans="18:20">
      <c r="R6392" s="24" t="str">
        <f t="shared" si="351"/>
        <v/>
      </c>
      <c r="S6392" s="24" t="str">
        <f t="shared" si="352"/>
        <v/>
      </c>
      <c r="T6392" t="str">
        <f t="shared" si="350"/>
        <v/>
      </c>
    </row>
    <row r="6393" spans="18:20">
      <c r="R6393" s="24" t="str">
        <f t="shared" si="351"/>
        <v/>
      </c>
      <c r="S6393" s="24" t="str">
        <f t="shared" si="352"/>
        <v/>
      </c>
      <c r="T6393" t="str">
        <f t="shared" si="350"/>
        <v/>
      </c>
    </row>
    <row r="6394" spans="18:20">
      <c r="R6394" s="24" t="str">
        <f t="shared" si="351"/>
        <v/>
      </c>
      <c r="S6394" s="24" t="str">
        <f t="shared" si="352"/>
        <v/>
      </c>
      <c r="T6394" t="str">
        <f t="shared" si="350"/>
        <v/>
      </c>
    </row>
    <row r="6395" spans="18:20">
      <c r="R6395" s="24" t="str">
        <f t="shared" si="351"/>
        <v/>
      </c>
      <c r="S6395" s="24" t="str">
        <f t="shared" si="352"/>
        <v/>
      </c>
      <c r="T6395" t="str">
        <f t="shared" si="350"/>
        <v/>
      </c>
    </row>
    <row r="6396" spans="18:20">
      <c r="R6396" s="24" t="str">
        <f t="shared" si="351"/>
        <v/>
      </c>
      <c r="S6396" s="24" t="str">
        <f t="shared" si="352"/>
        <v/>
      </c>
      <c r="T6396" t="str">
        <f t="shared" si="350"/>
        <v/>
      </c>
    </row>
    <row r="6397" spans="18:20">
      <c r="R6397" s="24" t="str">
        <f t="shared" si="351"/>
        <v/>
      </c>
      <c r="S6397" s="24" t="str">
        <f t="shared" si="352"/>
        <v/>
      </c>
      <c r="T6397" t="str">
        <f t="shared" si="350"/>
        <v/>
      </c>
    </row>
    <row r="6398" spans="18:20">
      <c r="R6398" s="24" t="str">
        <f t="shared" si="351"/>
        <v/>
      </c>
      <c r="S6398" s="24" t="str">
        <f t="shared" si="352"/>
        <v/>
      </c>
      <c r="T6398" t="str">
        <f t="shared" si="350"/>
        <v/>
      </c>
    </row>
    <row r="6399" spans="18:20">
      <c r="R6399" s="24" t="str">
        <f t="shared" si="351"/>
        <v/>
      </c>
      <c r="S6399" s="24" t="str">
        <f t="shared" si="352"/>
        <v/>
      </c>
      <c r="T6399" t="str">
        <f t="shared" si="350"/>
        <v/>
      </c>
    </row>
    <row r="6400" spans="18:20">
      <c r="R6400" s="24" t="str">
        <f t="shared" si="351"/>
        <v/>
      </c>
      <c r="S6400" s="24" t="str">
        <f t="shared" si="352"/>
        <v/>
      </c>
      <c r="T6400" t="str">
        <f t="shared" si="350"/>
        <v/>
      </c>
    </row>
    <row r="6401" spans="18:20">
      <c r="R6401" s="24" t="str">
        <f t="shared" si="351"/>
        <v/>
      </c>
      <c r="S6401" s="24" t="str">
        <f t="shared" si="352"/>
        <v/>
      </c>
      <c r="T6401" t="str">
        <f t="shared" si="350"/>
        <v/>
      </c>
    </row>
    <row r="6402" spans="18:20">
      <c r="R6402" s="24" t="str">
        <f t="shared" si="351"/>
        <v/>
      </c>
      <c r="S6402" s="24" t="str">
        <f t="shared" si="352"/>
        <v/>
      </c>
      <c r="T6402" t="str">
        <f t="shared" si="350"/>
        <v/>
      </c>
    </row>
    <row r="6403" spans="18:20">
      <c r="R6403" s="24" t="str">
        <f t="shared" si="351"/>
        <v/>
      </c>
      <c r="S6403" s="24" t="str">
        <f t="shared" si="352"/>
        <v/>
      </c>
      <c r="T6403" t="str">
        <f t="shared" si="350"/>
        <v/>
      </c>
    </row>
    <row r="6404" spans="18:20">
      <c r="R6404" s="24" t="str">
        <f t="shared" si="351"/>
        <v/>
      </c>
      <c r="S6404" s="24" t="str">
        <f t="shared" si="352"/>
        <v/>
      </c>
      <c r="T6404" t="str">
        <f t="shared" si="350"/>
        <v/>
      </c>
    </row>
    <row r="6405" spans="18:20">
      <c r="R6405" s="24" t="str">
        <f t="shared" si="351"/>
        <v/>
      </c>
      <c r="S6405" s="24" t="str">
        <f t="shared" si="352"/>
        <v/>
      </c>
      <c r="T6405" t="str">
        <f t="shared" si="350"/>
        <v/>
      </c>
    </row>
    <row r="6406" spans="18:20">
      <c r="R6406" s="24" t="str">
        <f t="shared" si="351"/>
        <v/>
      </c>
      <c r="S6406" s="24" t="str">
        <f t="shared" si="352"/>
        <v/>
      </c>
      <c r="T6406" t="str">
        <f t="shared" si="350"/>
        <v/>
      </c>
    </row>
    <row r="6407" spans="18:20">
      <c r="R6407" s="24" t="str">
        <f t="shared" si="351"/>
        <v/>
      </c>
      <c r="S6407" s="24" t="str">
        <f t="shared" si="352"/>
        <v/>
      </c>
      <c r="T6407" t="str">
        <f t="shared" si="350"/>
        <v/>
      </c>
    </row>
    <row r="6408" spans="18:20">
      <c r="R6408" s="24" t="str">
        <f t="shared" si="351"/>
        <v/>
      </c>
      <c r="S6408" s="24" t="str">
        <f t="shared" si="352"/>
        <v/>
      </c>
      <c r="T6408" t="str">
        <f t="shared" si="350"/>
        <v/>
      </c>
    </row>
    <row r="6409" spans="18:20">
      <c r="R6409" s="24" t="str">
        <f t="shared" si="351"/>
        <v/>
      </c>
      <c r="S6409" s="24" t="str">
        <f t="shared" si="352"/>
        <v/>
      </c>
      <c r="T6409" t="str">
        <f t="shared" si="350"/>
        <v/>
      </c>
    </row>
    <row r="6410" spans="18:20">
      <c r="R6410" s="24" t="str">
        <f t="shared" si="351"/>
        <v/>
      </c>
      <c r="S6410" s="24" t="str">
        <f t="shared" si="352"/>
        <v/>
      </c>
      <c r="T6410" t="str">
        <f t="shared" si="350"/>
        <v/>
      </c>
    </row>
    <row r="6411" spans="18:20">
      <c r="R6411" s="24" t="str">
        <f t="shared" si="351"/>
        <v/>
      </c>
      <c r="S6411" s="24" t="str">
        <f t="shared" si="352"/>
        <v/>
      </c>
      <c r="T6411" t="str">
        <f t="shared" si="350"/>
        <v/>
      </c>
    </row>
    <row r="6412" spans="18:20">
      <c r="R6412" s="24" t="str">
        <f t="shared" si="351"/>
        <v/>
      </c>
      <c r="S6412" s="24" t="str">
        <f t="shared" si="352"/>
        <v/>
      </c>
      <c r="T6412" t="str">
        <f t="shared" si="350"/>
        <v/>
      </c>
    </row>
    <row r="6413" spans="18:20">
      <c r="R6413" s="24" t="str">
        <f t="shared" si="351"/>
        <v/>
      </c>
      <c r="S6413" s="24" t="str">
        <f t="shared" si="352"/>
        <v/>
      </c>
      <c r="T6413" t="str">
        <f t="shared" si="350"/>
        <v/>
      </c>
    </row>
    <row r="6414" spans="18:20">
      <c r="R6414" s="24" t="str">
        <f t="shared" si="351"/>
        <v/>
      </c>
      <c r="S6414" s="24" t="str">
        <f t="shared" si="352"/>
        <v/>
      </c>
      <c r="T6414" t="str">
        <f t="shared" si="350"/>
        <v/>
      </c>
    </row>
    <row r="6415" spans="18:20">
      <c r="R6415" s="24" t="str">
        <f t="shared" si="351"/>
        <v/>
      </c>
      <c r="S6415" s="24" t="str">
        <f t="shared" si="352"/>
        <v/>
      </c>
      <c r="T6415" t="str">
        <f t="shared" ref="T6415:T6478" si="353">IF(OR(C6415="",I6415&lt;&gt;"ENTRADA"),"",TEXT(B6415,"AAMMDD")&amp;"-"&amp;TEXT(VALUE(SUBSTITUTE(A6415,"MOV-","")),"000"))</f>
        <v/>
      </c>
    </row>
    <row r="6416" spans="18:20">
      <c r="R6416" s="24" t="str">
        <f t="shared" ref="R6416:R6479" si="354">IF(H6416="","",H6416&amp;I6416)</f>
        <v/>
      </c>
      <c r="S6416" s="24" t="str">
        <f t="shared" ref="S6416:S6479" si="355">IF(C6416="","",C6416&amp;I6416)</f>
        <v/>
      </c>
      <c r="T6416" t="str">
        <f t="shared" si="353"/>
        <v/>
      </c>
    </row>
    <row r="6417" spans="18:20">
      <c r="R6417" s="24" t="str">
        <f t="shared" si="354"/>
        <v/>
      </c>
      <c r="S6417" s="24" t="str">
        <f t="shared" si="355"/>
        <v/>
      </c>
      <c r="T6417" t="str">
        <f t="shared" si="353"/>
        <v/>
      </c>
    </row>
    <row r="6418" spans="18:20">
      <c r="R6418" s="24" t="str">
        <f t="shared" si="354"/>
        <v/>
      </c>
      <c r="S6418" s="24" t="str">
        <f t="shared" si="355"/>
        <v/>
      </c>
      <c r="T6418" t="str">
        <f t="shared" si="353"/>
        <v/>
      </c>
    </row>
    <row r="6419" spans="18:20">
      <c r="R6419" s="24" t="str">
        <f t="shared" si="354"/>
        <v/>
      </c>
      <c r="S6419" s="24" t="str">
        <f t="shared" si="355"/>
        <v/>
      </c>
      <c r="T6419" t="str">
        <f t="shared" si="353"/>
        <v/>
      </c>
    </row>
    <row r="6420" spans="18:20">
      <c r="R6420" s="24" t="str">
        <f t="shared" si="354"/>
        <v/>
      </c>
      <c r="S6420" s="24" t="str">
        <f t="shared" si="355"/>
        <v/>
      </c>
      <c r="T6420" t="str">
        <f t="shared" si="353"/>
        <v/>
      </c>
    </row>
    <row r="6421" spans="18:20">
      <c r="R6421" s="24" t="str">
        <f t="shared" si="354"/>
        <v/>
      </c>
      <c r="S6421" s="24" t="str">
        <f t="shared" si="355"/>
        <v/>
      </c>
      <c r="T6421" t="str">
        <f t="shared" si="353"/>
        <v/>
      </c>
    </row>
    <row r="6422" spans="18:20">
      <c r="R6422" s="24" t="str">
        <f t="shared" si="354"/>
        <v/>
      </c>
      <c r="S6422" s="24" t="str">
        <f t="shared" si="355"/>
        <v/>
      </c>
      <c r="T6422" t="str">
        <f t="shared" si="353"/>
        <v/>
      </c>
    </row>
    <row r="6423" spans="18:20">
      <c r="R6423" s="24" t="str">
        <f t="shared" si="354"/>
        <v/>
      </c>
      <c r="S6423" s="24" t="str">
        <f t="shared" si="355"/>
        <v/>
      </c>
      <c r="T6423" t="str">
        <f t="shared" si="353"/>
        <v/>
      </c>
    </row>
    <row r="6424" spans="18:20">
      <c r="R6424" s="24" t="str">
        <f t="shared" si="354"/>
        <v/>
      </c>
      <c r="S6424" s="24" t="str">
        <f t="shared" si="355"/>
        <v/>
      </c>
      <c r="T6424" t="str">
        <f t="shared" si="353"/>
        <v/>
      </c>
    </row>
    <row r="6425" spans="18:20">
      <c r="R6425" s="24" t="str">
        <f t="shared" si="354"/>
        <v/>
      </c>
      <c r="S6425" s="24" t="str">
        <f t="shared" si="355"/>
        <v/>
      </c>
      <c r="T6425" t="str">
        <f t="shared" si="353"/>
        <v/>
      </c>
    </row>
    <row r="6426" spans="18:20">
      <c r="R6426" s="24" t="str">
        <f t="shared" si="354"/>
        <v/>
      </c>
      <c r="S6426" s="24" t="str">
        <f t="shared" si="355"/>
        <v/>
      </c>
      <c r="T6426" t="str">
        <f t="shared" si="353"/>
        <v/>
      </c>
    </row>
    <row r="6427" spans="18:20">
      <c r="R6427" s="24" t="str">
        <f t="shared" si="354"/>
        <v/>
      </c>
      <c r="S6427" s="24" t="str">
        <f t="shared" si="355"/>
        <v/>
      </c>
      <c r="T6427" t="str">
        <f t="shared" si="353"/>
        <v/>
      </c>
    </row>
    <row r="6428" spans="18:20">
      <c r="R6428" s="24" t="str">
        <f t="shared" si="354"/>
        <v/>
      </c>
      <c r="S6428" s="24" t="str">
        <f t="shared" si="355"/>
        <v/>
      </c>
      <c r="T6428" t="str">
        <f t="shared" si="353"/>
        <v/>
      </c>
    </row>
    <row r="6429" spans="18:20">
      <c r="R6429" s="24" t="str">
        <f t="shared" si="354"/>
        <v/>
      </c>
      <c r="S6429" s="24" t="str">
        <f t="shared" si="355"/>
        <v/>
      </c>
      <c r="T6429" t="str">
        <f t="shared" si="353"/>
        <v/>
      </c>
    </row>
    <row r="6430" spans="18:20">
      <c r="R6430" s="24" t="str">
        <f t="shared" si="354"/>
        <v/>
      </c>
      <c r="S6430" s="24" t="str">
        <f t="shared" si="355"/>
        <v/>
      </c>
      <c r="T6430" t="str">
        <f t="shared" si="353"/>
        <v/>
      </c>
    </row>
    <row r="6431" spans="18:20">
      <c r="R6431" s="24" t="str">
        <f t="shared" si="354"/>
        <v/>
      </c>
      <c r="S6431" s="24" t="str">
        <f t="shared" si="355"/>
        <v/>
      </c>
      <c r="T6431" t="str">
        <f t="shared" si="353"/>
        <v/>
      </c>
    </row>
    <row r="6432" spans="18:20">
      <c r="R6432" s="24" t="str">
        <f t="shared" si="354"/>
        <v/>
      </c>
      <c r="S6432" s="24" t="str">
        <f t="shared" si="355"/>
        <v/>
      </c>
      <c r="T6432" t="str">
        <f t="shared" si="353"/>
        <v/>
      </c>
    </row>
    <row r="6433" spans="18:20">
      <c r="R6433" s="24" t="str">
        <f t="shared" si="354"/>
        <v/>
      </c>
      <c r="S6433" s="24" t="str">
        <f t="shared" si="355"/>
        <v/>
      </c>
      <c r="T6433" t="str">
        <f t="shared" si="353"/>
        <v/>
      </c>
    </row>
    <row r="6434" spans="18:20">
      <c r="R6434" s="24" t="str">
        <f t="shared" si="354"/>
        <v/>
      </c>
      <c r="S6434" s="24" t="str">
        <f t="shared" si="355"/>
        <v/>
      </c>
      <c r="T6434" t="str">
        <f t="shared" si="353"/>
        <v/>
      </c>
    </row>
    <row r="6435" spans="18:20">
      <c r="R6435" s="24" t="str">
        <f t="shared" si="354"/>
        <v/>
      </c>
      <c r="S6435" s="24" t="str">
        <f t="shared" si="355"/>
        <v/>
      </c>
      <c r="T6435" t="str">
        <f t="shared" si="353"/>
        <v/>
      </c>
    </row>
    <row r="6436" spans="18:20">
      <c r="R6436" s="24" t="str">
        <f t="shared" si="354"/>
        <v/>
      </c>
      <c r="S6436" s="24" t="str">
        <f t="shared" si="355"/>
        <v/>
      </c>
      <c r="T6436" t="str">
        <f t="shared" si="353"/>
        <v/>
      </c>
    </row>
    <row r="6437" spans="18:20">
      <c r="R6437" s="24" t="str">
        <f t="shared" si="354"/>
        <v/>
      </c>
      <c r="S6437" s="24" t="str">
        <f t="shared" si="355"/>
        <v/>
      </c>
      <c r="T6437" t="str">
        <f t="shared" si="353"/>
        <v/>
      </c>
    </row>
    <row r="6438" spans="18:20">
      <c r="R6438" s="24" t="str">
        <f t="shared" si="354"/>
        <v/>
      </c>
      <c r="S6438" s="24" t="str">
        <f t="shared" si="355"/>
        <v/>
      </c>
      <c r="T6438" t="str">
        <f t="shared" si="353"/>
        <v/>
      </c>
    </row>
    <row r="6439" spans="18:20">
      <c r="R6439" s="24" t="str">
        <f t="shared" si="354"/>
        <v/>
      </c>
      <c r="S6439" s="24" t="str">
        <f t="shared" si="355"/>
        <v/>
      </c>
      <c r="T6439" t="str">
        <f t="shared" si="353"/>
        <v/>
      </c>
    </row>
    <row r="6440" spans="18:20">
      <c r="R6440" s="24" t="str">
        <f t="shared" si="354"/>
        <v/>
      </c>
      <c r="S6440" s="24" t="str">
        <f t="shared" si="355"/>
        <v/>
      </c>
      <c r="T6440" t="str">
        <f t="shared" si="353"/>
        <v/>
      </c>
    </row>
    <row r="6441" spans="18:20">
      <c r="R6441" s="24" t="str">
        <f t="shared" si="354"/>
        <v/>
      </c>
      <c r="S6441" s="24" t="str">
        <f t="shared" si="355"/>
        <v/>
      </c>
      <c r="T6441" t="str">
        <f t="shared" si="353"/>
        <v/>
      </c>
    </row>
    <row r="6442" spans="18:20">
      <c r="R6442" s="24" t="str">
        <f t="shared" si="354"/>
        <v/>
      </c>
      <c r="S6442" s="24" t="str">
        <f t="shared" si="355"/>
        <v/>
      </c>
      <c r="T6442" t="str">
        <f t="shared" si="353"/>
        <v/>
      </c>
    </row>
    <row r="6443" spans="18:20">
      <c r="R6443" s="24" t="str">
        <f t="shared" si="354"/>
        <v/>
      </c>
      <c r="S6443" s="24" t="str">
        <f t="shared" si="355"/>
        <v/>
      </c>
      <c r="T6443" t="str">
        <f t="shared" si="353"/>
        <v/>
      </c>
    </row>
    <row r="6444" spans="18:20">
      <c r="R6444" s="24" t="str">
        <f t="shared" si="354"/>
        <v/>
      </c>
      <c r="S6444" s="24" t="str">
        <f t="shared" si="355"/>
        <v/>
      </c>
      <c r="T6444" t="str">
        <f t="shared" si="353"/>
        <v/>
      </c>
    </row>
    <row r="6445" spans="18:20">
      <c r="R6445" s="24" t="str">
        <f t="shared" si="354"/>
        <v/>
      </c>
      <c r="S6445" s="24" t="str">
        <f t="shared" si="355"/>
        <v/>
      </c>
      <c r="T6445" t="str">
        <f t="shared" si="353"/>
        <v/>
      </c>
    </row>
    <row r="6446" spans="18:20">
      <c r="R6446" s="24" t="str">
        <f t="shared" si="354"/>
        <v/>
      </c>
      <c r="S6446" s="24" t="str">
        <f t="shared" si="355"/>
        <v/>
      </c>
      <c r="T6446" t="str">
        <f t="shared" si="353"/>
        <v/>
      </c>
    </row>
    <row r="6447" spans="18:20">
      <c r="R6447" s="24" t="str">
        <f t="shared" si="354"/>
        <v/>
      </c>
      <c r="S6447" s="24" t="str">
        <f t="shared" si="355"/>
        <v/>
      </c>
      <c r="T6447" t="str">
        <f t="shared" si="353"/>
        <v/>
      </c>
    </row>
    <row r="6448" spans="18:20">
      <c r="R6448" s="24" t="str">
        <f t="shared" si="354"/>
        <v/>
      </c>
      <c r="S6448" s="24" t="str">
        <f t="shared" si="355"/>
        <v/>
      </c>
      <c r="T6448" t="str">
        <f t="shared" si="353"/>
        <v/>
      </c>
    </row>
    <row r="6449" spans="18:20">
      <c r="R6449" s="24" t="str">
        <f t="shared" si="354"/>
        <v/>
      </c>
      <c r="S6449" s="24" t="str">
        <f t="shared" si="355"/>
        <v/>
      </c>
      <c r="T6449" t="str">
        <f t="shared" si="353"/>
        <v/>
      </c>
    </row>
    <row r="6450" spans="18:20">
      <c r="R6450" s="24" t="str">
        <f t="shared" si="354"/>
        <v/>
      </c>
      <c r="S6450" s="24" t="str">
        <f t="shared" si="355"/>
        <v/>
      </c>
      <c r="T6450" t="str">
        <f t="shared" si="353"/>
        <v/>
      </c>
    </row>
    <row r="6451" spans="18:20">
      <c r="R6451" s="24" t="str">
        <f t="shared" si="354"/>
        <v/>
      </c>
      <c r="S6451" s="24" t="str">
        <f t="shared" si="355"/>
        <v/>
      </c>
      <c r="T6451" t="str">
        <f t="shared" si="353"/>
        <v/>
      </c>
    </row>
    <row r="6452" spans="18:20">
      <c r="R6452" s="24" t="str">
        <f t="shared" si="354"/>
        <v/>
      </c>
      <c r="S6452" s="24" t="str">
        <f t="shared" si="355"/>
        <v/>
      </c>
      <c r="T6452" t="str">
        <f t="shared" si="353"/>
        <v/>
      </c>
    </row>
    <row r="6453" spans="18:20">
      <c r="R6453" s="24" t="str">
        <f t="shared" si="354"/>
        <v/>
      </c>
      <c r="S6453" s="24" t="str">
        <f t="shared" si="355"/>
        <v/>
      </c>
      <c r="T6453" t="str">
        <f t="shared" si="353"/>
        <v/>
      </c>
    </row>
    <row r="6454" spans="18:20">
      <c r="R6454" s="24" t="str">
        <f t="shared" si="354"/>
        <v/>
      </c>
      <c r="S6454" s="24" t="str">
        <f t="shared" si="355"/>
        <v/>
      </c>
      <c r="T6454" t="str">
        <f t="shared" si="353"/>
        <v/>
      </c>
    </row>
    <row r="6455" spans="18:20">
      <c r="R6455" s="24" t="str">
        <f t="shared" si="354"/>
        <v/>
      </c>
      <c r="S6455" s="24" t="str">
        <f t="shared" si="355"/>
        <v/>
      </c>
      <c r="T6455" t="str">
        <f t="shared" si="353"/>
        <v/>
      </c>
    </row>
    <row r="6456" spans="18:20">
      <c r="R6456" s="24" t="str">
        <f t="shared" si="354"/>
        <v/>
      </c>
      <c r="S6456" s="24" t="str">
        <f t="shared" si="355"/>
        <v/>
      </c>
      <c r="T6456" t="str">
        <f t="shared" si="353"/>
        <v/>
      </c>
    </row>
    <row r="6457" spans="18:20">
      <c r="R6457" s="24" t="str">
        <f t="shared" si="354"/>
        <v/>
      </c>
      <c r="S6457" s="24" t="str">
        <f t="shared" si="355"/>
        <v/>
      </c>
      <c r="T6457" t="str">
        <f t="shared" si="353"/>
        <v/>
      </c>
    </row>
    <row r="6458" spans="18:20">
      <c r="R6458" s="24" t="str">
        <f t="shared" si="354"/>
        <v/>
      </c>
      <c r="S6458" s="24" t="str">
        <f t="shared" si="355"/>
        <v/>
      </c>
      <c r="T6458" t="str">
        <f t="shared" si="353"/>
        <v/>
      </c>
    </row>
    <row r="6459" spans="18:20">
      <c r="R6459" s="24" t="str">
        <f t="shared" si="354"/>
        <v/>
      </c>
      <c r="S6459" s="24" t="str">
        <f t="shared" si="355"/>
        <v/>
      </c>
      <c r="T6459" t="str">
        <f t="shared" si="353"/>
        <v/>
      </c>
    </row>
    <row r="6460" spans="18:20">
      <c r="R6460" s="24" t="str">
        <f t="shared" si="354"/>
        <v/>
      </c>
      <c r="S6460" s="24" t="str">
        <f t="shared" si="355"/>
        <v/>
      </c>
      <c r="T6460" t="str">
        <f t="shared" si="353"/>
        <v/>
      </c>
    </row>
    <row r="6461" spans="18:20">
      <c r="R6461" s="24" t="str">
        <f t="shared" si="354"/>
        <v/>
      </c>
      <c r="S6461" s="24" t="str">
        <f t="shared" si="355"/>
        <v/>
      </c>
      <c r="T6461" t="str">
        <f t="shared" si="353"/>
        <v/>
      </c>
    </row>
    <row r="6462" spans="18:20">
      <c r="R6462" s="24" t="str">
        <f t="shared" si="354"/>
        <v/>
      </c>
      <c r="S6462" s="24" t="str">
        <f t="shared" si="355"/>
        <v/>
      </c>
      <c r="T6462" t="str">
        <f t="shared" si="353"/>
        <v/>
      </c>
    </row>
    <row r="6463" spans="18:20">
      <c r="R6463" s="24" t="str">
        <f t="shared" si="354"/>
        <v/>
      </c>
      <c r="S6463" s="24" t="str">
        <f t="shared" si="355"/>
        <v/>
      </c>
      <c r="T6463" t="str">
        <f t="shared" si="353"/>
        <v/>
      </c>
    </row>
    <row r="6464" spans="18:20">
      <c r="R6464" s="24" t="str">
        <f t="shared" si="354"/>
        <v/>
      </c>
      <c r="S6464" s="24" t="str">
        <f t="shared" si="355"/>
        <v/>
      </c>
      <c r="T6464" t="str">
        <f t="shared" si="353"/>
        <v/>
      </c>
    </row>
    <row r="6465" spans="18:20">
      <c r="R6465" s="24" t="str">
        <f t="shared" si="354"/>
        <v/>
      </c>
      <c r="S6465" s="24" t="str">
        <f t="shared" si="355"/>
        <v/>
      </c>
      <c r="T6465" t="str">
        <f t="shared" si="353"/>
        <v/>
      </c>
    </row>
    <row r="6466" spans="18:20">
      <c r="R6466" s="24" t="str">
        <f t="shared" si="354"/>
        <v/>
      </c>
      <c r="S6466" s="24" t="str">
        <f t="shared" si="355"/>
        <v/>
      </c>
      <c r="T6466" t="str">
        <f t="shared" si="353"/>
        <v/>
      </c>
    </row>
    <row r="6467" spans="18:20">
      <c r="R6467" s="24" t="str">
        <f t="shared" si="354"/>
        <v/>
      </c>
      <c r="S6467" s="24" t="str">
        <f t="shared" si="355"/>
        <v/>
      </c>
      <c r="T6467" t="str">
        <f t="shared" si="353"/>
        <v/>
      </c>
    </row>
    <row r="6468" spans="18:20">
      <c r="R6468" s="24" t="str">
        <f t="shared" si="354"/>
        <v/>
      </c>
      <c r="S6468" s="24" t="str">
        <f t="shared" si="355"/>
        <v/>
      </c>
      <c r="T6468" t="str">
        <f t="shared" si="353"/>
        <v/>
      </c>
    </row>
    <row r="6469" spans="18:20">
      <c r="R6469" s="24" t="str">
        <f t="shared" si="354"/>
        <v/>
      </c>
      <c r="S6469" s="24" t="str">
        <f t="shared" si="355"/>
        <v/>
      </c>
      <c r="T6469" t="str">
        <f t="shared" si="353"/>
        <v/>
      </c>
    </row>
    <row r="6470" spans="18:20">
      <c r="R6470" s="24" t="str">
        <f t="shared" si="354"/>
        <v/>
      </c>
      <c r="S6470" s="24" t="str">
        <f t="shared" si="355"/>
        <v/>
      </c>
      <c r="T6470" t="str">
        <f t="shared" si="353"/>
        <v/>
      </c>
    </row>
    <row r="6471" spans="18:20">
      <c r="R6471" s="24" t="str">
        <f t="shared" si="354"/>
        <v/>
      </c>
      <c r="S6471" s="24" t="str">
        <f t="shared" si="355"/>
        <v/>
      </c>
      <c r="T6471" t="str">
        <f t="shared" si="353"/>
        <v/>
      </c>
    </row>
    <row r="6472" spans="18:20">
      <c r="R6472" s="24" t="str">
        <f t="shared" si="354"/>
        <v/>
      </c>
      <c r="S6472" s="24" t="str">
        <f t="shared" si="355"/>
        <v/>
      </c>
      <c r="T6472" t="str">
        <f t="shared" si="353"/>
        <v/>
      </c>
    </row>
    <row r="6473" spans="18:20">
      <c r="R6473" s="24" t="str">
        <f t="shared" si="354"/>
        <v/>
      </c>
      <c r="S6473" s="24" t="str">
        <f t="shared" si="355"/>
        <v/>
      </c>
      <c r="T6473" t="str">
        <f t="shared" si="353"/>
        <v/>
      </c>
    </row>
    <row r="6474" spans="18:20">
      <c r="R6474" s="24" t="str">
        <f t="shared" si="354"/>
        <v/>
      </c>
      <c r="S6474" s="24" t="str">
        <f t="shared" si="355"/>
        <v/>
      </c>
      <c r="T6474" t="str">
        <f t="shared" si="353"/>
        <v/>
      </c>
    </row>
    <row r="6475" spans="18:20">
      <c r="R6475" s="24" t="str">
        <f t="shared" si="354"/>
        <v/>
      </c>
      <c r="S6475" s="24" t="str">
        <f t="shared" si="355"/>
        <v/>
      </c>
      <c r="T6475" t="str">
        <f t="shared" si="353"/>
        <v/>
      </c>
    </row>
    <row r="6476" spans="18:20">
      <c r="R6476" s="24" t="str">
        <f t="shared" si="354"/>
        <v/>
      </c>
      <c r="S6476" s="24" t="str">
        <f t="shared" si="355"/>
        <v/>
      </c>
      <c r="T6476" t="str">
        <f t="shared" si="353"/>
        <v/>
      </c>
    </row>
    <row r="6477" spans="18:20">
      <c r="R6477" s="24" t="str">
        <f t="shared" si="354"/>
        <v/>
      </c>
      <c r="S6477" s="24" t="str">
        <f t="shared" si="355"/>
        <v/>
      </c>
      <c r="T6477" t="str">
        <f t="shared" si="353"/>
        <v/>
      </c>
    </row>
    <row r="6478" spans="18:20">
      <c r="R6478" s="24" t="str">
        <f t="shared" si="354"/>
        <v/>
      </c>
      <c r="S6478" s="24" t="str">
        <f t="shared" si="355"/>
        <v/>
      </c>
      <c r="T6478" t="str">
        <f t="shared" si="353"/>
        <v/>
      </c>
    </row>
    <row r="6479" spans="18:20">
      <c r="R6479" s="24" t="str">
        <f t="shared" si="354"/>
        <v/>
      </c>
      <c r="S6479" s="24" t="str">
        <f t="shared" si="355"/>
        <v/>
      </c>
      <c r="T6479" t="str">
        <f t="shared" ref="T6479:T6542" si="356">IF(OR(C6479="",I6479&lt;&gt;"ENTRADA"),"",TEXT(B6479,"AAMMDD")&amp;"-"&amp;TEXT(VALUE(SUBSTITUTE(A6479,"MOV-","")),"000"))</f>
        <v/>
      </c>
    </row>
    <row r="6480" spans="18:20">
      <c r="R6480" s="24" t="str">
        <f t="shared" ref="R6480:R6543" si="357">IF(H6480="","",H6480&amp;I6480)</f>
        <v/>
      </c>
      <c r="S6480" s="24" t="str">
        <f t="shared" ref="S6480:S6543" si="358">IF(C6480="","",C6480&amp;I6480)</f>
        <v/>
      </c>
      <c r="T6480" t="str">
        <f t="shared" si="356"/>
        <v/>
      </c>
    </row>
    <row r="6481" spans="18:20">
      <c r="R6481" s="24" t="str">
        <f t="shared" si="357"/>
        <v/>
      </c>
      <c r="S6481" s="24" t="str">
        <f t="shared" si="358"/>
        <v/>
      </c>
      <c r="T6481" t="str">
        <f t="shared" si="356"/>
        <v/>
      </c>
    </row>
    <row r="6482" spans="18:20">
      <c r="R6482" s="24" t="str">
        <f t="shared" si="357"/>
        <v/>
      </c>
      <c r="S6482" s="24" t="str">
        <f t="shared" si="358"/>
        <v/>
      </c>
      <c r="T6482" t="str">
        <f t="shared" si="356"/>
        <v/>
      </c>
    </row>
    <row r="6483" spans="18:20">
      <c r="R6483" s="24" t="str">
        <f t="shared" si="357"/>
        <v/>
      </c>
      <c r="S6483" s="24" t="str">
        <f t="shared" si="358"/>
        <v/>
      </c>
      <c r="T6483" t="str">
        <f t="shared" si="356"/>
        <v/>
      </c>
    </row>
    <row r="6484" spans="18:20">
      <c r="R6484" s="24" t="str">
        <f t="shared" si="357"/>
        <v/>
      </c>
      <c r="S6484" s="24" t="str">
        <f t="shared" si="358"/>
        <v/>
      </c>
      <c r="T6484" t="str">
        <f t="shared" si="356"/>
        <v/>
      </c>
    </row>
    <row r="6485" spans="18:20">
      <c r="R6485" s="24" t="str">
        <f t="shared" si="357"/>
        <v/>
      </c>
      <c r="S6485" s="24" t="str">
        <f t="shared" si="358"/>
        <v/>
      </c>
      <c r="T6485" t="str">
        <f t="shared" si="356"/>
        <v/>
      </c>
    </row>
    <row r="6486" spans="18:20">
      <c r="R6486" s="24" t="str">
        <f t="shared" si="357"/>
        <v/>
      </c>
      <c r="S6486" s="24" t="str">
        <f t="shared" si="358"/>
        <v/>
      </c>
      <c r="T6486" t="str">
        <f t="shared" si="356"/>
        <v/>
      </c>
    </row>
    <row r="6487" spans="18:20">
      <c r="R6487" s="24" t="str">
        <f t="shared" si="357"/>
        <v/>
      </c>
      <c r="S6487" s="24" t="str">
        <f t="shared" si="358"/>
        <v/>
      </c>
      <c r="T6487" t="str">
        <f t="shared" si="356"/>
        <v/>
      </c>
    </row>
    <row r="6488" spans="18:20">
      <c r="R6488" s="24" t="str">
        <f t="shared" si="357"/>
        <v/>
      </c>
      <c r="S6488" s="24" t="str">
        <f t="shared" si="358"/>
        <v/>
      </c>
      <c r="T6488" t="str">
        <f t="shared" si="356"/>
        <v/>
      </c>
    </row>
    <row r="6489" spans="18:20">
      <c r="R6489" s="24" t="str">
        <f t="shared" si="357"/>
        <v/>
      </c>
      <c r="S6489" s="24" t="str">
        <f t="shared" si="358"/>
        <v/>
      </c>
      <c r="T6489" t="str">
        <f t="shared" si="356"/>
        <v/>
      </c>
    </row>
    <row r="6490" spans="18:20">
      <c r="R6490" s="24" t="str">
        <f t="shared" si="357"/>
        <v/>
      </c>
      <c r="S6490" s="24" t="str">
        <f t="shared" si="358"/>
        <v/>
      </c>
      <c r="T6490" t="str">
        <f t="shared" si="356"/>
        <v/>
      </c>
    </row>
    <row r="6491" spans="18:20">
      <c r="R6491" s="24" t="str">
        <f t="shared" si="357"/>
        <v/>
      </c>
      <c r="S6491" s="24" t="str">
        <f t="shared" si="358"/>
        <v/>
      </c>
      <c r="T6491" t="str">
        <f t="shared" si="356"/>
        <v/>
      </c>
    </row>
    <row r="6492" spans="18:20">
      <c r="R6492" s="24" t="str">
        <f t="shared" si="357"/>
        <v/>
      </c>
      <c r="S6492" s="24" t="str">
        <f t="shared" si="358"/>
        <v/>
      </c>
      <c r="T6492" t="str">
        <f t="shared" si="356"/>
        <v/>
      </c>
    </row>
    <row r="6493" spans="18:20">
      <c r="R6493" s="24" t="str">
        <f t="shared" si="357"/>
        <v/>
      </c>
      <c r="S6493" s="24" t="str">
        <f t="shared" si="358"/>
        <v/>
      </c>
      <c r="T6493" t="str">
        <f t="shared" si="356"/>
        <v/>
      </c>
    </row>
    <row r="6494" spans="18:20">
      <c r="R6494" s="24" t="str">
        <f t="shared" si="357"/>
        <v/>
      </c>
      <c r="S6494" s="24" t="str">
        <f t="shared" si="358"/>
        <v/>
      </c>
      <c r="T6494" t="str">
        <f t="shared" si="356"/>
        <v/>
      </c>
    </row>
    <row r="6495" spans="18:20">
      <c r="R6495" s="24" t="str">
        <f t="shared" si="357"/>
        <v/>
      </c>
      <c r="S6495" s="24" t="str">
        <f t="shared" si="358"/>
        <v/>
      </c>
      <c r="T6495" t="str">
        <f t="shared" si="356"/>
        <v/>
      </c>
    </row>
    <row r="6496" spans="18:20">
      <c r="R6496" s="24" t="str">
        <f t="shared" si="357"/>
        <v/>
      </c>
      <c r="S6496" s="24" t="str">
        <f t="shared" si="358"/>
        <v/>
      </c>
      <c r="T6496" t="str">
        <f t="shared" si="356"/>
        <v/>
      </c>
    </row>
    <row r="6497" spans="18:20">
      <c r="R6497" s="24" t="str">
        <f t="shared" si="357"/>
        <v/>
      </c>
      <c r="S6497" s="24" t="str">
        <f t="shared" si="358"/>
        <v/>
      </c>
      <c r="T6497" t="str">
        <f t="shared" si="356"/>
        <v/>
      </c>
    </row>
    <row r="6498" spans="18:20">
      <c r="R6498" s="24" t="str">
        <f t="shared" si="357"/>
        <v/>
      </c>
      <c r="S6498" s="24" t="str">
        <f t="shared" si="358"/>
        <v/>
      </c>
      <c r="T6498" t="str">
        <f t="shared" si="356"/>
        <v/>
      </c>
    </row>
    <row r="6499" spans="18:20">
      <c r="R6499" s="24" t="str">
        <f t="shared" si="357"/>
        <v/>
      </c>
      <c r="S6499" s="24" t="str">
        <f t="shared" si="358"/>
        <v/>
      </c>
      <c r="T6499" t="str">
        <f t="shared" si="356"/>
        <v/>
      </c>
    </row>
    <row r="6500" spans="18:20">
      <c r="R6500" s="24" t="str">
        <f t="shared" si="357"/>
        <v/>
      </c>
      <c r="S6500" s="24" t="str">
        <f t="shared" si="358"/>
        <v/>
      </c>
      <c r="T6500" t="str">
        <f t="shared" si="356"/>
        <v/>
      </c>
    </row>
    <row r="6501" spans="18:20">
      <c r="R6501" s="24" t="str">
        <f t="shared" si="357"/>
        <v/>
      </c>
      <c r="S6501" s="24" t="str">
        <f t="shared" si="358"/>
        <v/>
      </c>
      <c r="T6501" t="str">
        <f t="shared" si="356"/>
        <v/>
      </c>
    </row>
    <row r="6502" spans="18:20">
      <c r="R6502" s="24" t="str">
        <f t="shared" si="357"/>
        <v/>
      </c>
      <c r="S6502" s="24" t="str">
        <f t="shared" si="358"/>
        <v/>
      </c>
      <c r="T6502" t="str">
        <f t="shared" si="356"/>
        <v/>
      </c>
    </row>
    <row r="6503" spans="18:20">
      <c r="R6503" s="24" t="str">
        <f t="shared" si="357"/>
        <v/>
      </c>
      <c r="S6503" s="24" t="str">
        <f t="shared" si="358"/>
        <v/>
      </c>
      <c r="T6503" t="str">
        <f t="shared" si="356"/>
        <v/>
      </c>
    </row>
    <row r="6504" spans="18:20">
      <c r="R6504" s="24" t="str">
        <f t="shared" si="357"/>
        <v/>
      </c>
      <c r="S6504" s="24" t="str">
        <f t="shared" si="358"/>
        <v/>
      </c>
      <c r="T6504" t="str">
        <f t="shared" si="356"/>
        <v/>
      </c>
    </row>
    <row r="6505" spans="18:20">
      <c r="R6505" s="24" t="str">
        <f t="shared" si="357"/>
        <v/>
      </c>
      <c r="S6505" s="24" t="str">
        <f t="shared" si="358"/>
        <v/>
      </c>
      <c r="T6505" t="str">
        <f t="shared" si="356"/>
        <v/>
      </c>
    </row>
    <row r="6506" spans="18:20">
      <c r="R6506" s="24" t="str">
        <f t="shared" si="357"/>
        <v/>
      </c>
      <c r="S6506" s="24" t="str">
        <f t="shared" si="358"/>
        <v/>
      </c>
      <c r="T6506" t="str">
        <f t="shared" si="356"/>
        <v/>
      </c>
    </row>
    <row r="6507" spans="18:20">
      <c r="R6507" s="24" t="str">
        <f t="shared" si="357"/>
        <v/>
      </c>
      <c r="S6507" s="24" t="str">
        <f t="shared" si="358"/>
        <v/>
      </c>
      <c r="T6507" t="str">
        <f t="shared" si="356"/>
        <v/>
      </c>
    </row>
    <row r="6508" spans="18:20">
      <c r="R6508" s="24" t="str">
        <f t="shared" si="357"/>
        <v/>
      </c>
      <c r="S6508" s="24" t="str">
        <f t="shared" si="358"/>
        <v/>
      </c>
      <c r="T6508" t="str">
        <f t="shared" si="356"/>
        <v/>
      </c>
    </row>
    <row r="6509" spans="18:20">
      <c r="R6509" s="24" t="str">
        <f t="shared" si="357"/>
        <v/>
      </c>
      <c r="S6509" s="24" t="str">
        <f t="shared" si="358"/>
        <v/>
      </c>
      <c r="T6509" t="str">
        <f t="shared" si="356"/>
        <v/>
      </c>
    </row>
    <row r="6510" spans="18:20">
      <c r="R6510" s="24" t="str">
        <f t="shared" si="357"/>
        <v/>
      </c>
      <c r="S6510" s="24" t="str">
        <f t="shared" si="358"/>
        <v/>
      </c>
      <c r="T6510" t="str">
        <f t="shared" si="356"/>
        <v/>
      </c>
    </row>
    <row r="6511" spans="18:20">
      <c r="R6511" s="24" t="str">
        <f t="shared" si="357"/>
        <v/>
      </c>
      <c r="S6511" s="24" t="str">
        <f t="shared" si="358"/>
        <v/>
      </c>
      <c r="T6511" t="str">
        <f t="shared" si="356"/>
        <v/>
      </c>
    </row>
    <row r="6512" spans="18:20">
      <c r="R6512" s="24" t="str">
        <f t="shared" si="357"/>
        <v/>
      </c>
      <c r="S6512" s="24" t="str">
        <f t="shared" si="358"/>
        <v/>
      </c>
      <c r="T6512" t="str">
        <f t="shared" si="356"/>
        <v/>
      </c>
    </row>
    <row r="6513" spans="18:20">
      <c r="R6513" s="24" t="str">
        <f t="shared" si="357"/>
        <v/>
      </c>
      <c r="S6513" s="24" t="str">
        <f t="shared" si="358"/>
        <v/>
      </c>
      <c r="T6513" t="str">
        <f t="shared" si="356"/>
        <v/>
      </c>
    </row>
    <row r="6514" spans="18:20">
      <c r="R6514" s="24" t="str">
        <f t="shared" si="357"/>
        <v/>
      </c>
      <c r="S6514" s="24" t="str">
        <f t="shared" si="358"/>
        <v/>
      </c>
      <c r="T6514" t="str">
        <f t="shared" si="356"/>
        <v/>
      </c>
    </row>
    <row r="6515" spans="18:20">
      <c r="R6515" s="24" t="str">
        <f t="shared" si="357"/>
        <v/>
      </c>
      <c r="S6515" s="24" t="str">
        <f t="shared" si="358"/>
        <v/>
      </c>
      <c r="T6515" t="str">
        <f t="shared" si="356"/>
        <v/>
      </c>
    </row>
    <row r="6516" spans="18:20">
      <c r="R6516" s="24" t="str">
        <f t="shared" si="357"/>
        <v/>
      </c>
      <c r="S6516" s="24" t="str">
        <f t="shared" si="358"/>
        <v/>
      </c>
      <c r="T6516" t="str">
        <f t="shared" si="356"/>
        <v/>
      </c>
    </row>
    <row r="6517" spans="18:20">
      <c r="R6517" s="24" t="str">
        <f t="shared" si="357"/>
        <v/>
      </c>
      <c r="S6517" s="24" t="str">
        <f t="shared" si="358"/>
        <v/>
      </c>
      <c r="T6517" t="str">
        <f t="shared" si="356"/>
        <v/>
      </c>
    </row>
    <row r="6518" spans="18:20">
      <c r="R6518" s="24" t="str">
        <f t="shared" si="357"/>
        <v/>
      </c>
      <c r="S6518" s="24" t="str">
        <f t="shared" si="358"/>
        <v/>
      </c>
      <c r="T6518" t="str">
        <f t="shared" si="356"/>
        <v/>
      </c>
    </row>
    <row r="6519" spans="18:20">
      <c r="R6519" s="24" t="str">
        <f t="shared" si="357"/>
        <v/>
      </c>
      <c r="S6519" s="24" t="str">
        <f t="shared" si="358"/>
        <v/>
      </c>
      <c r="T6519" t="str">
        <f t="shared" si="356"/>
        <v/>
      </c>
    </row>
    <row r="6520" spans="18:20">
      <c r="R6520" s="24" t="str">
        <f t="shared" si="357"/>
        <v/>
      </c>
      <c r="S6520" s="24" t="str">
        <f t="shared" si="358"/>
        <v/>
      </c>
      <c r="T6520" t="str">
        <f t="shared" si="356"/>
        <v/>
      </c>
    </row>
    <row r="6521" spans="18:20">
      <c r="R6521" s="24" t="str">
        <f t="shared" si="357"/>
        <v/>
      </c>
      <c r="S6521" s="24" t="str">
        <f t="shared" si="358"/>
        <v/>
      </c>
      <c r="T6521" t="str">
        <f t="shared" si="356"/>
        <v/>
      </c>
    </row>
    <row r="6522" spans="18:20">
      <c r="R6522" s="24" t="str">
        <f t="shared" si="357"/>
        <v/>
      </c>
      <c r="S6522" s="24" t="str">
        <f t="shared" si="358"/>
        <v/>
      </c>
      <c r="T6522" t="str">
        <f t="shared" si="356"/>
        <v/>
      </c>
    </row>
    <row r="6523" spans="18:20">
      <c r="R6523" s="24" t="str">
        <f t="shared" si="357"/>
        <v/>
      </c>
      <c r="S6523" s="24" t="str">
        <f t="shared" si="358"/>
        <v/>
      </c>
      <c r="T6523" t="str">
        <f t="shared" si="356"/>
        <v/>
      </c>
    </row>
    <row r="6524" spans="18:20">
      <c r="R6524" s="24" t="str">
        <f t="shared" si="357"/>
        <v/>
      </c>
      <c r="S6524" s="24" t="str">
        <f t="shared" si="358"/>
        <v/>
      </c>
      <c r="T6524" t="str">
        <f t="shared" si="356"/>
        <v/>
      </c>
    </row>
    <row r="6525" spans="18:20">
      <c r="R6525" s="24" t="str">
        <f t="shared" si="357"/>
        <v/>
      </c>
      <c r="S6525" s="24" t="str">
        <f t="shared" si="358"/>
        <v/>
      </c>
      <c r="T6525" t="str">
        <f t="shared" si="356"/>
        <v/>
      </c>
    </row>
    <row r="6526" spans="18:20">
      <c r="R6526" s="24" t="str">
        <f t="shared" si="357"/>
        <v/>
      </c>
      <c r="S6526" s="24" t="str">
        <f t="shared" si="358"/>
        <v/>
      </c>
      <c r="T6526" t="str">
        <f t="shared" si="356"/>
        <v/>
      </c>
    </row>
    <row r="6527" spans="18:20">
      <c r="R6527" s="24" t="str">
        <f t="shared" si="357"/>
        <v/>
      </c>
      <c r="S6527" s="24" t="str">
        <f t="shared" si="358"/>
        <v/>
      </c>
      <c r="T6527" t="str">
        <f t="shared" si="356"/>
        <v/>
      </c>
    </row>
    <row r="6528" spans="18:20">
      <c r="R6528" s="24" t="str">
        <f t="shared" si="357"/>
        <v/>
      </c>
      <c r="S6528" s="24" t="str">
        <f t="shared" si="358"/>
        <v/>
      </c>
      <c r="T6528" t="str">
        <f t="shared" si="356"/>
        <v/>
      </c>
    </row>
    <row r="6529" spans="18:20">
      <c r="R6529" s="24" t="str">
        <f t="shared" si="357"/>
        <v/>
      </c>
      <c r="S6529" s="24" t="str">
        <f t="shared" si="358"/>
        <v/>
      </c>
      <c r="T6529" t="str">
        <f t="shared" si="356"/>
        <v/>
      </c>
    </row>
    <row r="6530" spans="18:20">
      <c r="R6530" s="24" t="str">
        <f t="shared" si="357"/>
        <v/>
      </c>
      <c r="S6530" s="24" t="str">
        <f t="shared" si="358"/>
        <v/>
      </c>
      <c r="T6530" t="str">
        <f t="shared" si="356"/>
        <v/>
      </c>
    </row>
    <row r="6531" spans="18:20">
      <c r="R6531" s="24" t="str">
        <f t="shared" si="357"/>
        <v/>
      </c>
      <c r="S6531" s="24" t="str">
        <f t="shared" si="358"/>
        <v/>
      </c>
      <c r="T6531" t="str">
        <f t="shared" si="356"/>
        <v/>
      </c>
    </row>
    <row r="6532" spans="18:20">
      <c r="R6532" s="24" t="str">
        <f t="shared" si="357"/>
        <v/>
      </c>
      <c r="S6532" s="24" t="str">
        <f t="shared" si="358"/>
        <v/>
      </c>
      <c r="T6532" t="str">
        <f t="shared" si="356"/>
        <v/>
      </c>
    </row>
    <row r="6533" spans="18:20">
      <c r="R6533" s="24" t="str">
        <f t="shared" si="357"/>
        <v/>
      </c>
      <c r="S6533" s="24" t="str">
        <f t="shared" si="358"/>
        <v/>
      </c>
      <c r="T6533" t="str">
        <f t="shared" si="356"/>
        <v/>
      </c>
    </row>
    <row r="6534" spans="18:20">
      <c r="R6534" s="24" t="str">
        <f t="shared" si="357"/>
        <v/>
      </c>
      <c r="S6534" s="24" t="str">
        <f t="shared" si="358"/>
        <v/>
      </c>
      <c r="T6534" t="str">
        <f t="shared" si="356"/>
        <v/>
      </c>
    </row>
    <row r="6535" spans="18:20">
      <c r="R6535" s="24" t="str">
        <f t="shared" si="357"/>
        <v/>
      </c>
      <c r="S6535" s="24" t="str">
        <f t="shared" si="358"/>
        <v/>
      </c>
      <c r="T6535" t="str">
        <f t="shared" si="356"/>
        <v/>
      </c>
    </row>
    <row r="6536" spans="18:20">
      <c r="R6536" s="24" t="str">
        <f t="shared" si="357"/>
        <v/>
      </c>
      <c r="S6536" s="24" t="str">
        <f t="shared" si="358"/>
        <v/>
      </c>
      <c r="T6536" t="str">
        <f t="shared" si="356"/>
        <v/>
      </c>
    </row>
    <row r="6537" spans="18:20">
      <c r="R6537" s="24" t="str">
        <f t="shared" si="357"/>
        <v/>
      </c>
      <c r="S6537" s="24" t="str">
        <f t="shared" si="358"/>
        <v/>
      </c>
      <c r="T6537" t="str">
        <f t="shared" si="356"/>
        <v/>
      </c>
    </row>
    <row r="6538" spans="18:20">
      <c r="R6538" s="24" t="str">
        <f t="shared" si="357"/>
        <v/>
      </c>
      <c r="S6538" s="24" t="str">
        <f t="shared" si="358"/>
        <v/>
      </c>
      <c r="T6538" t="str">
        <f t="shared" si="356"/>
        <v/>
      </c>
    </row>
    <row r="6539" spans="18:20">
      <c r="R6539" s="24" t="str">
        <f t="shared" si="357"/>
        <v/>
      </c>
      <c r="S6539" s="24" t="str">
        <f t="shared" si="358"/>
        <v/>
      </c>
      <c r="T6539" t="str">
        <f t="shared" si="356"/>
        <v/>
      </c>
    </row>
    <row r="6540" spans="18:20">
      <c r="R6540" s="24" t="str">
        <f t="shared" si="357"/>
        <v/>
      </c>
      <c r="S6540" s="24" t="str">
        <f t="shared" si="358"/>
        <v/>
      </c>
      <c r="T6540" t="str">
        <f t="shared" si="356"/>
        <v/>
      </c>
    </row>
    <row r="6541" spans="18:20">
      <c r="R6541" s="24" t="str">
        <f t="shared" si="357"/>
        <v/>
      </c>
      <c r="S6541" s="24" t="str">
        <f t="shared" si="358"/>
        <v/>
      </c>
      <c r="T6541" t="str">
        <f t="shared" si="356"/>
        <v/>
      </c>
    </row>
    <row r="6542" spans="18:20">
      <c r="R6542" s="24" t="str">
        <f t="shared" si="357"/>
        <v/>
      </c>
      <c r="S6542" s="24" t="str">
        <f t="shared" si="358"/>
        <v/>
      </c>
      <c r="T6542" t="str">
        <f t="shared" si="356"/>
        <v/>
      </c>
    </row>
    <row r="6543" spans="18:20">
      <c r="R6543" s="24" t="str">
        <f t="shared" si="357"/>
        <v/>
      </c>
      <c r="S6543" s="24" t="str">
        <f t="shared" si="358"/>
        <v/>
      </c>
      <c r="T6543" t="str">
        <f t="shared" ref="T6543:T6606" si="359">IF(OR(C6543="",I6543&lt;&gt;"ENTRADA"),"",TEXT(B6543,"AAMMDD")&amp;"-"&amp;TEXT(VALUE(SUBSTITUTE(A6543,"MOV-","")),"000"))</f>
        <v/>
      </c>
    </row>
    <row r="6544" spans="18:20">
      <c r="R6544" s="24" t="str">
        <f t="shared" ref="R6544:R6607" si="360">IF(H6544="","",H6544&amp;I6544)</f>
        <v/>
      </c>
      <c r="S6544" s="24" t="str">
        <f t="shared" ref="S6544:S6607" si="361">IF(C6544="","",C6544&amp;I6544)</f>
        <v/>
      </c>
      <c r="T6544" t="str">
        <f t="shared" si="359"/>
        <v/>
      </c>
    </row>
    <row r="6545" spans="18:20">
      <c r="R6545" s="24" t="str">
        <f t="shared" si="360"/>
        <v/>
      </c>
      <c r="S6545" s="24" t="str">
        <f t="shared" si="361"/>
        <v/>
      </c>
      <c r="T6545" t="str">
        <f t="shared" si="359"/>
        <v/>
      </c>
    </row>
    <row r="6546" spans="18:20">
      <c r="R6546" s="24" t="str">
        <f t="shared" si="360"/>
        <v/>
      </c>
      <c r="S6546" s="24" t="str">
        <f t="shared" si="361"/>
        <v/>
      </c>
      <c r="T6546" t="str">
        <f t="shared" si="359"/>
        <v/>
      </c>
    </row>
    <row r="6547" spans="18:20">
      <c r="R6547" s="24" t="str">
        <f t="shared" si="360"/>
        <v/>
      </c>
      <c r="S6547" s="24" t="str">
        <f t="shared" si="361"/>
        <v/>
      </c>
      <c r="T6547" t="str">
        <f t="shared" si="359"/>
        <v/>
      </c>
    </row>
    <row r="6548" spans="18:20">
      <c r="R6548" s="24" t="str">
        <f t="shared" si="360"/>
        <v/>
      </c>
      <c r="S6548" s="24" t="str">
        <f t="shared" si="361"/>
        <v/>
      </c>
      <c r="T6548" t="str">
        <f t="shared" si="359"/>
        <v/>
      </c>
    </row>
    <row r="6549" spans="18:20">
      <c r="R6549" s="24" t="str">
        <f t="shared" si="360"/>
        <v/>
      </c>
      <c r="S6549" s="24" t="str">
        <f t="shared" si="361"/>
        <v/>
      </c>
      <c r="T6549" t="str">
        <f t="shared" si="359"/>
        <v/>
      </c>
    </row>
    <row r="6550" spans="18:20">
      <c r="R6550" s="24" t="str">
        <f t="shared" si="360"/>
        <v/>
      </c>
      <c r="S6550" s="24" t="str">
        <f t="shared" si="361"/>
        <v/>
      </c>
      <c r="T6550" t="str">
        <f t="shared" si="359"/>
        <v/>
      </c>
    </row>
    <row r="6551" spans="18:20">
      <c r="R6551" s="24" t="str">
        <f t="shared" si="360"/>
        <v/>
      </c>
      <c r="S6551" s="24" t="str">
        <f t="shared" si="361"/>
        <v/>
      </c>
      <c r="T6551" t="str">
        <f t="shared" si="359"/>
        <v/>
      </c>
    </row>
    <row r="6552" spans="18:20">
      <c r="R6552" s="24" t="str">
        <f t="shared" si="360"/>
        <v/>
      </c>
      <c r="S6552" s="24" t="str">
        <f t="shared" si="361"/>
        <v/>
      </c>
      <c r="T6552" t="str">
        <f t="shared" si="359"/>
        <v/>
      </c>
    </row>
    <row r="6553" spans="18:20">
      <c r="R6553" s="24" t="str">
        <f t="shared" si="360"/>
        <v/>
      </c>
      <c r="S6553" s="24" t="str">
        <f t="shared" si="361"/>
        <v/>
      </c>
      <c r="T6553" t="str">
        <f t="shared" si="359"/>
        <v/>
      </c>
    </row>
    <row r="6554" spans="18:20">
      <c r="R6554" s="24" t="str">
        <f t="shared" si="360"/>
        <v/>
      </c>
      <c r="S6554" s="24" t="str">
        <f t="shared" si="361"/>
        <v/>
      </c>
      <c r="T6554" t="str">
        <f t="shared" si="359"/>
        <v/>
      </c>
    </row>
    <row r="6555" spans="18:20">
      <c r="R6555" s="24" t="str">
        <f t="shared" si="360"/>
        <v/>
      </c>
      <c r="S6555" s="24" t="str">
        <f t="shared" si="361"/>
        <v/>
      </c>
      <c r="T6555" t="str">
        <f t="shared" si="359"/>
        <v/>
      </c>
    </row>
    <row r="6556" spans="18:20">
      <c r="R6556" s="24" t="str">
        <f t="shared" si="360"/>
        <v/>
      </c>
      <c r="S6556" s="24" t="str">
        <f t="shared" si="361"/>
        <v/>
      </c>
      <c r="T6556" t="str">
        <f t="shared" si="359"/>
        <v/>
      </c>
    </row>
    <row r="6557" spans="18:20">
      <c r="R6557" s="24" t="str">
        <f t="shared" si="360"/>
        <v/>
      </c>
      <c r="S6557" s="24" t="str">
        <f t="shared" si="361"/>
        <v/>
      </c>
      <c r="T6557" t="str">
        <f t="shared" si="359"/>
        <v/>
      </c>
    </row>
    <row r="6558" spans="18:20">
      <c r="R6558" s="24" t="str">
        <f t="shared" si="360"/>
        <v/>
      </c>
      <c r="S6558" s="24" t="str">
        <f t="shared" si="361"/>
        <v/>
      </c>
      <c r="T6558" t="str">
        <f t="shared" si="359"/>
        <v/>
      </c>
    </row>
    <row r="6559" spans="18:20">
      <c r="R6559" s="24" t="str">
        <f t="shared" si="360"/>
        <v/>
      </c>
      <c r="S6559" s="24" t="str">
        <f t="shared" si="361"/>
        <v/>
      </c>
      <c r="T6559" t="str">
        <f t="shared" si="359"/>
        <v/>
      </c>
    </row>
    <row r="6560" spans="18:20">
      <c r="R6560" s="24" t="str">
        <f t="shared" si="360"/>
        <v/>
      </c>
      <c r="S6560" s="24" t="str">
        <f t="shared" si="361"/>
        <v/>
      </c>
      <c r="T6560" t="str">
        <f t="shared" si="359"/>
        <v/>
      </c>
    </row>
    <row r="6561" spans="18:20">
      <c r="R6561" s="24" t="str">
        <f t="shared" si="360"/>
        <v/>
      </c>
      <c r="S6561" s="24" t="str">
        <f t="shared" si="361"/>
        <v/>
      </c>
      <c r="T6561" t="str">
        <f t="shared" si="359"/>
        <v/>
      </c>
    </row>
    <row r="6562" spans="18:20">
      <c r="R6562" s="24" t="str">
        <f t="shared" si="360"/>
        <v/>
      </c>
      <c r="S6562" s="24" t="str">
        <f t="shared" si="361"/>
        <v/>
      </c>
      <c r="T6562" t="str">
        <f t="shared" si="359"/>
        <v/>
      </c>
    </row>
    <row r="6563" spans="18:20">
      <c r="R6563" s="24" t="str">
        <f t="shared" si="360"/>
        <v/>
      </c>
      <c r="S6563" s="24" t="str">
        <f t="shared" si="361"/>
        <v/>
      </c>
      <c r="T6563" t="str">
        <f t="shared" si="359"/>
        <v/>
      </c>
    </row>
    <row r="6564" spans="18:20">
      <c r="R6564" s="24" t="str">
        <f t="shared" si="360"/>
        <v/>
      </c>
      <c r="S6564" s="24" t="str">
        <f t="shared" si="361"/>
        <v/>
      </c>
      <c r="T6564" t="str">
        <f t="shared" si="359"/>
        <v/>
      </c>
    </row>
    <row r="6565" spans="18:20">
      <c r="R6565" s="24" t="str">
        <f t="shared" si="360"/>
        <v/>
      </c>
      <c r="S6565" s="24" t="str">
        <f t="shared" si="361"/>
        <v/>
      </c>
      <c r="T6565" t="str">
        <f t="shared" si="359"/>
        <v/>
      </c>
    </row>
    <row r="6566" spans="18:20">
      <c r="R6566" s="24" t="str">
        <f t="shared" si="360"/>
        <v/>
      </c>
      <c r="S6566" s="24" t="str">
        <f t="shared" si="361"/>
        <v/>
      </c>
      <c r="T6566" t="str">
        <f t="shared" si="359"/>
        <v/>
      </c>
    </row>
    <row r="6567" spans="18:20">
      <c r="R6567" s="24" t="str">
        <f t="shared" si="360"/>
        <v/>
      </c>
      <c r="S6567" s="24" t="str">
        <f t="shared" si="361"/>
        <v/>
      </c>
      <c r="T6567" t="str">
        <f t="shared" si="359"/>
        <v/>
      </c>
    </row>
    <row r="6568" spans="18:20">
      <c r="R6568" s="24" t="str">
        <f t="shared" si="360"/>
        <v/>
      </c>
      <c r="S6568" s="24" t="str">
        <f t="shared" si="361"/>
        <v/>
      </c>
      <c r="T6568" t="str">
        <f t="shared" si="359"/>
        <v/>
      </c>
    </row>
    <row r="6569" spans="18:20">
      <c r="R6569" s="24" t="str">
        <f t="shared" si="360"/>
        <v/>
      </c>
      <c r="S6569" s="24" t="str">
        <f t="shared" si="361"/>
        <v/>
      </c>
      <c r="T6569" t="str">
        <f t="shared" si="359"/>
        <v/>
      </c>
    </row>
    <row r="6570" spans="18:20">
      <c r="R6570" s="24" t="str">
        <f t="shared" si="360"/>
        <v/>
      </c>
      <c r="S6570" s="24" t="str">
        <f t="shared" si="361"/>
        <v/>
      </c>
      <c r="T6570" t="str">
        <f t="shared" si="359"/>
        <v/>
      </c>
    </row>
    <row r="6571" spans="18:20">
      <c r="R6571" s="24" t="str">
        <f t="shared" si="360"/>
        <v/>
      </c>
      <c r="S6571" s="24" t="str">
        <f t="shared" si="361"/>
        <v/>
      </c>
      <c r="T6571" t="str">
        <f t="shared" si="359"/>
        <v/>
      </c>
    </row>
    <row r="6572" spans="18:20">
      <c r="R6572" s="24" t="str">
        <f t="shared" si="360"/>
        <v/>
      </c>
      <c r="S6572" s="24" t="str">
        <f t="shared" si="361"/>
        <v/>
      </c>
      <c r="T6572" t="str">
        <f t="shared" si="359"/>
        <v/>
      </c>
    </row>
    <row r="6573" spans="18:20">
      <c r="R6573" s="24" t="str">
        <f t="shared" si="360"/>
        <v/>
      </c>
      <c r="S6573" s="24" t="str">
        <f t="shared" si="361"/>
        <v/>
      </c>
      <c r="T6573" t="str">
        <f t="shared" si="359"/>
        <v/>
      </c>
    </row>
    <row r="6574" spans="18:20">
      <c r="R6574" s="24" t="str">
        <f t="shared" si="360"/>
        <v/>
      </c>
      <c r="S6574" s="24" t="str">
        <f t="shared" si="361"/>
        <v/>
      </c>
      <c r="T6574" t="str">
        <f t="shared" si="359"/>
        <v/>
      </c>
    </row>
    <row r="6575" spans="18:20">
      <c r="R6575" s="24" t="str">
        <f t="shared" si="360"/>
        <v/>
      </c>
      <c r="S6575" s="24" t="str">
        <f t="shared" si="361"/>
        <v/>
      </c>
      <c r="T6575" t="str">
        <f t="shared" si="359"/>
        <v/>
      </c>
    </row>
    <row r="6576" spans="18:20">
      <c r="R6576" s="24" t="str">
        <f t="shared" si="360"/>
        <v/>
      </c>
      <c r="S6576" s="24" t="str">
        <f t="shared" si="361"/>
        <v/>
      </c>
      <c r="T6576" t="str">
        <f t="shared" si="359"/>
        <v/>
      </c>
    </row>
    <row r="6577" spans="18:20">
      <c r="R6577" s="24" t="str">
        <f t="shared" si="360"/>
        <v/>
      </c>
      <c r="S6577" s="24" t="str">
        <f t="shared" si="361"/>
        <v/>
      </c>
      <c r="T6577" t="str">
        <f t="shared" si="359"/>
        <v/>
      </c>
    </row>
    <row r="6578" spans="18:20">
      <c r="R6578" s="24" t="str">
        <f t="shared" si="360"/>
        <v/>
      </c>
      <c r="S6578" s="24" t="str">
        <f t="shared" si="361"/>
        <v/>
      </c>
      <c r="T6578" t="str">
        <f t="shared" si="359"/>
        <v/>
      </c>
    </row>
    <row r="6579" spans="18:20">
      <c r="R6579" s="24" t="str">
        <f t="shared" si="360"/>
        <v/>
      </c>
      <c r="S6579" s="24" t="str">
        <f t="shared" si="361"/>
        <v/>
      </c>
      <c r="T6579" t="str">
        <f t="shared" si="359"/>
        <v/>
      </c>
    </row>
    <row r="6580" spans="18:20">
      <c r="R6580" s="24" t="str">
        <f t="shared" si="360"/>
        <v/>
      </c>
      <c r="S6580" s="24" t="str">
        <f t="shared" si="361"/>
        <v/>
      </c>
      <c r="T6580" t="str">
        <f t="shared" si="359"/>
        <v/>
      </c>
    </row>
    <row r="6581" spans="18:20">
      <c r="R6581" s="24" t="str">
        <f t="shared" si="360"/>
        <v/>
      </c>
      <c r="S6581" s="24" t="str">
        <f t="shared" si="361"/>
        <v/>
      </c>
      <c r="T6581" t="str">
        <f t="shared" si="359"/>
        <v/>
      </c>
    </row>
    <row r="6582" spans="18:20">
      <c r="R6582" s="24" t="str">
        <f t="shared" si="360"/>
        <v/>
      </c>
      <c r="S6582" s="24" t="str">
        <f t="shared" si="361"/>
        <v/>
      </c>
      <c r="T6582" t="str">
        <f t="shared" si="359"/>
        <v/>
      </c>
    </row>
    <row r="6583" spans="18:20">
      <c r="R6583" s="24" t="str">
        <f t="shared" si="360"/>
        <v/>
      </c>
      <c r="S6583" s="24" t="str">
        <f t="shared" si="361"/>
        <v/>
      </c>
      <c r="T6583" t="str">
        <f t="shared" si="359"/>
        <v/>
      </c>
    </row>
    <row r="6584" spans="18:20">
      <c r="R6584" s="24" t="str">
        <f t="shared" si="360"/>
        <v/>
      </c>
      <c r="S6584" s="24" t="str">
        <f t="shared" si="361"/>
        <v/>
      </c>
      <c r="T6584" t="str">
        <f t="shared" si="359"/>
        <v/>
      </c>
    </row>
    <row r="6585" spans="18:20">
      <c r="R6585" s="24" t="str">
        <f t="shared" si="360"/>
        <v/>
      </c>
      <c r="S6585" s="24" t="str">
        <f t="shared" si="361"/>
        <v/>
      </c>
      <c r="T6585" t="str">
        <f t="shared" si="359"/>
        <v/>
      </c>
    </row>
    <row r="6586" spans="18:20">
      <c r="R6586" s="24" t="str">
        <f t="shared" si="360"/>
        <v/>
      </c>
      <c r="S6586" s="24" t="str">
        <f t="shared" si="361"/>
        <v/>
      </c>
      <c r="T6586" t="str">
        <f t="shared" si="359"/>
        <v/>
      </c>
    </row>
    <row r="6587" spans="18:20">
      <c r="R6587" s="24" t="str">
        <f t="shared" si="360"/>
        <v/>
      </c>
      <c r="S6587" s="24" t="str">
        <f t="shared" si="361"/>
        <v/>
      </c>
      <c r="T6587" t="str">
        <f t="shared" si="359"/>
        <v/>
      </c>
    </row>
    <row r="6588" spans="18:20">
      <c r="R6588" s="24" t="str">
        <f t="shared" si="360"/>
        <v/>
      </c>
      <c r="S6588" s="24" t="str">
        <f t="shared" si="361"/>
        <v/>
      </c>
      <c r="T6588" t="str">
        <f t="shared" si="359"/>
        <v/>
      </c>
    </row>
    <row r="6589" spans="18:20">
      <c r="R6589" s="24" t="str">
        <f t="shared" si="360"/>
        <v/>
      </c>
      <c r="S6589" s="24" t="str">
        <f t="shared" si="361"/>
        <v/>
      </c>
      <c r="T6589" t="str">
        <f t="shared" si="359"/>
        <v/>
      </c>
    </row>
    <row r="6590" spans="18:20">
      <c r="R6590" s="24" t="str">
        <f t="shared" si="360"/>
        <v/>
      </c>
      <c r="S6590" s="24" t="str">
        <f t="shared" si="361"/>
        <v/>
      </c>
      <c r="T6590" t="str">
        <f t="shared" si="359"/>
        <v/>
      </c>
    </row>
    <row r="6591" spans="18:20">
      <c r="R6591" s="24" t="str">
        <f t="shared" si="360"/>
        <v/>
      </c>
      <c r="S6591" s="24" t="str">
        <f t="shared" si="361"/>
        <v/>
      </c>
      <c r="T6591" t="str">
        <f t="shared" si="359"/>
        <v/>
      </c>
    </row>
    <row r="6592" spans="18:20">
      <c r="R6592" s="24" t="str">
        <f t="shared" si="360"/>
        <v/>
      </c>
      <c r="S6592" s="24" t="str">
        <f t="shared" si="361"/>
        <v/>
      </c>
      <c r="T6592" t="str">
        <f t="shared" si="359"/>
        <v/>
      </c>
    </row>
    <row r="6593" spans="18:20">
      <c r="R6593" s="24" t="str">
        <f t="shared" si="360"/>
        <v/>
      </c>
      <c r="S6593" s="24" t="str">
        <f t="shared" si="361"/>
        <v/>
      </c>
      <c r="T6593" t="str">
        <f t="shared" si="359"/>
        <v/>
      </c>
    </row>
    <row r="6594" spans="18:20">
      <c r="R6594" s="24" t="str">
        <f t="shared" si="360"/>
        <v/>
      </c>
      <c r="S6594" s="24" t="str">
        <f t="shared" si="361"/>
        <v/>
      </c>
      <c r="T6594" t="str">
        <f t="shared" si="359"/>
        <v/>
      </c>
    </row>
    <row r="6595" spans="18:20">
      <c r="R6595" s="24" t="str">
        <f t="shared" si="360"/>
        <v/>
      </c>
      <c r="S6595" s="24" t="str">
        <f t="shared" si="361"/>
        <v/>
      </c>
      <c r="T6595" t="str">
        <f t="shared" si="359"/>
        <v/>
      </c>
    </row>
    <row r="6596" spans="18:20">
      <c r="R6596" s="24" t="str">
        <f t="shared" si="360"/>
        <v/>
      </c>
      <c r="S6596" s="24" t="str">
        <f t="shared" si="361"/>
        <v/>
      </c>
      <c r="T6596" t="str">
        <f t="shared" si="359"/>
        <v/>
      </c>
    </row>
    <row r="6597" spans="18:20">
      <c r="R6597" s="24" t="str">
        <f t="shared" si="360"/>
        <v/>
      </c>
      <c r="S6597" s="24" t="str">
        <f t="shared" si="361"/>
        <v/>
      </c>
      <c r="T6597" t="str">
        <f t="shared" si="359"/>
        <v/>
      </c>
    </row>
    <row r="6598" spans="18:20">
      <c r="R6598" s="24" t="str">
        <f t="shared" si="360"/>
        <v/>
      </c>
      <c r="S6598" s="24" t="str">
        <f t="shared" si="361"/>
        <v/>
      </c>
      <c r="T6598" t="str">
        <f t="shared" si="359"/>
        <v/>
      </c>
    </row>
    <row r="6599" spans="18:20">
      <c r="R6599" s="24" t="str">
        <f t="shared" si="360"/>
        <v/>
      </c>
      <c r="S6599" s="24" t="str">
        <f t="shared" si="361"/>
        <v/>
      </c>
      <c r="T6599" t="str">
        <f t="shared" si="359"/>
        <v/>
      </c>
    </row>
    <row r="6600" spans="18:20">
      <c r="R6600" s="24" t="str">
        <f t="shared" si="360"/>
        <v/>
      </c>
      <c r="S6600" s="24" t="str">
        <f t="shared" si="361"/>
        <v/>
      </c>
      <c r="T6600" t="str">
        <f t="shared" si="359"/>
        <v/>
      </c>
    </row>
    <row r="6601" spans="18:20">
      <c r="R6601" s="24" t="str">
        <f t="shared" si="360"/>
        <v/>
      </c>
      <c r="S6601" s="24" t="str">
        <f t="shared" si="361"/>
        <v/>
      </c>
      <c r="T6601" t="str">
        <f t="shared" si="359"/>
        <v/>
      </c>
    </row>
    <row r="6602" spans="18:20">
      <c r="R6602" s="24" t="str">
        <f t="shared" si="360"/>
        <v/>
      </c>
      <c r="S6602" s="24" t="str">
        <f t="shared" si="361"/>
        <v/>
      </c>
      <c r="T6602" t="str">
        <f t="shared" si="359"/>
        <v/>
      </c>
    </row>
    <row r="6603" spans="18:20">
      <c r="R6603" s="24" t="str">
        <f t="shared" si="360"/>
        <v/>
      </c>
      <c r="S6603" s="24" t="str">
        <f t="shared" si="361"/>
        <v/>
      </c>
      <c r="T6603" t="str">
        <f t="shared" si="359"/>
        <v/>
      </c>
    </row>
    <row r="6604" spans="18:20">
      <c r="R6604" s="24" t="str">
        <f t="shared" si="360"/>
        <v/>
      </c>
      <c r="S6604" s="24" t="str">
        <f t="shared" si="361"/>
        <v/>
      </c>
      <c r="T6604" t="str">
        <f t="shared" si="359"/>
        <v/>
      </c>
    </row>
    <row r="6605" spans="18:20">
      <c r="R6605" s="24" t="str">
        <f t="shared" si="360"/>
        <v/>
      </c>
      <c r="S6605" s="24" t="str">
        <f t="shared" si="361"/>
        <v/>
      </c>
      <c r="T6605" t="str">
        <f t="shared" si="359"/>
        <v/>
      </c>
    </row>
    <row r="6606" spans="18:20">
      <c r="R6606" s="24" t="str">
        <f t="shared" si="360"/>
        <v/>
      </c>
      <c r="S6606" s="24" t="str">
        <f t="shared" si="361"/>
        <v/>
      </c>
      <c r="T6606" t="str">
        <f t="shared" si="359"/>
        <v/>
      </c>
    </row>
    <row r="6607" spans="18:20">
      <c r="R6607" s="24" t="str">
        <f t="shared" si="360"/>
        <v/>
      </c>
      <c r="S6607" s="24" t="str">
        <f t="shared" si="361"/>
        <v/>
      </c>
      <c r="T6607" t="str">
        <f t="shared" ref="T6607:T6670" si="362">IF(OR(C6607="",I6607&lt;&gt;"ENTRADA"),"",TEXT(B6607,"AAMMDD")&amp;"-"&amp;TEXT(VALUE(SUBSTITUTE(A6607,"MOV-","")),"000"))</f>
        <v/>
      </c>
    </row>
    <row r="6608" spans="18:20">
      <c r="R6608" s="24" t="str">
        <f t="shared" ref="R6608:R6671" si="363">IF(H6608="","",H6608&amp;I6608)</f>
        <v/>
      </c>
      <c r="S6608" s="24" t="str">
        <f t="shared" ref="S6608:S6671" si="364">IF(C6608="","",C6608&amp;I6608)</f>
        <v/>
      </c>
      <c r="T6608" t="str">
        <f t="shared" si="362"/>
        <v/>
      </c>
    </row>
    <row r="6609" spans="18:20">
      <c r="R6609" s="24" t="str">
        <f t="shared" si="363"/>
        <v/>
      </c>
      <c r="S6609" s="24" t="str">
        <f t="shared" si="364"/>
        <v/>
      </c>
      <c r="T6609" t="str">
        <f t="shared" si="362"/>
        <v/>
      </c>
    </row>
    <row r="6610" spans="18:20">
      <c r="R6610" s="24" t="str">
        <f t="shared" si="363"/>
        <v/>
      </c>
      <c r="S6610" s="24" t="str">
        <f t="shared" si="364"/>
        <v/>
      </c>
      <c r="T6610" t="str">
        <f t="shared" si="362"/>
        <v/>
      </c>
    </row>
    <row r="6611" spans="18:20">
      <c r="R6611" s="24" t="str">
        <f t="shared" si="363"/>
        <v/>
      </c>
      <c r="S6611" s="24" t="str">
        <f t="shared" si="364"/>
        <v/>
      </c>
      <c r="T6611" t="str">
        <f t="shared" si="362"/>
        <v/>
      </c>
    </row>
    <row r="6612" spans="18:20">
      <c r="R6612" s="24" t="str">
        <f t="shared" si="363"/>
        <v/>
      </c>
      <c r="S6612" s="24" t="str">
        <f t="shared" si="364"/>
        <v/>
      </c>
      <c r="T6612" t="str">
        <f t="shared" si="362"/>
        <v/>
      </c>
    </row>
    <row r="6613" spans="18:20">
      <c r="R6613" s="24" t="str">
        <f t="shared" si="363"/>
        <v/>
      </c>
      <c r="S6613" s="24" t="str">
        <f t="shared" si="364"/>
        <v/>
      </c>
      <c r="T6613" t="str">
        <f t="shared" si="362"/>
        <v/>
      </c>
    </row>
    <row r="6614" spans="18:20">
      <c r="R6614" s="24" t="str">
        <f t="shared" si="363"/>
        <v/>
      </c>
      <c r="S6614" s="24" t="str">
        <f t="shared" si="364"/>
        <v/>
      </c>
      <c r="T6614" t="str">
        <f t="shared" si="362"/>
        <v/>
      </c>
    </row>
    <row r="6615" spans="18:20">
      <c r="R6615" s="24" t="str">
        <f t="shared" si="363"/>
        <v/>
      </c>
      <c r="S6615" s="24" t="str">
        <f t="shared" si="364"/>
        <v/>
      </c>
      <c r="T6615" t="str">
        <f t="shared" si="362"/>
        <v/>
      </c>
    </row>
    <row r="6616" spans="18:20">
      <c r="R6616" s="24" t="str">
        <f t="shared" si="363"/>
        <v/>
      </c>
      <c r="S6616" s="24" t="str">
        <f t="shared" si="364"/>
        <v/>
      </c>
      <c r="T6616" t="str">
        <f t="shared" si="362"/>
        <v/>
      </c>
    </row>
    <row r="6617" spans="18:20">
      <c r="R6617" s="24" t="str">
        <f t="shared" si="363"/>
        <v/>
      </c>
      <c r="S6617" s="24" t="str">
        <f t="shared" si="364"/>
        <v/>
      </c>
      <c r="T6617" t="str">
        <f t="shared" si="362"/>
        <v/>
      </c>
    </row>
    <row r="6618" spans="18:20">
      <c r="R6618" s="24" t="str">
        <f t="shared" si="363"/>
        <v/>
      </c>
      <c r="S6618" s="24" t="str">
        <f t="shared" si="364"/>
        <v/>
      </c>
      <c r="T6618" t="str">
        <f t="shared" si="362"/>
        <v/>
      </c>
    </row>
    <row r="6619" spans="18:20">
      <c r="R6619" s="24" t="str">
        <f t="shared" si="363"/>
        <v/>
      </c>
      <c r="S6619" s="24" t="str">
        <f t="shared" si="364"/>
        <v/>
      </c>
      <c r="T6619" t="str">
        <f t="shared" si="362"/>
        <v/>
      </c>
    </row>
    <row r="6620" spans="18:20">
      <c r="R6620" s="24" t="str">
        <f t="shared" si="363"/>
        <v/>
      </c>
      <c r="S6620" s="24" t="str">
        <f t="shared" si="364"/>
        <v/>
      </c>
      <c r="T6620" t="str">
        <f t="shared" si="362"/>
        <v/>
      </c>
    </row>
    <row r="6621" spans="18:20">
      <c r="R6621" s="24" t="str">
        <f t="shared" si="363"/>
        <v/>
      </c>
      <c r="S6621" s="24" t="str">
        <f t="shared" si="364"/>
        <v/>
      </c>
      <c r="T6621" t="str">
        <f t="shared" si="362"/>
        <v/>
      </c>
    </row>
    <row r="6622" spans="18:20">
      <c r="R6622" s="24" t="str">
        <f t="shared" si="363"/>
        <v/>
      </c>
      <c r="S6622" s="24" t="str">
        <f t="shared" si="364"/>
        <v/>
      </c>
      <c r="T6622" t="str">
        <f t="shared" si="362"/>
        <v/>
      </c>
    </row>
    <row r="6623" spans="18:20">
      <c r="R6623" s="24" t="str">
        <f t="shared" si="363"/>
        <v/>
      </c>
      <c r="S6623" s="24" t="str">
        <f t="shared" si="364"/>
        <v/>
      </c>
      <c r="T6623" t="str">
        <f t="shared" si="362"/>
        <v/>
      </c>
    </row>
    <row r="6624" spans="18:20">
      <c r="R6624" s="24" t="str">
        <f t="shared" si="363"/>
        <v/>
      </c>
      <c r="S6624" s="24" t="str">
        <f t="shared" si="364"/>
        <v/>
      </c>
      <c r="T6624" t="str">
        <f t="shared" si="362"/>
        <v/>
      </c>
    </row>
    <row r="6625" spans="18:20">
      <c r="R6625" s="24" t="str">
        <f t="shared" si="363"/>
        <v/>
      </c>
      <c r="S6625" s="24" t="str">
        <f t="shared" si="364"/>
        <v/>
      </c>
      <c r="T6625" t="str">
        <f t="shared" si="362"/>
        <v/>
      </c>
    </row>
    <row r="6626" spans="18:20">
      <c r="R6626" s="24" t="str">
        <f t="shared" si="363"/>
        <v/>
      </c>
      <c r="S6626" s="24" t="str">
        <f t="shared" si="364"/>
        <v/>
      </c>
      <c r="T6626" t="str">
        <f t="shared" si="362"/>
        <v/>
      </c>
    </row>
    <row r="6627" spans="18:20">
      <c r="R6627" s="24" t="str">
        <f t="shared" si="363"/>
        <v/>
      </c>
      <c r="S6627" s="24" t="str">
        <f t="shared" si="364"/>
        <v/>
      </c>
      <c r="T6627" t="str">
        <f t="shared" si="362"/>
        <v/>
      </c>
    </row>
    <row r="6628" spans="18:20">
      <c r="R6628" s="24" t="str">
        <f t="shared" si="363"/>
        <v/>
      </c>
      <c r="S6628" s="24" t="str">
        <f t="shared" si="364"/>
        <v/>
      </c>
      <c r="T6628" t="str">
        <f t="shared" si="362"/>
        <v/>
      </c>
    </row>
    <row r="6629" spans="18:20">
      <c r="R6629" s="24" t="str">
        <f t="shared" si="363"/>
        <v/>
      </c>
      <c r="S6629" s="24" t="str">
        <f t="shared" si="364"/>
        <v/>
      </c>
      <c r="T6629" t="str">
        <f t="shared" si="362"/>
        <v/>
      </c>
    </row>
    <row r="6630" spans="18:20">
      <c r="R6630" s="24" t="str">
        <f t="shared" si="363"/>
        <v/>
      </c>
      <c r="S6630" s="24" t="str">
        <f t="shared" si="364"/>
        <v/>
      </c>
      <c r="T6630" t="str">
        <f t="shared" si="362"/>
        <v/>
      </c>
    </row>
    <row r="6631" spans="18:20">
      <c r="R6631" s="24" t="str">
        <f t="shared" si="363"/>
        <v/>
      </c>
      <c r="S6631" s="24" t="str">
        <f t="shared" si="364"/>
        <v/>
      </c>
      <c r="T6631" t="str">
        <f t="shared" si="362"/>
        <v/>
      </c>
    </row>
    <row r="6632" spans="18:20">
      <c r="R6632" s="24" t="str">
        <f t="shared" si="363"/>
        <v/>
      </c>
      <c r="S6632" s="24" t="str">
        <f t="shared" si="364"/>
        <v/>
      </c>
      <c r="T6632" t="str">
        <f t="shared" si="362"/>
        <v/>
      </c>
    </row>
    <row r="6633" spans="18:20">
      <c r="R6633" s="24" t="str">
        <f t="shared" si="363"/>
        <v/>
      </c>
      <c r="S6633" s="24" t="str">
        <f t="shared" si="364"/>
        <v/>
      </c>
      <c r="T6633" t="str">
        <f t="shared" si="362"/>
        <v/>
      </c>
    </row>
    <row r="6634" spans="18:20">
      <c r="R6634" s="24" t="str">
        <f t="shared" si="363"/>
        <v/>
      </c>
      <c r="S6634" s="24" t="str">
        <f t="shared" si="364"/>
        <v/>
      </c>
      <c r="T6634" t="str">
        <f t="shared" si="362"/>
        <v/>
      </c>
    </row>
    <row r="6635" spans="18:20">
      <c r="R6635" s="24" t="str">
        <f t="shared" si="363"/>
        <v/>
      </c>
      <c r="S6635" s="24" t="str">
        <f t="shared" si="364"/>
        <v/>
      </c>
      <c r="T6635" t="str">
        <f t="shared" si="362"/>
        <v/>
      </c>
    </row>
    <row r="6636" spans="18:20">
      <c r="R6636" s="24" t="str">
        <f t="shared" si="363"/>
        <v/>
      </c>
      <c r="S6636" s="24" t="str">
        <f t="shared" si="364"/>
        <v/>
      </c>
      <c r="T6636" t="str">
        <f t="shared" si="362"/>
        <v/>
      </c>
    </row>
    <row r="6637" spans="18:20">
      <c r="R6637" s="24" t="str">
        <f t="shared" si="363"/>
        <v/>
      </c>
      <c r="S6637" s="24" t="str">
        <f t="shared" si="364"/>
        <v/>
      </c>
      <c r="T6637" t="str">
        <f t="shared" si="362"/>
        <v/>
      </c>
    </row>
    <row r="6638" spans="18:20">
      <c r="R6638" s="24" t="str">
        <f t="shared" si="363"/>
        <v/>
      </c>
      <c r="S6638" s="24" t="str">
        <f t="shared" si="364"/>
        <v/>
      </c>
      <c r="T6638" t="str">
        <f t="shared" si="362"/>
        <v/>
      </c>
    </row>
    <row r="6639" spans="18:20">
      <c r="R6639" s="24" t="str">
        <f t="shared" si="363"/>
        <v/>
      </c>
      <c r="S6639" s="24" t="str">
        <f t="shared" si="364"/>
        <v/>
      </c>
      <c r="T6639" t="str">
        <f t="shared" si="362"/>
        <v/>
      </c>
    </row>
    <row r="6640" spans="18:20">
      <c r="R6640" s="24" t="str">
        <f t="shared" si="363"/>
        <v/>
      </c>
      <c r="S6640" s="24" t="str">
        <f t="shared" si="364"/>
        <v/>
      </c>
      <c r="T6640" t="str">
        <f t="shared" si="362"/>
        <v/>
      </c>
    </row>
    <row r="6641" spans="18:20">
      <c r="R6641" s="24" t="str">
        <f t="shared" si="363"/>
        <v/>
      </c>
      <c r="S6641" s="24" t="str">
        <f t="shared" si="364"/>
        <v/>
      </c>
      <c r="T6641" t="str">
        <f t="shared" si="362"/>
        <v/>
      </c>
    </row>
    <row r="6642" spans="18:20">
      <c r="R6642" s="24" t="str">
        <f t="shared" si="363"/>
        <v/>
      </c>
      <c r="S6642" s="24" t="str">
        <f t="shared" si="364"/>
        <v/>
      </c>
      <c r="T6642" t="str">
        <f t="shared" si="362"/>
        <v/>
      </c>
    </row>
    <row r="6643" spans="18:20">
      <c r="R6643" s="24" t="str">
        <f t="shared" si="363"/>
        <v/>
      </c>
      <c r="S6643" s="24" t="str">
        <f t="shared" si="364"/>
        <v/>
      </c>
      <c r="T6643" t="str">
        <f t="shared" si="362"/>
        <v/>
      </c>
    </row>
    <row r="6644" spans="18:20">
      <c r="R6644" s="24" t="str">
        <f t="shared" si="363"/>
        <v/>
      </c>
      <c r="S6644" s="24" t="str">
        <f t="shared" si="364"/>
        <v/>
      </c>
      <c r="T6644" t="str">
        <f t="shared" si="362"/>
        <v/>
      </c>
    </row>
    <row r="6645" spans="18:20">
      <c r="R6645" s="24" t="str">
        <f t="shared" si="363"/>
        <v/>
      </c>
      <c r="S6645" s="24" t="str">
        <f t="shared" si="364"/>
        <v/>
      </c>
      <c r="T6645" t="str">
        <f t="shared" si="362"/>
        <v/>
      </c>
    </row>
    <row r="6646" spans="18:20">
      <c r="R6646" s="24" t="str">
        <f t="shared" si="363"/>
        <v/>
      </c>
      <c r="S6646" s="24" t="str">
        <f t="shared" si="364"/>
        <v/>
      </c>
      <c r="T6646" t="str">
        <f t="shared" si="362"/>
        <v/>
      </c>
    </row>
    <row r="6647" spans="18:20">
      <c r="R6647" s="24" t="str">
        <f t="shared" si="363"/>
        <v/>
      </c>
      <c r="S6647" s="24" t="str">
        <f t="shared" si="364"/>
        <v/>
      </c>
      <c r="T6647" t="str">
        <f t="shared" si="362"/>
        <v/>
      </c>
    </row>
    <row r="6648" spans="18:20">
      <c r="R6648" s="24" t="str">
        <f t="shared" si="363"/>
        <v/>
      </c>
      <c r="S6648" s="24" t="str">
        <f t="shared" si="364"/>
        <v/>
      </c>
      <c r="T6648" t="str">
        <f t="shared" si="362"/>
        <v/>
      </c>
    </row>
    <row r="6649" spans="18:20">
      <c r="R6649" s="24" t="str">
        <f t="shared" si="363"/>
        <v/>
      </c>
      <c r="S6649" s="24" t="str">
        <f t="shared" si="364"/>
        <v/>
      </c>
      <c r="T6649" t="str">
        <f t="shared" si="362"/>
        <v/>
      </c>
    </row>
    <row r="6650" spans="18:20">
      <c r="R6650" s="24" t="str">
        <f t="shared" si="363"/>
        <v/>
      </c>
      <c r="S6650" s="24" t="str">
        <f t="shared" si="364"/>
        <v/>
      </c>
      <c r="T6650" t="str">
        <f t="shared" si="362"/>
        <v/>
      </c>
    </row>
    <row r="6651" spans="18:20">
      <c r="R6651" s="24" t="str">
        <f t="shared" si="363"/>
        <v/>
      </c>
      <c r="S6651" s="24" t="str">
        <f t="shared" si="364"/>
        <v/>
      </c>
      <c r="T6651" t="str">
        <f t="shared" si="362"/>
        <v/>
      </c>
    </row>
    <row r="6652" spans="18:20">
      <c r="R6652" s="24" t="str">
        <f t="shared" si="363"/>
        <v/>
      </c>
      <c r="S6652" s="24" t="str">
        <f t="shared" si="364"/>
        <v/>
      </c>
      <c r="T6652" t="str">
        <f t="shared" si="362"/>
        <v/>
      </c>
    </row>
    <row r="6653" spans="18:20">
      <c r="R6653" s="24" t="str">
        <f t="shared" si="363"/>
        <v/>
      </c>
      <c r="S6653" s="24" t="str">
        <f t="shared" si="364"/>
        <v/>
      </c>
      <c r="T6653" t="str">
        <f t="shared" si="362"/>
        <v/>
      </c>
    </row>
    <row r="6654" spans="18:20">
      <c r="R6654" s="24" t="str">
        <f t="shared" si="363"/>
        <v/>
      </c>
      <c r="S6654" s="24" t="str">
        <f t="shared" si="364"/>
        <v/>
      </c>
      <c r="T6654" t="str">
        <f t="shared" si="362"/>
        <v/>
      </c>
    </row>
    <row r="6655" spans="18:20">
      <c r="R6655" s="24" t="str">
        <f t="shared" si="363"/>
        <v/>
      </c>
      <c r="S6655" s="24" t="str">
        <f t="shared" si="364"/>
        <v/>
      </c>
      <c r="T6655" t="str">
        <f t="shared" si="362"/>
        <v/>
      </c>
    </row>
    <row r="6656" spans="18:20">
      <c r="R6656" s="24" t="str">
        <f t="shared" si="363"/>
        <v/>
      </c>
      <c r="S6656" s="24" t="str">
        <f t="shared" si="364"/>
        <v/>
      </c>
      <c r="T6656" t="str">
        <f t="shared" si="362"/>
        <v/>
      </c>
    </row>
    <row r="6657" spans="18:20">
      <c r="R6657" s="24" t="str">
        <f t="shared" si="363"/>
        <v/>
      </c>
      <c r="S6657" s="24" t="str">
        <f t="shared" si="364"/>
        <v/>
      </c>
      <c r="T6657" t="str">
        <f t="shared" si="362"/>
        <v/>
      </c>
    </row>
    <row r="6658" spans="18:20">
      <c r="R6658" s="24" t="str">
        <f t="shared" si="363"/>
        <v/>
      </c>
      <c r="S6658" s="24" t="str">
        <f t="shared" si="364"/>
        <v/>
      </c>
      <c r="T6658" t="str">
        <f t="shared" si="362"/>
        <v/>
      </c>
    </row>
    <row r="6659" spans="18:20">
      <c r="R6659" s="24" t="str">
        <f t="shared" si="363"/>
        <v/>
      </c>
      <c r="S6659" s="24" t="str">
        <f t="shared" si="364"/>
        <v/>
      </c>
      <c r="T6659" t="str">
        <f t="shared" si="362"/>
        <v/>
      </c>
    </row>
    <row r="6660" spans="18:20">
      <c r="R6660" s="24" t="str">
        <f t="shared" si="363"/>
        <v/>
      </c>
      <c r="S6660" s="24" t="str">
        <f t="shared" si="364"/>
        <v/>
      </c>
      <c r="T6660" t="str">
        <f t="shared" si="362"/>
        <v/>
      </c>
    </row>
    <row r="6661" spans="18:20">
      <c r="R6661" s="24" t="str">
        <f t="shared" si="363"/>
        <v/>
      </c>
      <c r="S6661" s="24" t="str">
        <f t="shared" si="364"/>
        <v/>
      </c>
      <c r="T6661" t="str">
        <f t="shared" si="362"/>
        <v/>
      </c>
    </row>
    <row r="6662" spans="18:20">
      <c r="R6662" s="24" t="str">
        <f t="shared" si="363"/>
        <v/>
      </c>
      <c r="S6662" s="24" t="str">
        <f t="shared" si="364"/>
        <v/>
      </c>
      <c r="T6662" t="str">
        <f t="shared" si="362"/>
        <v/>
      </c>
    </row>
    <row r="6663" spans="18:20">
      <c r="R6663" s="24" t="str">
        <f t="shared" si="363"/>
        <v/>
      </c>
      <c r="S6663" s="24" t="str">
        <f t="shared" si="364"/>
        <v/>
      </c>
      <c r="T6663" t="str">
        <f t="shared" si="362"/>
        <v/>
      </c>
    </row>
    <row r="6664" spans="18:20">
      <c r="R6664" s="24" t="str">
        <f t="shared" si="363"/>
        <v/>
      </c>
      <c r="S6664" s="24" t="str">
        <f t="shared" si="364"/>
        <v/>
      </c>
      <c r="T6664" t="str">
        <f t="shared" si="362"/>
        <v/>
      </c>
    </row>
    <row r="6665" spans="18:20">
      <c r="R6665" s="24" t="str">
        <f t="shared" si="363"/>
        <v/>
      </c>
      <c r="S6665" s="24" t="str">
        <f t="shared" si="364"/>
        <v/>
      </c>
      <c r="T6665" t="str">
        <f t="shared" si="362"/>
        <v/>
      </c>
    </row>
    <row r="6666" spans="18:20">
      <c r="R6666" s="24" t="str">
        <f t="shared" si="363"/>
        <v/>
      </c>
      <c r="S6666" s="24" t="str">
        <f t="shared" si="364"/>
        <v/>
      </c>
      <c r="T6666" t="str">
        <f t="shared" si="362"/>
        <v/>
      </c>
    </row>
    <row r="6667" spans="18:20">
      <c r="R6667" s="24" t="str">
        <f t="shared" si="363"/>
        <v/>
      </c>
      <c r="S6667" s="24" t="str">
        <f t="shared" si="364"/>
        <v/>
      </c>
      <c r="T6667" t="str">
        <f t="shared" si="362"/>
        <v/>
      </c>
    </row>
    <row r="6668" spans="18:20">
      <c r="R6668" s="24" t="str">
        <f t="shared" si="363"/>
        <v/>
      </c>
      <c r="S6668" s="24" t="str">
        <f t="shared" si="364"/>
        <v/>
      </c>
      <c r="T6668" t="str">
        <f t="shared" si="362"/>
        <v/>
      </c>
    </row>
    <row r="6669" spans="18:20">
      <c r="R6669" s="24" t="str">
        <f t="shared" si="363"/>
        <v/>
      </c>
      <c r="S6669" s="24" t="str">
        <f t="shared" si="364"/>
        <v/>
      </c>
      <c r="T6669" t="str">
        <f t="shared" si="362"/>
        <v/>
      </c>
    </row>
    <row r="6670" spans="18:20">
      <c r="R6670" s="24" t="str">
        <f t="shared" si="363"/>
        <v/>
      </c>
      <c r="S6670" s="24" t="str">
        <f t="shared" si="364"/>
        <v/>
      </c>
      <c r="T6670" t="str">
        <f t="shared" si="362"/>
        <v/>
      </c>
    </row>
    <row r="6671" spans="18:20">
      <c r="R6671" s="24" t="str">
        <f t="shared" si="363"/>
        <v/>
      </c>
      <c r="S6671" s="24" t="str">
        <f t="shared" si="364"/>
        <v/>
      </c>
      <c r="T6671" t="str">
        <f t="shared" ref="T6671:T6704" si="365">IF(OR(C6671="",I6671&lt;&gt;"ENTRADA"),"",TEXT(B6671,"AAMMDD")&amp;"-"&amp;TEXT(VALUE(SUBSTITUTE(A6671,"MOV-","")),"000"))</f>
        <v/>
      </c>
    </row>
    <row r="6672" spans="18:20">
      <c r="R6672" s="24" t="str">
        <f t="shared" ref="R6672:R6704" si="366">IF(H6672="","",H6672&amp;I6672)</f>
        <v/>
      </c>
      <c r="S6672" s="24" t="str">
        <f t="shared" ref="S6672:S6704" si="367">IF(C6672="","",C6672&amp;I6672)</f>
        <v/>
      </c>
      <c r="T6672" t="str">
        <f t="shared" si="365"/>
        <v/>
      </c>
    </row>
    <row r="6673" spans="18:20">
      <c r="R6673" s="24" t="str">
        <f t="shared" si="366"/>
        <v/>
      </c>
      <c r="S6673" s="24" t="str">
        <f t="shared" si="367"/>
        <v/>
      </c>
      <c r="T6673" t="str">
        <f t="shared" si="365"/>
        <v/>
      </c>
    </row>
    <row r="6674" spans="18:20">
      <c r="R6674" s="24" t="str">
        <f t="shared" si="366"/>
        <v/>
      </c>
      <c r="S6674" s="24" t="str">
        <f t="shared" si="367"/>
        <v/>
      </c>
      <c r="T6674" t="str">
        <f t="shared" si="365"/>
        <v/>
      </c>
    </row>
    <row r="6675" spans="18:20">
      <c r="R6675" s="24" t="str">
        <f t="shared" si="366"/>
        <v/>
      </c>
      <c r="S6675" s="24" t="str">
        <f t="shared" si="367"/>
        <v/>
      </c>
      <c r="T6675" t="str">
        <f t="shared" si="365"/>
        <v/>
      </c>
    </row>
    <row r="6676" spans="18:20">
      <c r="R6676" s="24" t="str">
        <f t="shared" si="366"/>
        <v/>
      </c>
      <c r="S6676" s="24" t="str">
        <f t="shared" si="367"/>
        <v/>
      </c>
      <c r="T6676" t="str">
        <f t="shared" si="365"/>
        <v/>
      </c>
    </row>
    <row r="6677" spans="18:20">
      <c r="R6677" s="24" t="str">
        <f t="shared" si="366"/>
        <v/>
      </c>
      <c r="S6677" s="24" t="str">
        <f t="shared" si="367"/>
        <v/>
      </c>
      <c r="T6677" t="str">
        <f t="shared" si="365"/>
        <v/>
      </c>
    </row>
    <row r="6678" spans="18:20">
      <c r="R6678" s="24" t="str">
        <f t="shared" si="366"/>
        <v/>
      </c>
      <c r="S6678" s="24" t="str">
        <f t="shared" si="367"/>
        <v/>
      </c>
      <c r="T6678" t="str">
        <f t="shared" si="365"/>
        <v/>
      </c>
    </row>
    <row r="6679" spans="18:20">
      <c r="R6679" s="24" t="str">
        <f t="shared" si="366"/>
        <v/>
      </c>
      <c r="S6679" s="24" t="str">
        <f t="shared" si="367"/>
        <v/>
      </c>
      <c r="T6679" t="str">
        <f t="shared" si="365"/>
        <v/>
      </c>
    </row>
    <row r="6680" spans="18:20">
      <c r="R6680" s="24" t="str">
        <f t="shared" si="366"/>
        <v/>
      </c>
      <c r="S6680" s="24" t="str">
        <f t="shared" si="367"/>
        <v/>
      </c>
      <c r="T6680" t="str">
        <f t="shared" si="365"/>
        <v/>
      </c>
    </row>
    <row r="6681" spans="18:20">
      <c r="R6681" s="24" t="str">
        <f t="shared" si="366"/>
        <v/>
      </c>
      <c r="S6681" s="24" t="str">
        <f t="shared" si="367"/>
        <v/>
      </c>
      <c r="T6681" t="str">
        <f t="shared" si="365"/>
        <v/>
      </c>
    </row>
    <row r="6682" spans="18:20">
      <c r="R6682" s="24" t="str">
        <f t="shared" si="366"/>
        <v/>
      </c>
      <c r="S6682" s="24" t="str">
        <f t="shared" si="367"/>
        <v/>
      </c>
      <c r="T6682" t="str">
        <f t="shared" si="365"/>
        <v/>
      </c>
    </row>
    <row r="6683" spans="18:20">
      <c r="R6683" s="24" t="str">
        <f t="shared" si="366"/>
        <v/>
      </c>
      <c r="S6683" s="24" t="str">
        <f t="shared" si="367"/>
        <v/>
      </c>
      <c r="T6683" t="str">
        <f t="shared" si="365"/>
        <v/>
      </c>
    </row>
    <row r="6684" spans="18:20">
      <c r="R6684" s="24" t="str">
        <f t="shared" si="366"/>
        <v/>
      </c>
      <c r="S6684" s="24" t="str">
        <f t="shared" si="367"/>
        <v/>
      </c>
      <c r="T6684" t="str">
        <f t="shared" si="365"/>
        <v/>
      </c>
    </row>
    <row r="6685" spans="18:20">
      <c r="R6685" s="24" t="str">
        <f t="shared" si="366"/>
        <v/>
      </c>
      <c r="S6685" s="24" t="str">
        <f t="shared" si="367"/>
        <v/>
      </c>
      <c r="T6685" t="str">
        <f t="shared" si="365"/>
        <v/>
      </c>
    </row>
    <row r="6686" spans="18:20">
      <c r="R6686" s="24" t="str">
        <f t="shared" si="366"/>
        <v/>
      </c>
      <c r="S6686" s="24" t="str">
        <f t="shared" si="367"/>
        <v/>
      </c>
      <c r="T6686" t="str">
        <f t="shared" si="365"/>
        <v/>
      </c>
    </row>
    <row r="6687" spans="18:20">
      <c r="R6687" s="24" t="str">
        <f t="shared" si="366"/>
        <v/>
      </c>
      <c r="S6687" s="24" t="str">
        <f t="shared" si="367"/>
        <v/>
      </c>
      <c r="T6687" t="str">
        <f t="shared" si="365"/>
        <v/>
      </c>
    </row>
    <row r="6688" spans="18:20">
      <c r="R6688" s="24" t="str">
        <f t="shared" si="366"/>
        <v/>
      </c>
      <c r="S6688" s="24" t="str">
        <f t="shared" si="367"/>
        <v/>
      </c>
      <c r="T6688" t="str">
        <f t="shared" si="365"/>
        <v/>
      </c>
    </row>
    <row r="6689" spans="18:20">
      <c r="R6689" s="24" t="str">
        <f t="shared" si="366"/>
        <v/>
      </c>
      <c r="S6689" s="24" t="str">
        <f t="shared" si="367"/>
        <v/>
      </c>
      <c r="T6689" t="str">
        <f t="shared" si="365"/>
        <v/>
      </c>
    </row>
    <row r="6690" spans="18:20">
      <c r="R6690" s="24" t="str">
        <f t="shared" si="366"/>
        <v/>
      </c>
      <c r="S6690" s="24" t="str">
        <f t="shared" si="367"/>
        <v/>
      </c>
      <c r="T6690" t="str">
        <f t="shared" si="365"/>
        <v/>
      </c>
    </row>
    <row r="6691" spans="18:20">
      <c r="R6691" s="24" t="str">
        <f t="shared" si="366"/>
        <v/>
      </c>
      <c r="S6691" s="24" t="str">
        <f t="shared" si="367"/>
        <v/>
      </c>
      <c r="T6691" t="str">
        <f t="shared" si="365"/>
        <v/>
      </c>
    </row>
    <row r="6692" spans="18:20">
      <c r="R6692" s="24" t="str">
        <f t="shared" si="366"/>
        <v/>
      </c>
      <c r="S6692" s="24" t="str">
        <f t="shared" si="367"/>
        <v/>
      </c>
      <c r="T6692" t="str">
        <f t="shared" si="365"/>
        <v/>
      </c>
    </row>
    <row r="6693" spans="18:20">
      <c r="R6693" s="24" t="str">
        <f t="shared" si="366"/>
        <v/>
      </c>
      <c r="S6693" s="24" t="str">
        <f t="shared" si="367"/>
        <v/>
      </c>
      <c r="T6693" t="str">
        <f t="shared" si="365"/>
        <v/>
      </c>
    </row>
    <row r="6694" spans="18:20">
      <c r="R6694" s="24" t="str">
        <f t="shared" si="366"/>
        <v/>
      </c>
      <c r="S6694" s="24" t="str">
        <f t="shared" si="367"/>
        <v/>
      </c>
      <c r="T6694" t="str">
        <f t="shared" si="365"/>
        <v/>
      </c>
    </row>
    <row r="6695" spans="18:20">
      <c r="R6695" s="24" t="str">
        <f t="shared" si="366"/>
        <v/>
      </c>
      <c r="S6695" s="24" t="str">
        <f t="shared" si="367"/>
        <v/>
      </c>
      <c r="T6695" t="str">
        <f t="shared" si="365"/>
        <v/>
      </c>
    </row>
    <row r="6696" spans="18:20">
      <c r="R6696" s="24" t="str">
        <f t="shared" si="366"/>
        <v/>
      </c>
      <c r="S6696" s="24" t="str">
        <f t="shared" si="367"/>
        <v/>
      </c>
      <c r="T6696" t="str">
        <f t="shared" si="365"/>
        <v/>
      </c>
    </row>
    <row r="6697" spans="18:20">
      <c r="R6697" s="24" t="str">
        <f t="shared" si="366"/>
        <v/>
      </c>
      <c r="S6697" s="24" t="str">
        <f t="shared" si="367"/>
        <v/>
      </c>
      <c r="T6697" t="str">
        <f t="shared" si="365"/>
        <v/>
      </c>
    </row>
    <row r="6698" spans="18:20">
      <c r="R6698" s="24" t="str">
        <f t="shared" si="366"/>
        <v/>
      </c>
      <c r="S6698" s="24" t="str">
        <f t="shared" si="367"/>
        <v/>
      </c>
      <c r="T6698" t="str">
        <f t="shared" si="365"/>
        <v/>
      </c>
    </row>
    <row r="6699" spans="18:20">
      <c r="R6699" s="24" t="str">
        <f t="shared" si="366"/>
        <v/>
      </c>
      <c r="S6699" s="24" t="str">
        <f t="shared" si="367"/>
        <v/>
      </c>
      <c r="T6699" t="str">
        <f t="shared" si="365"/>
        <v/>
      </c>
    </row>
    <row r="6700" spans="18:20">
      <c r="R6700" s="24" t="str">
        <f t="shared" si="366"/>
        <v/>
      </c>
      <c r="S6700" s="24" t="str">
        <f t="shared" si="367"/>
        <v/>
      </c>
      <c r="T6700" t="str">
        <f t="shared" si="365"/>
        <v/>
      </c>
    </row>
    <row r="6701" spans="18:20">
      <c r="R6701" s="24" t="str">
        <f t="shared" si="366"/>
        <v/>
      </c>
      <c r="S6701" s="24" t="str">
        <f t="shared" si="367"/>
        <v/>
      </c>
      <c r="T6701" t="str">
        <f t="shared" si="365"/>
        <v/>
      </c>
    </row>
    <row r="6702" spans="18:20">
      <c r="R6702" s="24" t="str">
        <f t="shared" si="366"/>
        <v/>
      </c>
      <c r="S6702" s="24" t="str">
        <f t="shared" si="367"/>
        <v/>
      </c>
      <c r="T6702" t="str">
        <f t="shared" si="365"/>
        <v/>
      </c>
    </row>
    <row r="6703" spans="18:20">
      <c r="R6703" s="24" t="str">
        <f t="shared" si="366"/>
        <v/>
      </c>
      <c r="S6703" s="24" t="str">
        <f t="shared" si="367"/>
        <v/>
      </c>
      <c r="T6703" t="str">
        <f t="shared" si="365"/>
        <v/>
      </c>
    </row>
    <row r="6704" spans="18:20">
      <c r="R6704" s="24" t="str">
        <f t="shared" si="366"/>
        <v/>
      </c>
      <c r="S6704" s="24" t="str">
        <f t="shared" si="367"/>
        <v/>
      </c>
      <c r="T6704" t="str">
        <f t="shared" si="365"/>
        <v/>
      </c>
    </row>
    <row r="6705" spans="20:20">
      <c r="T6705" t="str">
        <f t="shared" ref="T6658:T6721" si="368">IF(C6705="","",UPPER(LEFT(SUBSTITUTE(C6705," ",""),3))&amp;"-"&amp;TEXT(B6705,"AAMMDD")&amp;"-1")</f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si="368"/>
        <v/>
      </c>
    </row>
    <row r="6721" spans="20:20">
      <c r="T6721" t="str">
        <f t="shared" si="368"/>
        <v/>
      </c>
    </row>
    <row r="6722" spans="20:20">
      <c r="T6722" t="str">
        <f t="shared" ref="T6722:T6785" si="369">IF(C6722="","",UPPER(LEFT(SUBSTITUTE(C6722," ",""),3))&amp;"-"&amp;TEXT(B6722,"AAMMDD")&amp;"-1")</f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si="369"/>
        <v/>
      </c>
    </row>
    <row r="6785" spans="20:20">
      <c r="T6785" t="str">
        <f t="shared" si="369"/>
        <v/>
      </c>
    </row>
    <row r="6786" spans="20:20">
      <c r="T6786" t="str">
        <f t="shared" ref="T6786:T6849" si="370">IF(C6786="","",UPPER(LEFT(SUBSTITUTE(C6786," ",""),3))&amp;"-"&amp;TEXT(B6786,"AAMMDD")&amp;"-1")</f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si="370"/>
        <v/>
      </c>
    </row>
    <row r="6849" spans="20:20">
      <c r="T6849" t="str">
        <f t="shared" si="370"/>
        <v/>
      </c>
    </row>
    <row r="6850" spans="20:20">
      <c r="T6850" t="str">
        <f t="shared" ref="T6850:T6913" si="371">IF(C6850="","",UPPER(LEFT(SUBSTITUTE(C6850," ",""),3))&amp;"-"&amp;TEXT(B6850,"AAMMDD")&amp;"-1")</f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si="371"/>
        <v/>
      </c>
    </row>
    <row r="6913" spans="20:20">
      <c r="T6913" t="str">
        <f t="shared" si="371"/>
        <v/>
      </c>
    </row>
    <row r="6914" spans="20:20">
      <c r="T6914" t="str">
        <f t="shared" ref="T6914:T6977" si="372">IF(C6914="","",UPPER(LEFT(SUBSTITUTE(C6914," ",""),3))&amp;"-"&amp;TEXT(B6914,"AAMMDD")&amp;"-1")</f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si="372"/>
        <v/>
      </c>
    </row>
    <row r="6977" spans="20:20">
      <c r="T6977" t="str">
        <f t="shared" si="372"/>
        <v/>
      </c>
    </row>
    <row r="6978" spans="20:20">
      <c r="T6978" t="str">
        <f t="shared" ref="T6978:T7041" si="373">IF(C6978="","",UPPER(LEFT(SUBSTITUTE(C6978," ",""),3))&amp;"-"&amp;TEXT(B6978,"AAMMDD")&amp;"-1")</f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si="373"/>
        <v/>
      </c>
    </row>
    <row r="7041" spans="20:20">
      <c r="T7041" t="str">
        <f t="shared" si="373"/>
        <v/>
      </c>
    </row>
    <row r="7042" spans="20:20">
      <c r="T7042" t="str">
        <f t="shared" ref="T7042:T7105" si="374">IF(C7042="","",UPPER(LEFT(SUBSTITUTE(C7042," ",""),3))&amp;"-"&amp;TEXT(B7042,"AAMMDD")&amp;"-1")</f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si="374"/>
        <v/>
      </c>
    </row>
    <row r="7105" spans="20:20">
      <c r="T7105" t="str">
        <f t="shared" si="374"/>
        <v/>
      </c>
    </row>
    <row r="7106" spans="20:20">
      <c r="T7106" t="str">
        <f t="shared" ref="T7106:T7169" si="375">IF(C7106="","",UPPER(LEFT(SUBSTITUTE(C7106," ",""),3))&amp;"-"&amp;TEXT(B7106,"AAMMDD")&amp;"-1")</f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si="375"/>
        <v/>
      </c>
    </row>
    <row r="7169" spans="20:20">
      <c r="T7169" t="str">
        <f t="shared" si="375"/>
        <v/>
      </c>
    </row>
    <row r="7170" spans="20:20">
      <c r="T7170" t="str">
        <f t="shared" ref="T7170:T7233" si="376">IF(C7170="","",UPPER(LEFT(SUBSTITUTE(C7170," ",""),3))&amp;"-"&amp;TEXT(B7170,"AAMMDD")&amp;"-1")</f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si="376"/>
        <v/>
      </c>
    </row>
    <row r="7233" spans="20:20">
      <c r="T7233" t="str">
        <f t="shared" si="376"/>
        <v/>
      </c>
    </row>
    <row r="7234" spans="20:20">
      <c r="T7234" t="str">
        <f t="shared" ref="T7234:T7297" si="377">IF(C7234="","",UPPER(LEFT(SUBSTITUTE(C7234," ",""),3))&amp;"-"&amp;TEXT(B7234,"AAMMDD")&amp;"-1")</f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si="377"/>
        <v/>
      </c>
    </row>
    <row r="7297" spans="20:20">
      <c r="T7297" t="str">
        <f t="shared" si="377"/>
        <v/>
      </c>
    </row>
    <row r="7298" spans="20:20">
      <c r="T7298" t="str">
        <f t="shared" ref="T7298:T7361" si="378">IF(C7298="","",UPPER(LEFT(SUBSTITUTE(C7298," ",""),3))&amp;"-"&amp;TEXT(B7298,"AAMMDD")&amp;"-1")</f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si="378"/>
        <v/>
      </c>
    </row>
    <row r="7361" spans="20:20">
      <c r="T7361" t="str">
        <f t="shared" si="378"/>
        <v/>
      </c>
    </row>
    <row r="7362" spans="20:20">
      <c r="T7362" t="str">
        <f t="shared" ref="T7362:T7425" si="379">IF(C7362="","",UPPER(LEFT(SUBSTITUTE(C7362," ",""),3))&amp;"-"&amp;TEXT(B7362,"AAMMDD")&amp;"-1")</f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si="379"/>
        <v/>
      </c>
    </row>
    <row r="7425" spans="20:20">
      <c r="T7425" t="str">
        <f t="shared" si="379"/>
        <v/>
      </c>
    </row>
    <row r="7426" spans="20:20">
      <c r="T7426" t="str">
        <f t="shared" ref="T7426:T7489" si="380">IF(C7426="","",UPPER(LEFT(SUBSTITUTE(C7426," ",""),3))&amp;"-"&amp;TEXT(B7426,"AAMMDD")&amp;"-1")</f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si="380"/>
        <v/>
      </c>
    </row>
    <row r="7489" spans="20:20">
      <c r="T7489" t="str">
        <f t="shared" si="380"/>
        <v/>
      </c>
    </row>
    <row r="7490" spans="20:20">
      <c r="T7490" t="str">
        <f t="shared" ref="T7490:T7553" si="381">IF(C7490="","",UPPER(LEFT(SUBSTITUTE(C7490," ",""),3))&amp;"-"&amp;TEXT(B7490,"AAMMDD")&amp;"-1")</f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si="381"/>
        <v/>
      </c>
    </row>
    <row r="7553" spans="20:20">
      <c r="T7553" t="str">
        <f t="shared" si="381"/>
        <v/>
      </c>
    </row>
    <row r="7554" spans="20:20">
      <c r="T7554" t="str">
        <f t="shared" ref="T7554:T7617" si="382">IF(C7554="","",UPPER(LEFT(SUBSTITUTE(C7554," ",""),3))&amp;"-"&amp;TEXT(B7554,"AAMMDD")&amp;"-1")</f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si="382"/>
        <v/>
      </c>
    </row>
    <row r="7617" spans="20:20">
      <c r="T7617" t="str">
        <f t="shared" si="382"/>
        <v/>
      </c>
    </row>
    <row r="7618" spans="20:20">
      <c r="T7618" t="str">
        <f t="shared" ref="T7618:T7681" si="383">IF(C7618="","",UPPER(LEFT(SUBSTITUTE(C7618," ",""),3))&amp;"-"&amp;TEXT(B7618,"AAMMDD")&amp;"-1")</f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si="383"/>
        <v/>
      </c>
    </row>
    <row r="7681" spans="20:20">
      <c r="T7681" t="str">
        <f t="shared" si="383"/>
        <v/>
      </c>
    </row>
    <row r="7682" spans="20:20">
      <c r="T7682" t="str">
        <f t="shared" ref="T7682:T7745" si="384">IF(C7682="","",UPPER(LEFT(SUBSTITUTE(C7682," ",""),3))&amp;"-"&amp;TEXT(B7682,"AAMMDD")&amp;"-1")</f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si="384"/>
        <v/>
      </c>
    </row>
    <row r="7745" spans="20:20">
      <c r="T7745" t="str">
        <f t="shared" si="384"/>
        <v/>
      </c>
    </row>
    <row r="7746" spans="20:20">
      <c r="T7746" t="str">
        <f t="shared" ref="T7746:T7809" si="385">IF(C7746="","",UPPER(LEFT(SUBSTITUTE(C7746," ",""),3))&amp;"-"&amp;TEXT(B7746,"AAMMDD")&amp;"-1")</f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si="385"/>
        <v/>
      </c>
    </row>
    <row r="7809" spans="20:20">
      <c r="T7809" t="str">
        <f t="shared" si="385"/>
        <v/>
      </c>
    </row>
    <row r="7810" spans="20:20">
      <c r="T7810" t="str">
        <f t="shared" ref="T7810:T7873" si="386">IF(C7810="","",UPPER(LEFT(SUBSTITUTE(C7810," ",""),3))&amp;"-"&amp;TEXT(B7810,"AAMMDD")&amp;"-1")</f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si="386"/>
        <v/>
      </c>
    </row>
    <row r="7873" spans="20:20">
      <c r="T7873" t="str">
        <f t="shared" si="386"/>
        <v/>
      </c>
    </row>
    <row r="7874" spans="20:20">
      <c r="T7874" t="str">
        <f t="shared" ref="T7874:T7937" si="387">IF(C7874="","",UPPER(LEFT(SUBSTITUTE(C7874," ",""),3))&amp;"-"&amp;TEXT(B7874,"AAMMDD")&amp;"-1")</f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si="387"/>
        <v/>
      </c>
    </row>
    <row r="7937" spans="20:20">
      <c r="T7937" t="str">
        <f t="shared" si="387"/>
        <v/>
      </c>
    </row>
    <row r="7938" spans="20:20">
      <c r="T7938" t="str">
        <f t="shared" ref="T7938:T8001" si="388">IF(C7938="","",UPPER(LEFT(SUBSTITUTE(C7938," ",""),3))&amp;"-"&amp;TEXT(B7938,"AAMMDD")&amp;"-1")</f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si="388"/>
        <v/>
      </c>
    </row>
    <row r="8001" spans="20:20">
      <c r="T8001" t="str">
        <f t="shared" si="388"/>
        <v/>
      </c>
    </row>
    <row r="8002" spans="20:20">
      <c r="T8002" t="str">
        <f t="shared" ref="T8002:T8065" si="389">IF(C8002="","",UPPER(LEFT(SUBSTITUTE(C8002," ",""),3))&amp;"-"&amp;TEXT(B8002,"AAMMDD")&amp;"-1")</f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si="389"/>
        <v/>
      </c>
    </row>
    <row r="8065" spans="20:20">
      <c r="T8065" t="str">
        <f t="shared" si="389"/>
        <v/>
      </c>
    </row>
    <row r="8066" spans="20:20">
      <c r="T8066" t="str">
        <f t="shared" ref="T8066:T8129" si="390">IF(C8066="","",UPPER(LEFT(SUBSTITUTE(C8066," ",""),3))&amp;"-"&amp;TEXT(B8066,"AAMMDD")&amp;"-1")</f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si="390"/>
        <v/>
      </c>
    </row>
    <row r="8129" spans="20:20">
      <c r="T8129" t="str">
        <f t="shared" si="390"/>
        <v/>
      </c>
    </row>
    <row r="8130" spans="20:20">
      <c r="T8130" t="str">
        <f t="shared" ref="T8130:T8193" si="391">IF(C8130="","",UPPER(LEFT(SUBSTITUTE(C8130," ",""),3))&amp;"-"&amp;TEXT(B8130,"AAMMDD")&amp;"-1")</f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si="391"/>
        <v/>
      </c>
    </row>
    <row r="8193" spans="20:20">
      <c r="T8193" t="str">
        <f t="shared" si="391"/>
        <v/>
      </c>
    </row>
    <row r="8194" spans="20:20">
      <c r="T8194" t="str">
        <f t="shared" ref="T8194:T8257" si="392">IF(C8194="","",UPPER(LEFT(SUBSTITUTE(C8194," ",""),3))&amp;"-"&amp;TEXT(B8194,"AAMMDD")&amp;"-1")</f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si="392"/>
        <v/>
      </c>
    </row>
    <row r="8257" spans="20:20">
      <c r="T8257" t="str">
        <f t="shared" si="392"/>
        <v/>
      </c>
    </row>
    <row r="8258" spans="20:20">
      <c r="T8258" t="str">
        <f t="shared" ref="T8258:T8321" si="393">IF(C8258="","",UPPER(LEFT(SUBSTITUTE(C8258," ",""),3))&amp;"-"&amp;TEXT(B8258,"AAMMDD")&amp;"-1")</f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si="393"/>
        <v/>
      </c>
    </row>
    <row r="8321" spans="20:20">
      <c r="T8321" t="str">
        <f t="shared" si="393"/>
        <v/>
      </c>
    </row>
    <row r="8322" spans="20:20">
      <c r="T8322" t="str">
        <f t="shared" ref="T8322:T8385" si="394">IF(C8322="","",UPPER(LEFT(SUBSTITUTE(C8322," ",""),3))&amp;"-"&amp;TEXT(B8322,"AAMMDD")&amp;"-1")</f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si="394"/>
        <v/>
      </c>
    </row>
    <row r="8385" spans="20:20">
      <c r="T8385" t="str">
        <f t="shared" si="394"/>
        <v/>
      </c>
    </row>
    <row r="8386" spans="20:20">
      <c r="T8386" t="str">
        <f t="shared" ref="T8386:T8449" si="395">IF(C8386="","",UPPER(LEFT(SUBSTITUTE(C8386," ",""),3))&amp;"-"&amp;TEXT(B8386,"AAMMDD")&amp;"-1")</f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si="395"/>
        <v/>
      </c>
    </row>
    <row r="8449" spans="20:20">
      <c r="T8449" t="str">
        <f t="shared" si="395"/>
        <v/>
      </c>
    </row>
    <row r="8450" spans="20:20">
      <c r="T8450" t="str">
        <f t="shared" ref="T8450:T8513" si="396">IF(C8450="","",UPPER(LEFT(SUBSTITUTE(C8450," ",""),3))&amp;"-"&amp;TEXT(B8450,"AAMMDD")&amp;"-1")</f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si="396"/>
        <v/>
      </c>
    </row>
    <row r="8513" spans="20:20">
      <c r="T8513" t="str">
        <f t="shared" si="396"/>
        <v/>
      </c>
    </row>
    <row r="8514" spans="20:20">
      <c r="T8514" t="str">
        <f t="shared" ref="T8514:T8577" si="397">IF(C8514="","",UPPER(LEFT(SUBSTITUTE(C8514," ",""),3))&amp;"-"&amp;TEXT(B8514,"AAMMDD")&amp;"-1")</f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si="397"/>
        <v/>
      </c>
    </row>
    <row r="8577" spans="20:20">
      <c r="T8577" t="str">
        <f t="shared" si="397"/>
        <v/>
      </c>
    </row>
    <row r="8578" spans="20:20">
      <c r="T8578" t="str">
        <f t="shared" ref="T8578:T8641" si="398">IF(C8578="","",UPPER(LEFT(SUBSTITUTE(C8578," ",""),3))&amp;"-"&amp;TEXT(B8578,"AAMMDD")&amp;"-1")</f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si="398"/>
        <v/>
      </c>
    </row>
    <row r="8641" spans="20:20">
      <c r="T8641" t="str">
        <f t="shared" si="398"/>
        <v/>
      </c>
    </row>
    <row r="8642" spans="20:20">
      <c r="T8642" t="str">
        <f t="shared" ref="T8642:T8705" si="399">IF(C8642="","",UPPER(LEFT(SUBSTITUTE(C8642," ",""),3))&amp;"-"&amp;TEXT(B8642,"AAMMDD")&amp;"-1")</f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si="399"/>
        <v/>
      </c>
    </row>
    <row r="8705" spans="20:20">
      <c r="T8705" t="str">
        <f t="shared" si="399"/>
        <v/>
      </c>
    </row>
    <row r="8706" spans="20:20">
      <c r="T8706" t="str">
        <f t="shared" ref="T8706:T8769" si="400">IF(C8706="","",UPPER(LEFT(SUBSTITUTE(C8706," ",""),3))&amp;"-"&amp;TEXT(B8706,"AAMMDD")&amp;"-1")</f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si="400"/>
        <v/>
      </c>
    </row>
    <row r="8769" spans="20:20">
      <c r="T8769" t="str">
        <f t="shared" si="400"/>
        <v/>
      </c>
    </row>
    <row r="8770" spans="20:20">
      <c r="T8770" t="str">
        <f t="shared" ref="T8770:T8833" si="401">IF(C8770="","",UPPER(LEFT(SUBSTITUTE(C8770," ",""),3))&amp;"-"&amp;TEXT(B8770,"AAMMDD")&amp;"-1")</f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si="401"/>
        <v/>
      </c>
    </row>
    <row r="8833" spans="20:20">
      <c r="T8833" t="str">
        <f t="shared" si="401"/>
        <v/>
      </c>
    </row>
    <row r="8834" spans="20:20">
      <c r="T8834" t="str">
        <f t="shared" ref="T8834:T8897" si="402">IF(C8834="","",UPPER(LEFT(SUBSTITUTE(C8834," ",""),3))&amp;"-"&amp;TEXT(B8834,"AAMMDD")&amp;"-1")</f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si="402"/>
        <v/>
      </c>
    </row>
    <row r="8897" spans="20:20">
      <c r="T8897" t="str">
        <f t="shared" si="402"/>
        <v/>
      </c>
    </row>
    <row r="8898" spans="20:20">
      <c r="T8898" t="str">
        <f t="shared" ref="T8898:T8961" si="403">IF(C8898="","",UPPER(LEFT(SUBSTITUTE(C8898," ",""),3))&amp;"-"&amp;TEXT(B8898,"AAMMDD")&amp;"-1")</f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si="403"/>
        <v/>
      </c>
    </row>
    <row r="8961" spans="20:20">
      <c r="T8961" t="str">
        <f t="shared" si="403"/>
        <v/>
      </c>
    </row>
    <row r="8962" spans="20:20">
      <c r="T8962" t="str">
        <f t="shared" ref="T8962:T9025" si="404">IF(C8962="","",UPPER(LEFT(SUBSTITUTE(C8962," ",""),3))&amp;"-"&amp;TEXT(B8962,"AAMMDD")&amp;"-1")</f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si="404"/>
        <v/>
      </c>
    </row>
    <row r="9025" spans="20:20">
      <c r="T9025" t="str">
        <f t="shared" si="404"/>
        <v/>
      </c>
    </row>
    <row r="9026" spans="20:20">
      <c r="T9026" t="str">
        <f t="shared" ref="T9026:T9089" si="405">IF(C9026="","",UPPER(LEFT(SUBSTITUTE(C9026," ",""),3))&amp;"-"&amp;TEXT(B9026,"AAMMDD")&amp;"-1")</f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si="405"/>
        <v/>
      </c>
    </row>
    <row r="9089" spans="20:20">
      <c r="T9089" t="str">
        <f t="shared" si="405"/>
        <v/>
      </c>
    </row>
    <row r="9090" spans="20:20">
      <c r="T9090" t="str">
        <f t="shared" ref="T9090:T9153" si="406">IF(C9090="","",UPPER(LEFT(SUBSTITUTE(C9090," ",""),3))&amp;"-"&amp;TEXT(B9090,"AAMMDD")&amp;"-1")</f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si="406"/>
        <v/>
      </c>
    </row>
    <row r="9153" spans="20:20">
      <c r="T9153" t="str">
        <f t="shared" si="406"/>
        <v/>
      </c>
    </row>
    <row r="9154" spans="20:20">
      <c r="T9154" t="str">
        <f t="shared" ref="T9154:T9217" si="407">IF(C9154="","",UPPER(LEFT(SUBSTITUTE(C9154," ",""),3))&amp;"-"&amp;TEXT(B9154,"AAMMDD")&amp;"-1")</f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si="407"/>
        <v/>
      </c>
    </row>
    <row r="9217" spans="20:20">
      <c r="T9217" t="str">
        <f t="shared" si="407"/>
        <v/>
      </c>
    </row>
    <row r="9218" spans="20:20">
      <c r="T9218" t="str">
        <f t="shared" ref="T9218:T9281" si="408">IF(C9218="","",UPPER(LEFT(SUBSTITUTE(C9218," ",""),3))&amp;"-"&amp;TEXT(B9218,"AAMMDD")&amp;"-1")</f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si="408"/>
        <v/>
      </c>
    </row>
    <row r="9281" spans="20:20">
      <c r="T9281" t="str">
        <f t="shared" si="408"/>
        <v/>
      </c>
    </row>
    <row r="9282" spans="20:20">
      <c r="T9282" t="str">
        <f t="shared" ref="T9282:T9345" si="409">IF(C9282="","",UPPER(LEFT(SUBSTITUTE(C9282," ",""),3))&amp;"-"&amp;TEXT(B9282,"AAMMDD")&amp;"-1")</f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si="409"/>
        <v/>
      </c>
    </row>
    <row r="9345" spans="20:20">
      <c r="T9345" t="str">
        <f t="shared" si="409"/>
        <v/>
      </c>
    </row>
    <row r="9346" spans="20:20">
      <c r="T9346" t="str">
        <f t="shared" ref="T9346:T9409" si="410">IF(C9346="","",UPPER(LEFT(SUBSTITUTE(C9346," ",""),3))&amp;"-"&amp;TEXT(B9346,"AAMMDD")&amp;"-1")</f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si="410"/>
        <v/>
      </c>
    </row>
    <row r="9409" spans="20:20">
      <c r="T9409" t="str">
        <f t="shared" si="410"/>
        <v/>
      </c>
    </row>
    <row r="9410" spans="20:20">
      <c r="T9410" t="str">
        <f t="shared" ref="T9410:T9473" si="411">IF(C9410="","",UPPER(LEFT(SUBSTITUTE(C9410," ",""),3))&amp;"-"&amp;TEXT(B9410,"AAMMDD")&amp;"-1")</f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si="411"/>
        <v/>
      </c>
    </row>
    <row r="9473" spans="20:20">
      <c r="T9473" t="str">
        <f t="shared" si="411"/>
        <v/>
      </c>
    </row>
    <row r="9474" spans="20:20">
      <c r="T9474" t="str">
        <f t="shared" ref="T9474:T9537" si="412">IF(C9474="","",UPPER(LEFT(SUBSTITUTE(C9474," ",""),3))&amp;"-"&amp;TEXT(B9474,"AAMMDD")&amp;"-1")</f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si="412"/>
        <v/>
      </c>
    </row>
    <row r="9537" spans="20:20">
      <c r="T9537" t="str">
        <f t="shared" si="412"/>
        <v/>
      </c>
    </row>
    <row r="9538" spans="20:20">
      <c r="T9538" t="str">
        <f t="shared" ref="T9538:T9601" si="413">IF(C9538="","",UPPER(LEFT(SUBSTITUTE(C9538," ",""),3))&amp;"-"&amp;TEXT(B9538,"AAMMDD")&amp;"-1")</f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si="413"/>
        <v/>
      </c>
    </row>
    <row r="9601" spans="20:20">
      <c r="T9601" t="str">
        <f t="shared" si="413"/>
        <v/>
      </c>
    </row>
    <row r="9602" spans="20:20">
      <c r="T9602" t="str">
        <f t="shared" ref="T9602:T9665" si="414">IF(C9602="","",UPPER(LEFT(SUBSTITUTE(C9602," ",""),3))&amp;"-"&amp;TEXT(B9602,"AAMMDD")&amp;"-1")</f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si="414"/>
        <v/>
      </c>
    </row>
    <row r="9665" spans="20:20">
      <c r="T9665" t="str">
        <f t="shared" si="414"/>
        <v/>
      </c>
    </row>
    <row r="9666" spans="20:20">
      <c r="T9666" t="str">
        <f t="shared" ref="T9666:T9729" si="415">IF(C9666="","",UPPER(LEFT(SUBSTITUTE(C9666," ",""),3))&amp;"-"&amp;TEXT(B9666,"AAMMDD")&amp;"-1")</f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si="415"/>
        <v/>
      </c>
    </row>
    <row r="9729" spans="20:20">
      <c r="T9729" t="str">
        <f t="shared" si="415"/>
        <v/>
      </c>
    </row>
    <row r="9730" spans="20:20">
      <c r="T9730" t="str">
        <f t="shared" ref="T9730:T9793" si="416">IF(C9730="","",UPPER(LEFT(SUBSTITUTE(C9730," ",""),3))&amp;"-"&amp;TEXT(B9730,"AAMMDD")&amp;"-1")</f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si="416"/>
        <v/>
      </c>
    </row>
    <row r="9793" spans="20:20">
      <c r="T9793" t="str">
        <f t="shared" si="416"/>
        <v/>
      </c>
    </row>
    <row r="9794" spans="20:20">
      <c r="T9794" t="str">
        <f t="shared" ref="T9794:T9857" si="417">IF(C9794="","",UPPER(LEFT(SUBSTITUTE(C9794," ",""),3))&amp;"-"&amp;TEXT(B9794,"AAMMDD")&amp;"-1")</f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si="417"/>
        <v/>
      </c>
    </row>
    <row r="9857" spans="20:20">
      <c r="T9857" t="str">
        <f t="shared" si="417"/>
        <v/>
      </c>
    </row>
    <row r="9858" spans="20:20">
      <c r="T9858" t="str">
        <f t="shared" ref="T9858:T9921" si="418">IF(C9858="","",UPPER(LEFT(SUBSTITUTE(C9858," ",""),3))&amp;"-"&amp;TEXT(B9858,"AAMMDD")&amp;"-1")</f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si="418"/>
        <v/>
      </c>
    </row>
    <row r="9921" spans="20:20">
      <c r="T9921" t="str">
        <f t="shared" si="418"/>
        <v/>
      </c>
    </row>
    <row r="9922" spans="20:20">
      <c r="T9922" t="str">
        <f t="shared" ref="T9922:T9985" si="419">IF(C9922="","",UPPER(LEFT(SUBSTITUTE(C9922," ",""),3))&amp;"-"&amp;TEXT(B9922,"AAMMDD")&amp;"-1")</f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si="419"/>
        <v/>
      </c>
    </row>
    <row r="9985" spans="20:20">
      <c r="T9985" t="str">
        <f t="shared" si="419"/>
        <v/>
      </c>
    </row>
    <row r="9986" spans="20:20">
      <c r="T9986" t="str">
        <f t="shared" ref="T9986:T10049" si="420">IF(C9986="","",UPPER(LEFT(SUBSTITUTE(C9986," ",""),3))&amp;"-"&amp;TEXT(B9986,"AAMMDD")&amp;"-1")</f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si="420"/>
        <v/>
      </c>
    </row>
    <row r="10049" spans="20:20">
      <c r="T10049" t="str">
        <f t="shared" si="420"/>
        <v/>
      </c>
    </row>
    <row r="10050" spans="20:20">
      <c r="T10050" t="str">
        <f t="shared" ref="T10050:T10113" si="421">IF(C10050="","",UPPER(LEFT(SUBSTITUTE(C10050," ",""),3))&amp;"-"&amp;TEXT(B10050,"AAMMDD")&amp;"-1")</f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si="421"/>
        <v/>
      </c>
    </row>
    <row r="10113" spans="20:20">
      <c r="T10113" t="str">
        <f t="shared" si="421"/>
        <v/>
      </c>
    </row>
    <row r="10114" spans="20:20">
      <c r="T10114" t="str">
        <f t="shared" ref="T10114:T10177" si="422">IF(C10114="","",UPPER(LEFT(SUBSTITUTE(C10114," ",""),3))&amp;"-"&amp;TEXT(B10114,"AAMMDD")&amp;"-1")</f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si="422"/>
        <v/>
      </c>
    </row>
    <row r="10177" spans="20:20">
      <c r="T10177" t="str">
        <f t="shared" si="422"/>
        <v/>
      </c>
    </row>
    <row r="10178" spans="20:20">
      <c r="T10178" t="str">
        <f t="shared" ref="T10178:T10241" si="423">IF(C10178="","",UPPER(LEFT(SUBSTITUTE(C10178," ",""),3))&amp;"-"&amp;TEXT(B10178,"AAMMDD")&amp;"-1")</f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si="423"/>
        <v/>
      </c>
    </row>
    <row r="10241" spans="20:20">
      <c r="T10241" t="str">
        <f t="shared" si="423"/>
        <v/>
      </c>
    </row>
    <row r="10242" spans="20:20">
      <c r="T10242" t="str">
        <f t="shared" ref="T10242:T10305" si="424">IF(C10242="","",UPPER(LEFT(SUBSTITUTE(C10242," ",""),3))&amp;"-"&amp;TEXT(B10242,"AAMMDD")&amp;"-1")</f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si="424"/>
        <v/>
      </c>
    </row>
    <row r="10305" spans="20:20">
      <c r="T10305" t="str">
        <f t="shared" si="424"/>
        <v/>
      </c>
    </row>
    <row r="10306" spans="20:20">
      <c r="T10306" t="str">
        <f t="shared" ref="T10306:T10369" si="425">IF(C10306="","",UPPER(LEFT(SUBSTITUTE(C10306," ",""),3))&amp;"-"&amp;TEXT(B10306,"AAMMDD")&amp;"-1")</f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si="425"/>
        <v/>
      </c>
    </row>
    <row r="10369" spans="20:20">
      <c r="T10369" t="str">
        <f t="shared" si="425"/>
        <v/>
      </c>
    </row>
    <row r="10370" spans="20:20">
      <c r="T10370" t="str">
        <f t="shared" ref="T10370:T10433" si="426">IF(C10370="","",UPPER(LEFT(SUBSTITUTE(C10370," ",""),3))&amp;"-"&amp;TEXT(B10370,"AAMMDD")&amp;"-1")</f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si="426"/>
        <v/>
      </c>
    </row>
    <row r="10433" spans="20:20">
      <c r="T10433" t="str">
        <f t="shared" si="426"/>
        <v/>
      </c>
    </row>
    <row r="10434" spans="20:20">
      <c r="T10434" t="str">
        <f t="shared" ref="T10434:T10497" si="427">IF(C10434="","",UPPER(LEFT(SUBSTITUTE(C10434," ",""),3))&amp;"-"&amp;TEXT(B10434,"AAMMDD")&amp;"-1")</f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si="427"/>
        <v/>
      </c>
    </row>
    <row r="10497" spans="20:20">
      <c r="T10497" t="str">
        <f t="shared" si="427"/>
        <v/>
      </c>
    </row>
    <row r="10498" spans="20:20">
      <c r="T10498" t="str">
        <f t="shared" ref="T10498:T10561" si="428">IF(C10498="","",UPPER(LEFT(SUBSTITUTE(C10498," ",""),3))&amp;"-"&amp;TEXT(B10498,"AAMMDD")&amp;"-1")</f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si="428"/>
        <v/>
      </c>
    </row>
    <row r="10561" spans="20:20">
      <c r="T10561" t="str">
        <f t="shared" si="428"/>
        <v/>
      </c>
    </row>
    <row r="10562" spans="20:20">
      <c r="T10562" t="str">
        <f t="shared" ref="T10562:T10625" si="429">IF(C10562="","",UPPER(LEFT(SUBSTITUTE(C10562," ",""),3))&amp;"-"&amp;TEXT(B10562,"AAMMDD")&amp;"-1")</f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si="429"/>
        <v/>
      </c>
    </row>
    <row r="10625" spans="20:20">
      <c r="T10625" t="str">
        <f t="shared" si="429"/>
        <v/>
      </c>
    </row>
    <row r="10626" spans="20:20">
      <c r="T10626" t="str">
        <f t="shared" ref="T10626:T10689" si="430">IF(C10626="","",UPPER(LEFT(SUBSTITUTE(C10626," ",""),3))&amp;"-"&amp;TEXT(B10626,"AAMMDD")&amp;"-1")</f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si="430"/>
        <v/>
      </c>
    </row>
    <row r="10689" spans="20:20">
      <c r="T10689" t="str">
        <f t="shared" si="430"/>
        <v/>
      </c>
    </row>
    <row r="10690" spans="20:20">
      <c r="T10690" t="str">
        <f t="shared" ref="T10690:T10753" si="431">IF(C10690="","",UPPER(LEFT(SUBSTITUTE(C10690," ",""),3))&amp;"-"&amp;TEXT(B10690,"AAMMDD")&amp;"-1")</f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si="431"/>
        <v/>
      </c>
    </row>
    <row r="10753" spans="20:20">
      <c r="T10753" t="str">
        <f t="shared" si="431"/>
        <v/>
      </c>
    </row>
    <row r="10754" spans="20:20">
      <c r="T10754" t="str">
        <f t="shared" ref="T10754:T10817" si="432">IF(C10754="","",UPPER(LEFT(SUBSTITUTE(C10754," ",""),3))&amp;"-"&amp;TEXT(B10754,"AAMMDD")&amp;"-1")</f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si="432"/>
        <v/>
      </c>
    </row>
    <row r="10817" spans="20:20">
      <c r="T10817" t="str">
        <f t="shared" si="432"/>
        <v/>
      </c>
    </row>
    <row r="10818" spans="20:20">
      <c r="T10818" t="str">
        <f t="shared" ref="T10818:T10881" si="433">IF(C10818="","",UPPER(LEFT(SUBSTITUTE(C10818," ",""),3))&amp;"-"&amp;TEXT(B10818,"AAMMDD")&amp;"-1")</f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si="433"/>
        <v/>
      </c>
    </row>
    <row r="10881" spans="20:20">
      <c r="T10881" t="str">
        <f t="shared" si="433"/>
        <v/>
      </c>
    </row>
    <row r="10882" spans="20:20">
      <c r="T10882" t="str">
        <f t="shared" ref="T10882:T10945" si="434">IF(C10882="","",UPPER(LEFT(SUBSTITUTE(C10882," ",""),3))&amp;"-"&amp;TEXT(B10882,"AAMMDD")&amp;"-1")</f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si="434"/>
        <v/>
      </c>
    </row>
    <row r="10945" spans="20:20">
      <c r="T10945" t="str">
        <f t="shared" si="434"/>
        <v/>
      </c>
    </row>
    <row r="10946" spans="20:20">
      <c r="T10946" t="str">
        <f t="shared" ref="T10946:T11009" si="435">IF(C10946="","",UPPER(LEFT(SUBSTITUTE(C10946," ",""),3))&amp;"-"&amp;TEXT(B10946,"AAMMDD")&amp;"-1")</f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si="435"/>
        <v/>
      </c>
    </row>
    <row r="11009" spans="20:20">
      <c r="T11009" t="str">
        <f t="shared" si="435"/>
        <v/>
      </c>
    </row>
    <row r="11010" spans="20:20">
      <c r="T11010" t="str">
        <f t="shared" ref="T11010:T11073" si="436">IF(C11010="","",UPPER(LEFT(SUBSTITUTE(C11010," ",""),3))&amp;"-"&amp;TEXT(B11010,"AAMMDD")&amp;"-1")</f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si="436"/>
        <v/>
      </c>
    </row>
    <row r="11073" spans="20:20">
      <c r="T11073" t="str">
        <f t="shared" si="436"/>
        <v/>
      </c>
    </row>
    <row r="11074" spans="20:20">
      <c r="T11074" t="str">
        <f t="shared" ref="T11074:T11137" si="437">IF(C11074="","",UPPER(LEFT(SUBSTITUTE(C11074," ",""),3))&amp;"-"&amp;TEXT(B11074,"AAMMDD")&amp;"-1")</f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si="437"/>
        <v/>
      </c>
    </row>
    <row r="11137" spans="20:20">
      <c r="T11137" t="str">
        <f t="shared" si="437"/>
        <v/>
      </c>
    </row>
    <row r="11138" spans="20:20">
      <c r="T11138" t="str">
        <f t="shared" ref="T11138:T11201" si="438">IF(C11138="","",UPPER(LEFT(SUBSTITUTE(C11138," ",""),3))&amp;"-"&amp;TEXT(B11138,"AAMMDD")&amp;"-1")</f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si="438"/>
        <v/>
      </c>
    </row>
    <row r="11201" spans="20:20">
      <c r="T11201" t="str">
        <f t="shared" si="438"/>
        <v/>
      </c>
    </row>
    <row r="11202" spans="20:20">
      <c r="T11202" t="str">
        <f t="shared" ref="T11202:T11265" si="439">IF(C11202="","",UPPER(LEFT(SUBSTITUTE(C11202," ",""),3))&amp;"-"&amp;TEXT(B11202,"AAMMDD")&amp;"-1")</f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si="439"/>
        <v/>
      </c>
    </row>
    <row r="11265" spans="20:20">
      <c r="T11265" t="str">
        <f t="shared" si="439"/>
        <v/>
      </c>
    </row>
    <row r="11266" spans="20:20">
      <c r="T11266" t="str">
        <f t="shared" ref="T11266:T11329" si="440">IF(C11266="","",UPPER(LEFT(SUBSTITUTE(C11266," ",""),3))&amp;"-"&amp;TEXT(B11266,"AAMMDD")&amp;"-1")</f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si="440"/>
        <v/>
      </c>
    </row>
    <row r="11329" spans="20:20">
      <c r="T11329" t="str">
        <f t="shared" si="440"/>
        <v/>
      </c>
    </row>
    <row r="11330" spans="20:20">
      <c r="T11330" t="str">
        <f t="shared" ref="T11330:T11393" si="441">IF(C11330="","",UPPER(LEFT(SUBSTITUTE(C11330," ",""),3))&amp;"-"&amp;TEXT(B11330,"AAMMDD")&amp;"-1")</f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si="441"/>
        <v/>
      </c>
    </row>
    <row r="11393" spans="20:20">
      <c r="T11393" t="str">
        <f t="shared" si="441"/>
        <v/>
      </c>
    </row>
    <row r="11394" spans="20:20">
      <c r="T11394" t="str">
        <f t="shared" ref="T11394:T11457" si="442">IF(C11394="","",UPPER(LEFT(SUBSTITUTE(C11394," ",""),3))&amp;"-"&amp;TEXT(B11394,"AAMMDD")&amp;"-1")</f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si="442"/>
        <v/>
      </c>
    </row>
    <row r="11457" spans="20:20">
      <c r="T11457" t="str">
        <f t="shared" si="442"/>
        <v/>
      </c>
    </row>
    <row r="11458" spans="20:20">
      <c r="T11458" t="str">
        <f t="shared" ref="T11458:T11521" si="443">IF(C11458="","",UPPER(LEFT(SUBSTITUTE(C11458," ",""),3))&amp;"-"&amp;TEXT(B11458,"AAMMDD")&amp;"-1")</f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si="443"/>
        <v/>
      </c>
    </row>
    <row r="11521" spans="20:20">
      <c r="T11521" t="str">
        <f t="shared" si="443"/>
        <v/>
      </c>
    </row>
    <row r="11522" spans="20:20">
      <c r="T11522" t="str">
        <f t="shared" ref="T11522:T11585" si="444">IF(C11522="","",UPPER(LEFT(SUBSTITUTE(C11522," ",""),3))&amp;"-"&amp;TEXT(B11522,"AAMMDD")&amp;"-1")</f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si="444"/>
        <v/>
      </c>
    </row>
    <row r="11585" spans="20:20">
      <c r="T11585" t="str">
        <f t="shared" si="444"/>
        <v/>
      </c>
    </row>
    <row r="11586" spans="20:20">
      <c r="T11586" t="str">
        <f t="shared" ref="T11586:T11649" si="445">IF(C11586="","",UPPER(LEFT(SUBSTITUTE(C11586," ",""),3))&amp;"-"&amp;TEXT(B11586,"AAMMDD")&amp;"-1")</f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si="445"/>
        <v/>
      </c>
    </row>
    <row r="11649" spans="20:20">
      <c r="T11649" t="str">
        <f t="shared" si="445"/>
        <v/>
      </c>
    </row>
    <row r="11650" spans="20:20">
      <c r="T11650" t="str">
        <f t="shared" ref="T11650:T11713" si="446">IF(C11650="","",UPPER(LEFT(SUBSTITUTE(C11650," ",""),3))&amp;"-"&amp;TEXT(B11650,"AAMMDD")&amp;"-1")</f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si="446"/>
        <v/>
      </c>
    </row>
    <row r="11713" spans="20:20">
      <c r="T11713" t="str">
        <f t="shared" si="446"/>
        <v/>
      </c>
    </row>
    <row r="11714" spans="20:20">
      <c r="T11714" t="str">
        <f t="shared" ref="T11714:T11777" si="447">IF(C11714="","",UPPER(LEFT(SUBSTITUTE(C11714," ",""),3))&amp;"-"&amp;TEXT(B11714,"AAMMDD")&amp;"-1")</f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si="447"/>
        <v/>
      </c>
    </row>
    <row r="11777" spans="20:20">
      <c r="T11777" t="str">
        <f t="shared" si="447"/>
        <v/>
      </c>
    </row>
    <row r="11778" spans="20:20">
      <c r="T11778" t="str">
        <f t="shared" ref="T11778:T11841" si="448">IF(C11778="","",UPPER(LEFT(SUBSTITUTE(C11778," ",""),3))&amp;"-"&amp;TEXT(B11778,"AAMMDD")&amp;"-1")</f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si="448"/>
        <v/>
      </c>
    </row>
    <row r="11841" spans="20:20">
      <c r="T11841" t="str">
        <f t="shared" si="448"/>
        <v/>
      </c>
    </row>
    <row r="11842" spans="20:20">
      <c r="T11842" t="str">
        <f t="shared" ref="T11842:T11905" si="449">IF(C11842="","",UPPER(LEFT(SUBSTITUTE(C11842," ",""),3))&amp;"-"&amp;TEXT(B11842,"AAMMDD")&amp;"-1")</f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si="449"/>
        <v/>
      </c>
    </row>
    <row r="11905" spans="20:20">
      <c r="T11905" t="str">
        <f t="shared" si="449"/>
        <v/>
      </c>
    </row>
    <row r="11906" spans="20:20">
      <c r="T11906" t="str">
        <f t="shared" ref="T11906:T11969" si="450">IF(C11906="","",UPPER(LEFT(SUBSTITUTE(C11906," ",""),3))&amp;"-"&amp;TEXT(B11906,"AAMMDD")&amp;"-1")</f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si="450"/>
        <v/>
      </c>
    </row>
    <row r="11969" spans="20:20">
      <c r="T11969" t="str">
        <f t="shared" si="450"/>
        <v/>
      </c>
    </row>
    <row r="11970" spans="20:20">
      <c r="T11970" t="str">
        <f t="shared" ref="T11970:T12001" si="451">IF(C11970="","",UPPER(LEFT(SUBSTITUTE(C11970," ",""),3))&amp;"-"&amp;TEXT(B11970,"AAMMDD")&amp;"-1")</f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  <row r="12000" spans="20:20">
      <c r="T12000" t="str">
        <f t="shared" si="451"/>
        <v/>
      </c>
    </row>
    <row r="12001" spans="20:20">
      <c r="T12001" t="str">
        <f t="shared" si="451"/>
        <v/>
      </c>
    </row>
  </sheetData>
  <phoneticPr fontId="10" type="noConversion"/>
  <conditionalFormatting sqref="A5:Q5 A15:A2004 B505:Q2001 A6:P14 Q6:Q504 B15:P504">
    <cfRule type="expression" dxfId="8" priority="1">
      <formula>$I5="ENTRADA"</formula>
    </cfRule>
    <cfRule type="expression" dxfId="7" priority="2">
      <formula>$I5="SALIDA"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E5:E2001</xm:sqref>
        </x14:dataValidation>
        <x14:dataValidation type="list" allowBlank="1" xr:uid="{00000000-0002-0000-0000-000005000000}">
          <x14:formula1>
            <xm:f>Listas!$F$3:$F$200</xm:f>
          </x14:formula1>
          <xm:sqref>I5:I2001</xm:sqref>
        </x14:dataValidation>
        <x14:dataValidation type="list" allowBlank="1" xr:uid="{00000000-0002-0000-0000-000006000000}">
          <x14:formula1>
            <xm:f>Listas!$G$3:$G$200</xm:f>
          </x14:formula1>
          <xm:sqref>L5:L2001</xm:sqref>
        </x14:dataValidation>
        <x14:dataValidation type="list" allowBlank="1" xr:uid="{00000000-0002-0000-0000-000007000000}">
          <x14:formula1>
            <xm:f>Listas!$H$3:$H$200</xm:f>
          </x14:formula1>
          <xm:sqref>O5:O2001</xm:sqref>
        </x14:dataValidation>
        <x14:dataValidation type="list" allowBlank="1" xr:uid="{00000000-0002-0000-0000-000000000000}">
          <x14:formula1>
            <xm:f>Listas!$A$3:$A$200</xm:f>
          </x14:formula1>
          <xm:sqref>C5:C2001</xm:sqref>
        </x14:dataValidation>
        <x14:dataValidation type="list" allowBlank="1" xr:uid="{00000000-0002-0000-0000-000001000000}">
          <x14:formula1>
            <xm:f>Listas!$B$3:$B$200</xm:f>
          </x14:formula1>
          <xm:sqref>D5:D2001</xm:sqref>
        </x14:dataValidation>
        <x14:dataValidation type="list" allowBlank="1" xr:uid="{00000000-0002-0000-0000-000004000000}">
          <x14:formula1>
            <xm:f>Listas!$E$3:$E$200</xm:f>
          </x14:formula1>
          <xm:sqref>G5:G2001</xm:sqref>
        </x14:dataValidation>
        <x14:dataValidation type="list" allowBlank="1" xr:uid="{00000000-0002-0000-0000-000003000000}">
          <x14:formula1>
            <xm:f>Listas!$D$3:$D$200</xm:f>
          </x14:formula1>
          <xm:sqref>F5:F2001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2"/>
  <sheetViews>
    <sheetView showGridLines="0" workbookViewId="0">
      <pane ySplit="3" topLeftCell="A4" activePane="bottomLeft" state="frozen"/>
      <selection pane="bottomLeft" activeCell="B9" sqref="B9"/>
    </sheetView>
  </sheetViews>
  <sheetFormatPr defaultColWidth="9.140625" defaultRowHeight="15"/>
  <cols>
    <col min="1" max="1" width="14" style="16" customWidth="1"/>
    <col min="2" max="2" width="24" style="16" customWidth="1"/>
    <col min="3" max="3" width="36.42578125" style="16" bestFit="1" customWidth="1"/>
    <col min="4" max="4" width="14" style="16" customWidth="1"/>
    <col min="5" max="5" width="16" style="16" customWidth="1"/>
    <col min="6" max="6" width="18" style="16" customWidth="1"/>
    <col min="7" max="7" width="8" style="16" customWidth="1"/>
    <col min="8" max="8" width="12.85546875" style="16" customWidth="1"/>
    <col min="9" max="9" width="12.140625" style="16" bestFit="1" customWidth="1"/>
    <col min="10" max="10" width="12" style="16" customWidth="1"/>
    <col min="11" max="11" width="23.5703125" style="16" customWidth="1"/>
    <col min="12" max="16384" width="9.140625" style="16"/>
  </cols>
  <sheetData>
    <row r="1" spans="1:11" ht="18">
      <c r="A1" s="34" t="s">
        <v>2099</v>
      </c>
      <c r="B1" s="34"/>
      <c r="C1" s="34"/>
      <c r="D1" s="34"/>
      <c r="E1" s="34"/>
      <c r="F1" s="34"/>
      <c r="G1" s="34"/>
      <c r="H1" s="34"/>
    </row>
    <row r="2" spans="1:11">
      <c r="A2" s="17" t="s">
        <v>2100</v>
      </c>
    </row>
    <row r="3" spans="1:11" ht="25.5">
      <c r="A3" s="20" t="s">
        <v>2101</v>
      </c>
      <c r="B3" s="25" t="s">
        <v>2102</v>
      </c>
      <c r="C3" s="25" t="s">
        <v>2103</v>
      </c>
      <c r="D3" s="25" t="s">
        <v>27</v>
      </c>
      <c r="E3" s="25" t="s">
        <v>28</v>
      </c>
      <c r="F3" s="25" t="s">
        <v>29</v>
      </c>
      <c r="G3" s="25" t="s">
        <v>34</v>
      </c>
      <c r="H3" s="25" t="s">
        <v>2104</v>
      </c>
      <c r="I3" s="20" t="s">
        <v>2105</v>
      </c>
      <c r="J3" s="20" t="s">
        <v>2106</v>
      </c>
      <c r="K3" s="20" t="s">
        <v>2107</v>
      </c>
    </row>
    <row r="4" spans="1:11">
      <c r="A4" s="18" t="s">
        <v>2108</v>
      </c>
      <c r="B4" s="3" t="str">
        <f>IFERROR(INDEX(Movimientos!$C$5:$C$2001,MATCH(A4&amp;"ENTRADA",Movimientos!$R$5:$R$2001,0)),"-")</f>
        <v>Semilla colza</v>
      </c>
      <c r="C4" s="3" t="str">
        <f>IFERROR(INDEX(Movimientos!$D$5:$D$2001,MATCH(A4&amp;"ENTRADA",Movimientos!$R$5:$R$2001,0)),"-")</f>
        <v>CURRY CL</v>
      </c>
      <c r="D4" s="3" t="str">
        <f>IFERROR(INDEX(Movimientos!$E$5:$E$2001,MATCH(A4&amp;"ENTRADA",Movimientos!$R$5:$R$2001,0)),"-")</f>
        <v>Semilla</v>
      </c>
      <c r="E4" s="3">
        <f>IFERROR(INDEX(Movimientos!$F$5:$F$2001,MATCH(A4&amp;"ENTRADA",Movimientos!$R$5:$R$2001,0)),"-")</f>
        <v>0</v>
      </c>
      <c r="F4" s="3" t="str">
        <f>IFERROR(INDEX(Movimientos!$G$5:$G$2001,MATCH(A4&amp;"ENTRADA",Movimientos!$R$5:$R$2001,0)),"-")</f>
        <v>ERRO</v>
      </c>
      <c r="G4" s="3" t="str">
        <f>IFERROR(INDEX(Movimientos!$L$5:$L$2001,MATCH(A4&amp;"ENTRADA",Movimientos!$R$5:$R$2001,0)),"-")</f>
        <v>kg</v>
      </c>
      <c r="H4" s="19" t="str">
        <f>IFERROR(IF(INDEX(Movimientos!$M$5:$M$2001,MATCH(A4&amp;"ENTRADA",Movimientos!$R$5:$R$2001,0))=0,"S/D",INDEX(Movimientos!$M$5:$M$2001,MATCH(A4&amp;"ENTRADA",Movimientos!$R$5:$R$2001,0))),"S/D")</f>
        <v>S/D</v>
      </c>
      <c r="I4" s="16" t="str">
        <f t="shared" ref="I4:I67" ca="1" si="0">IF(OR(A4="",H4="S/D"),"S/D",H4-TODAY())</f>
        <v>S/D</v>
      </c>
      <c r="J4" s="6">
        <f>IF(A4="","",SUMIFS(Movimientos!$K:$K,Movimientos!$H:$H,A4))</f>
        <v>3400</v>
      </c>
      <c r="K4" s="14" t="str">
        <f t="shared" ref="K4:K67" ca="1" si="1">IF(A4="","",IF(H4="S/D","OK",IF(H4&lt;TODAY(),"VENCIDO",IF(J4&lt;=0,"SIN STOCK",IF(I4&gt;=180,"OK","PRÓXIMO A VENCER")))))</f>
        <v>OK</v>
      </c>
    </row>
    <row r="5" spans="1:11">
      <c r="A5" s="18" t="s">
        <v>120</v>
      </c>
      <c r="B5" s="3" t="str">
        <f>IFERROR(INDEX(Movimientos!$C$5:$C$2001,MATCH(A5&amp;"ENTRADA",Movimientos!$R$5:$R$2001,0)),"-")</f>
        <v>Korvetto</v>
      </c>
      <c r="C5" s="3" t="str">
        <f>IFERROR(INDEX(Movimientos!$D$5:$D$2001,MATCH(A5&amp;"ENTRADA",Movimientos!$R$5:$R$2001,0)),"-")</f>
        <v xml:space="preserve">Clopyralid 12% + Halauxyfen methyl 0,51% </v>
      </c>
      <c r="D5" s="3" t="str">
        <f>IFERROR(INDEX(Movimientos!$E$5:$E$2001,MATCH(A5&amp;"ENTRADA",Movimientos!$R$5:$R$2001,0)),"-")</f>
        <v>Herbicida</v>
      </c>
      <c r="E5" s="3" t="str">
        <f>IFERROR(INDEX(Movimientos!$F$5:$F$2001,MATCH(A5&amp;"ENTRADA",Movimientos!$R$5:$R$2001,0)),"-")</f>
        <v>Postemergente</v>
      </c>
      <c r="F5" s="3" t="str">
        <f>IFERROR(INDEX(Movimientos!$G$5:$G$2001,MATCH(A5&amp;"ENTRADA",Movimientos!$R$5:$R$2001,0)),"-")</f>
        <v>GS Agro</v>
      </c>
      <c r="G5" s="3" t="str">
        <f>IFERROR(INDEX(Movimientos!$L$5:$L$2001,MATCH(A5&amp;"ENTRADA",Movimientos!$R$5:$R$2001,0)),"-")</f>
        <v>L</v>
      </c>
      <c r="H5" s="19">
        <f>IFERROR(IF(INDEX(Movimientos!$M$5:$M$2001,MATCH(A5&amp;"ENTRADA",Movimientos!$R$5:$R$2001,0))=0,"S/D",INDEX(Movimientos!$M$5:$M$2001,MATCH(A5&amp;"ENTRADA",Movimientos!$R$5:$R$2001,0))),"S/D")</f>
        <v>46710</v>
      </c>
      <c r="I5" s="16">
        <f t="shared" ca="1" si="0"/>
        <v>590</v>
      </c>
      <c r="J5" s="6">
        <f>IF(A5="","",SUMIFS(Movimientos!$K:$K,Movimientos!$H:$H,A5))</f>
        <v>500</v>
      </c>
      <c r="K5" s="14" t="str">
        <f t="shared" ca="1" si="1"/>
        <v>OK</v>
      </c>
    </row>
    <row r="6" spans="1:11">
      <c r="A6" s="18" t="s">
        <v>2109</v>
      </c>
      <c r="B6" s="3" t="str">
        <f>IFERROR(INDEX(Movimientos!$C$5:$C$2001,MATCH(A6&amp;"ENTRADA",Movimientos!$R$5:$R$2001,0)),"-")</f>
        <v>Lontrel</v>
      </c>
      <c r="C6" s="3" t="str">
        <f>IFERROR(INDEX(Movimientos!$D$5:$D$2001,MATCH(A6&amp;"ENTRADA",Movimientos!$R$5:$R$2001,0)),"-")</f>
        <v>Clopyralid sal monoetanolamina 40.9%</v>
      </c>
      <c r="D6" s="3" t="str">
        <f>IFERROR(INDEX(Movimientos!$E$5:$E$2001,MATCH(A6&amp;"ENTRADA",Movimientos!$R$5:$R$2001,0)),"-")</f>
        <v>Herbicida</v>
      </c>
      <c r="E6" s="3" t="str">
        <f>IFERROR(INDEX(Movimientos!$F$5:$F$2001,MATCH(A6&amp;"ENTRADA",Movimientos!$R$5:$R$2001,0)),"-")</f>
        <v>Postemergente</v>
      </c>
      <c r="F6" s="3" t="str">
        <f>IFERROR(INDEX(Movimientos!$G$5:$G$2001,MATCH(A6&amp;"ENTRADA",Movimientos!$R$5:$R$2001,0)),"-")</f>
        <v>GS Agro</v>
      </c>
      <c r="G6" s="3" t="str">
        <f>IFERROR(INDEX(Movimientos!$L$5:$L$2001,MATCH(A6&amp;"ENTRADA",Movimientos!$R$5:$R$2001,0)),"-")</f>
        <v>L</v>
      </c>
      <c r="H6" s="19">
        <f>IFERROR(IF(INDEX(Movimientos!$M$5:$M$2001,MATCH(A6&amp;"ENTRADA",Movimientos!$R$5:$R$2001,0))=0,"S/D",INDEX(Movimientos!$M$5:$M$2001,MATCH(A6&amp;"ENTRADA",Movimientos!$R$5:$R$2001,0))),"S/D")</f>
        <v>46500</v>
      </c>
      <c r="I6" s="16">
        <f t="shared" ca="1" si="0"/>
        <v>380</v>
      </c>
      <c r="J6" s="6">
        <f>IF(A6="","",SUMIFS(Movimientos!$K:$K,Movimientos!$H:$H,A6))</f>
        <v>300</v>
      </c>
      <c r="K6" s="14" t="str">
        <f t="shared" ca="1" si="1"/>
        <v>OK</v>
      </c>
    </row>
    <row r="7" spans="1:11">
      <c r="A7" s="18" t="s">
        <v>83</v>
      </c>
      <c r="B7" s="3" t="str">
        <f>IFERROR(INDEX(Movimientos!$C$5:$C$2001,MATCH(A7&amp;"ENTRADA",Movimientos!$R$5:$R$2001,0)),"-")</f>
        <v>Preside</v>
      </c>
      <c r="C7" s="3" t="str">
        <f>IFERROR(INDEX(Movimientos!$D$5:$D$2001,MATCH(A7&amp;"ENTRADA",Movimientos!$R$5:$R$2001,0)),"-")</f>
        <v>Flumetsulam 11,35%</v>
      </c>
      <c r="D7" s="3" t="str">
        <f>IFERROR(INDEX(Movimientos!$E$5:$E$2001,MATCH(A7&amp;"ENTRADA",Movimientos!$R$5:$R$2001,0)),"-")</f>
        <v>Herbicida</v>
      </c>
      <c r="E7" s="3" t="str">
        <f>IFERROR(INDEX(Movimientos!$F$5:$F$2001,MATCH(A7&amp;"ENTRADA",Movimientos!$R$5:$R$2001,0)),"-")</f>
        <v>Preemergente</v>
      </c>
      <c r="F7" s="3" t="str">
        <f>IFERROR(INDEX(Movimientos!$G$5:$G$2001,MATCH(A7&amp;"ENTRADA",Movimientos!$R$5:$R$2001,0)),"-")</f>
        <v>GS Agro</v>
      </c>
      <c r="G7" s="3" t="str">
        <f>IFERROR(INDEX(Movimientos!$L$5:$L$2001,MATCH(A7&amp;"ENTRADA",Movimientos!$R$5:$R$2001,0)),"-")</f>
        <v>L</v>
      </c>
      <c r="H7" s="19">
        <f>IFERROR(IF(INDEX(Movimientos!$M$5:$M$2001,MATCH(A7&amp;"ENTRADA",Movimientos!$R$5:$R$2001,0))=0,"S/D",INDEX(Movimientos!$M$5:$M$2001,MATCH(A7&amp;"ENTRADA",Movimientos!$R$5:$R$2001,0))),"S/D")</f>
        <v>46528</v>
      </c>
      <c r="I7" s="16">
        <f t="shared" ca="1" si="0"/>
        <v>408</v>
      </c>
      <c r="J7" s="6">
        <f>IF(A7="","",SUMIFS(Movimientos!$K:$K,Movimientos!$H:$H,A7))</f>
        <v>2040</v>
      </c>
      <c r="K7" s="14" t="str">
        <f t="shared" ca="1" si="1"/>
        <v>OK</v>
      </c>
    </row>
    <row r="8" spans="1:11">
      <c r="A8" s="18" t="s">
        <v>2110</v>
      </c>
      <c r="B8" s="3" t="str">
        <f>IFERROR(INDEX(Movimientos!$C$5:$C$2001,MATCH(A8&amp;"ENTRADA",Movimientos!$R$5:$R$2001,0)),"-")</f>
        <v>Preside</v>
      </c>
      <c r="C8" s="3" t="str">
        <f>IFERROR(INDEX(Movimientos!$D$5:$D$2001,MATCH(A8&amp;"ENTRADA",Movimientos!$R$5:$R$2001,0)),"-")</f>
        <v>Flumetsulam 11,35%</v>
      </c>
      <c r="D8" s="3" t="str">
        <f>IFERROR(INDEX(Movimientos!$E$5:$E$2001,MATCH(A8&amp;"ENTRADA",Movimientos!$R$5:$R$2001,0)),"-")</f>
        <v>Herbicida</v>
      </c>
      <c r="E8" s="3" t="str">
        <f>IFERROR(INDEX(Movimientos!$F$5:$F$2001,MATCH(A8&amp;"ENTRADA",Movimientos!$R$5:$R$2001,0)),"-")</f>
        <v>Preemergente</v>
      </c>
      <c r="F8" s="3" t="str">
        <f>IFERROR(INDEX(Movimientos!$G$5:$G$2001,MATCH(A8&amp;"ENTRADA",Movimientos!$R$5:$R$2001,0)),"-")</f>
        <v>GS Agro</v>
      </c>
      <c r="G8" s="3" t="str">
        <f>IFERROR(INDEX(Movimientos!$L$5:$L$2001,MATCH(A8&amp;"ENTRADA",Movimientos!$R$5:$R$2001,0)),"-")</f>
        <v>L</v>
      </c>
      <c r="H8" s="19">
        <f>IFERROR(IF(INDEX(Movimientos!$M$5:$M$2001,MATCH(A8&amp;"ENTRADA",Movimientos!$R$5:$R$2001,0))=0,"S/D",INDEX(Movimientos!$M$5:$M$2001,MATCH(A8&amp;"ENTRADA",Movimientos!$R$5:$R$2001,0))),"S/D")</f>
        <v>46761</v>
      </c>
      <c r="I8" s="16">
        <f t="shared" ca="1" si="0"/>
        <v>641</v>
      </c>
      <c r="J8" s="6">
        <f>IF(A8="","",SUMIFS(Movimientos!$K:$K,Movimientos!$H:$H,A8))</f>
        <v>100</v>
      </c>
      <c r="K8" s="14" t="str">
        <f t="shared" ca="1" si="1"/>
        <v>OK</v>
      </c>
    </row>
    <row r="9" spans="1:11">
      <c r="A9" s="18" t="s">
        <v>2111</v>
      </c>
      <c r="B9" s="3" t="str">
        <f>IFERROR(INDEX(Movimientos!$C$5:$C$2001,MATCH(A9&amp;"ENTRADA",Movimientos!$R$5:$R$2001,0)),"-")</f>
        <v>Tordon 24K</v>
      </c>
      <c r="C9" s="3" t="str">
        <f>IFERROR(INDEX(Movimientos!$D$5:$D$2001,MATCH(A9&amp;"ENTRADA",Movimientos!$R$5:$R$2001,0)),"-")</f>
        <v>Picloram 24,9%</v>
      </c>
      <c r="D9" s="3" t="str">
        <f>IFERROR(INDEX(Movimientos!$E$5:$E$2001,MATCH(A9&amp;"ENTRADA",Movimientos!$R$5:$R$2001,0)),"-")</f>
        <v>Herbicida</v>
      </c>
      <c r="E9" s="3" t="str">
        <f>IFERROR(INDEX(Movimientos!$F$5:$F$2001,MATCH(A9&amp;"ENTRADA",Movimientos!$R$5:$R$2001,0)),"-")</f>
        <v>Postemergente</v>
      </c>
      <c r="F9" s="3" t="str">
        <f>IFERROR(INDEX(Movimientos!$G$5:$G$2001,MATCH(A9&amp;"ENTRADA",Movimientos!$R$5:$R$2001,0)),"-")</f>
        <v>GS Agro</v>
      </c>
      <c r="G9" s="3" t="str">
        <f>IFERROR(INDEX(Movimientos!$L$5:$L$2001,MATCH(A9&amp;"ENTRADA",Movimientos!$R$5:$R$2001,0)),"-")</f>
        <v>L</v>
      </c>
      <c r="H9" s="19">
        <f>IFERROR(IF(INDEX(Movimientos!$M$5:$M$2001,MATCH(A9&amp;"ENTRADA",Movimientos!$R$5:$R$2001,0))=0,"S/D",INDEX(Movimientos!$M$5:$M$2001,MATCH(A9&amp;"ENTRADA",Movimientos!$R$5:$R$2001,0))),"S/D")</f>
        <v>46517</v>
      </c>
      <c r="I9" s="16">
        <f t="shared" ca="1" si="0"/>
        <v>397</v>
      </c>
      <c r="J9" s="6">
        <f>IF(A9="","",SUMIFS(Movimientos!$K:$K,Movimientos!$H:$H,A9))</f>
        <v>300</v>
      </c>
      <c r="K9" s="14" t="str">
        <f t="shared" ca="1" si="1"/>
        <v>OK</v>
      </c>
    </row>
    <row r="10" spans="1:11">
      <c r="A10" s="18" t="s">
        <v>111</v>
      </c>
      <c r="B10" s="3" t="str">
        <f>IFERROR(INDEX(Movimientos!$C$5:$C$2001,MATCH(A10&amp;"ENTRADA",Movimientos!$R$5:$R$2001,0)),"-")</f>
        <v>Tronador</v>
      </c>
      <c r="C10" s="3" t="str">
        <f>IFERROR(INDEX(Movimientos!$D$5:$D$2001,MATCH(A10&amp;"ENTRADA",Movimientos!$R$5:$R$2001,0)),"-")</f>
        <v>Halauxifen metil 3.3% + Aminopyralid 2.7% + Metsulfuron metil 20%</v>
      </c>
      <c r="D10" s="3" t="str">
        <f>IFERROR(INDEX(Movimientos!$E$5:$E$2001,MATCH(A10&amp;"ENTRADA",Movimientos!$R$5:$R$2001,0)),"-")</f>
        <v>Herbicida</v>
      </c>
      <c r="E10" s="3" t="str">
        <f>IFERROR(INDEX(Movimientos!$F$5:$F$2001,MATCH(A10&amp;"ENTRADA",Movimientos!$R$5:$R$2001,0)),"-")</f>
        <v>Postemergente</v>
      </c>
      <c r="F10" s="3" t="str">
        <f>IFERROR(INDEX(Movimientos!$G$5:$G$2001,MATCH(A10&amp;"ENTRADA",Movimientos!$R$5:$R$2001,0)),"-")</f>
        <v>GS Agro</v>
      </c>
      <c r="G10" s="3" t="str">
        <f>IFERROR(INDEX(Movimientos!$L$5:$L$2001,MATCH(A10&amp;"ENTRADA",Movimientos!$R$5:$R$2001,0)),"-")</f>
        <v>Pack</v>
      </c>
      <c r="H10" s="19">
        <f>IFERROR(IF(INDEX(Movimientos!$M$5:$M$2001,MATCH(A10&amp;"ENTRADA",Movimientos!$R$5:$R$2001,0))=0,"S/D",INDEX(Movimientos!$M$5:$M$2001,MATCH(A10&amp;"ENTRADA",Movimientos!$R$5:$R$2001,0))),"S/D")</f>
        <v>46443</v>
      </c>
      <c r="I10" s="16">
        <f t="shared" ca="1" si="0"/>
        <v>323</v>
      </c>
      <c r="J10" s="6">
        <f>IF(A10="","",SUMIFS(Movimientos!$K:$K,Movimientos!$H:$H,A10))</f>
        <v>285</v>
      </c>
      <c r="K10" s="14" t="str">
        <f t="shared" ca="1" si="1"/>
        <v>OK</v>
      </c>
    </row>
    <row r="11" spans="1:11">
      <c r="A11" s="18" t="s">
        <v>87</v>
      </c>
      <c r="B11" s="3" t="str">
        <f>IFERROR(INDEX(Movimientos!$C$5:$C$2001,MATCH(A11&amp;"ENTRADA",Movimientos!$R$5:$R$2001,0)),"-")</f>
        <v>Venceweed extra</v>
      </c>
      <c r="C11" s="3" t="str">
        <f>IFERROR(INDEX(Movimientos!$D$5:$D$2001,MATCH(A11&amp;"ENTRADA",Movimientos!$R$5:$R$2001,0)),"-")</f>
        <v>2,4-Db-Butilo 93.1%</v>
      </c>
      <c r="D11" s="3" t="str">
        <f>IFERROR(INDEX(Movimientos!$E$5:$E$2001,MATCH(A11&amp;"ENTRADA",Movimientos!$R$5:$R$2001,0)),"-")</f>
        <v>Herbicida</v>
      </c>
      <c r="E11" s="3" t="str">
        <f>IFERROR(INDEX(Movimientos!$F$5:$F$2001,MATCH(A11&amp;"ENTRADA",Movimientos!$R$5:$R$2001,0)),"-")</f>
        <v>Postemergente</v>
      </c>
      <c r="F11" s="3" t="str">
        <f>IFERROR(INDEX(Movimientos!$G$5:$G$2001,MATCH(A11&amp;"ENTRADA",Movimientos!$R$5:$R$2001,0)),"-")</f>
        <v>GS Agro</v>
      </c>
      <c r="G11" s="3" t="str">
        <f>IFERROR(INDEX(Movimientos!$L$5:$L$2001,MATCH(A11&amp;"ENTRADA",Movimientos!$R$5:$R$2001,0)),"-")</f>
        <v>L</v>
      </c>
      <c r="H11" s="19">
        <f>IFERROR(IF(INDEX(Movimientos!$M$5:$M$2001,MATCH(A11&amp;"ENTRADA",Movimientos!$R$5:$R$2001,0))=0,"S/D",INDEX(Movimientos!$M$5:$M$2001,MATCH(A11&amp;"ENTRADA",Movimientos!$R$5:$R$2001,0))),"S/D")</f>
        <v>46737</v>
      </c>
      <c r="I11" s="16">
        <f t="shared" ref="I11:I74" ca="1" si="2">IF(OR(A11="",H11="S/D"),"S/D",H11-TODAY())</f>
        <v>617</v>
      </c>
      <c r="J11" s="6">
        <f>IF(A11="","",SUMIFS(Movimientos!$K:$K,Movimientos!$H:$H,A11))</f>
        <v>2340</v>
      </c>
      <c r="K11" s="14" t="str">
        <f t="shared" ref="K11:K74" ca="1" si="3">IF(A11="","",IF(H11="S/D","OK",IF(H11&lt;TODAY(),"VENCIDO",IF(J11&lt;=0,"SIN STOCK",IF(I11&gt;=180,"OK","PRÓXIMO A VENCER")))))</f>
        <v>OK</v>
      </c>
    </row>
    <row r="12" spans="1:11" ht="14.25">
      <c r="A12" s="18" t="s">
        <v>2112</v>
      </c>
      <c r="B12" s="3" t="str">
        <f>IFERROR(INDEX(Movimientos!$C$5:$C$2001,MATCH(A12&amp;"ENTRADA",Movimientos!$R$5:$R$2001,0)),"-")</f>
        <v>Silobolsa</v>
      </c>
      <c r="C12" s="3" t="str">
        <f>IFERROR(INDEX(Movimientos!$D$5:$D$2001,MATCH(A12&amp;"ENTRADA",Movimientos!$R$5:$R$2001,0)),"-")</f>
        <v>Silobolsa 9 pies</v>
      </c>
      <c r="D12" s="3" t="str">
        <f>IFERROR(INDEX(Movimientos!$E$5:$E$2001,MATCH(A12&amp;"ENTRADA",Movimientos!$R$5:$R$2001,0)),"-")</f>
        <v>Silobolsa</v>
      </c>
      <c r="E12" s="3">
        <f>IFERROR(INDEX(Movimientos!$F$5:$F$2001,MATCH(A12&amp;"ENTRADA",Movimientos!$R$5:$R$2001,0)),"-")</f>
        <v>0</v>
      </c>
      <c r="F12" s="3" t="str">
        <f>IFERROR(INDEX(Movimientos!$G$5:$G$2001,MATCH(A12&amp;"ENTRADA",Movimientos!$R$5:$R$2001,0)),"-")</f>
        <v>AYP Agrogestiones</v>
      </c>
      <c r="G12" s="3" t="str">
        <f>IFERROR(INDEX(Movimientos!$L$5:$L$2001,MATCH(A12&amp;"ENTRADA",Movimientos!$R$5:$R$2001,0)),"-")</f>
        <v>unidad</v>
      </c>
      <c r="H12" s="19" t="str">
        <f>IFERROR(IF(INDEX(Movimientos!$M$5:$M$2001,MATCH(A12&amp;"ENTRADA",Movimientos!$R$5:$R$2001,0))=0,"S/D",INDEX(Movimientos!$M$5:$M$2001,MATCH(A12&amp;"ENTRADA",Movimientos!$R$5:$R$2001,0))),"S/D")</f>
        <v>S/D</v>
      </c>
      <c r="I12" s="16" t="str">
        <f t="shared" ca="1" si="2"/>
        <v>S/D</v>
      </c>
      <c r="J12" s="6">
        <f>IF(A12="","",SUMIFS(Movimientos!$K:$K,Movimientos!$H:$H,A12))</f>
        <v>3</v>
      </c>
      <c r="K12" s="14" t="str">
        <f t="shared" ca="1" si="3"/>
        <v>OK</v>
      </c>
    </row>
    <row r="13" spans="1:11">
      <c r="A13" s="18" t="s">
        <v>108</v>
      </c>
      <c r="B13" s="3" t="str">
        <f>IFERROR(INDEX(Movimientos!$C$5:$C$2001,MATCH(A13&amp;"ENTRADA",Movimientos!$R$5:$R$2001,0)),"-")</f>
        <v>Dedalo elite</v>
      </c>
      <c r="C13" s="3" t="str">
        <f>IFERROR(INDEX(Movimientos!$D$5:$D$2001,MATCH(A13&amp;"ENTRADA",Movimientos!$R$5:$R$2001,0)),"-")</f>
        <v>2,4 D Acido 27.2%</v>
      </c>
      <c r="D13" s="3" t="str">
        <f>IFERROR(INDEX(Movimientos!$E$5:$E$2001,MATCH(A13&amp;"ENTRADA",Movimientos!$R$5:$R$2001,0)),"-")</f>
        <v>Herbicida</v>
      </c>
      <c r="E13" s="3" t="str">
        <f>IFERROR(INDEX(Movimientos!$F$5:$F$2001,MATCH(A13&amp;"ENTRADA",Movimientos!$R$5:$R$2001,0)),"-")</f>
        <v>Postemergente</v>
      </c>
      <c r="F13" s="3" t="str">
        <f>IFERROR(INDEX(Movimientos!$G$5:$G$2001,MATCH(A13&amp;"ENTRADA",Movimientos!$R$5:$R$2001,0)),"-")</f>
        <v>Agromil</v>
      </c>
      <c r="G13" s="3" t="str">
        <f>IFERROR(INDEX(Movimientos!$L$5:$L$2001,MATCH(A13&amp;"ENTRADA",Movimientos!$R$5:$R$2001,0)),"-")</f>
        <v>L</v>
      </c>
      <c r="H13" s="19">
        <f>IFERROR(IF(INDEX(Movimientos!$M$5:$M$2001,MATCH(A13&amp;"ENTRADA",Movimientos!$R$5:$R$2001,0))=0,"S/D",INDEX(Movimientos!$M$5:$M$2001,MATCH(A13&amp;"ENTRADA",Movimientos!$R$5:$R$2001,0))),"S/D")</f>
        <v>46725</v>
      </c>
      <c r="I13" s="16">
        <f t="shared" ca="1" si="2"/>
        <v>605</v>
      </c>
      <c r="J13" s="6">
        <f>IF(A13="","",SUMIFS(Movimientos!$K:$K,Movimientos!$H:$H,A13))</f>
        <v>11900</v>
      </c>
      <c r="K13" s="14" t="str">
        <f t="shared" ca="1" si="3"/>
        <v>OK</v>
      </c>
    </row>
    <row r="14" spans="1:11">
      <c r="A14" s="18" t="s">
        <v>2113</v>
      </c>
      <c r="B14" s="3" t="str">
        <f>IFERROR(INDEX(Movimientos!$C$5:$C$2001,MATCH(A14&amp;"ENTRADA",Movimientos!$R$5:$R$2001,0)),"-")</f>
        <v>Semilla Raigrás</v>
      </c>
      <c r="C14" s="3">
        <f>IFERROR(INDEX(Movimientos!$D$5:$D$2001,MATCH(A14&amp;"ENTRADA",Movimientos!$R$5:$R$2001,0)),"-")</f>
        <v>0</v>
      </c>
      <c r="D14" s="3" t="str">
        <f>IFERROR(INDEX(Movimientos!$E$5:$E$2001,MATCH(A14&amp;"ENTRADA",Movimientos!$R$5:$R$2001,0)),"-")</f>
        <v>Semilla</v>
      </c>
      <c r="E14" s="3">
        <f>IFERROR(INDEX(Movimientos!$F$5:$F$2001,MATCH(A14&amp;"ENTRADA",Movimientos!$R$5:$R$2001,0)),"-")</f>
        <v>0</v>
      </c>
      <c r="F14" s="3" t="str">
        <f>IFERROR(INDEX(Movimientos!$G$5:$G$2001,MATCH(A14&amp;"ENTRADA",Movimientos!$R$5:$R$2001,0)),"-")</f>
        <v>Granicor</v>
      </c>
      <c r="G14" s="3" t="str">
        <f>IFERROR(INDEX(Movimientos!$L$5:$L$2001,MATCH(A14&amp;"ENTRADA",Movimientos!$R$5:$R$2001,0)),"-")</f>
        <v>kg</v>
      </c>
      <c r="H14" s="19" t="str">
        <f>IFERROR(IF(INDEX(Movimientos!$M$5:$M$2001,MATCH(A14&amp;"ENTRADA",Movimientos!$R$5:$R$2001,0))=0,"S/D",INDEX(Movimientos!$M$5:$M$2001,MATCH(A14&amp;"ENTRADA",Movimientos!$R$5:$R$2001,0))),"S/D")</f>
        <v>S/D</v>
      </c>
      <c r="I14" s="16" t="str">
        <f t="shared" ca="1" si="2"/>
        <v>S/D</v>
      </c>
      <c r="J14" s="6">
        <f>IF(A14="","",SUMIFS(Movimientos!$K:$K,Movimientos!$H:$H,A14))</f>
        <v>14000</v>
      </c>
      <c r="K14" s="14" t="str">
        <f t="shared" ca="1" si="3"/>
        <v>OK</v>
      </c>
    </row>
    <row r="15" spans="1:11">
      <c r="A15" s="18" t="s">
        <v>114</v>
      </c>
      <c r="B15" s="3" t="str">
        <f>IFERROR(INDEX(Movimientos!$C$5:$C$2001,MATCH(A15&amp;"ENTRADA",Movimientos!$R$5:$R$2001,0)),"-")</f>
        <v>Starane Xtra</v>
      </c>
      <c r="C15" s="3" t="str">
        <f>IFERROR(INDEX(Movimientos!$D$5:$D$2001,MATCH(A15&amp;"ENTRADA",Movimientos!$R$5:$R$2001,0)),"-")</f>
        <v>Fluroxypyr Meptil 45,52%</v>
      </c>
      <c r="D15" s="3" t="str">
        <f>IFERROR(INDEX(Movimientos!$E$5:$E$2001,MATCH(A15&amp;"ENTRADA",Movimientos!$R$5:$R$2001,0)),"-")</f>
        <v>Herbicida</v>
      </c>
      <c r="E15" s="3" t="str">
        <f>IFERROR(INDEX(Movimientos!$F$5:$F$2001,MATCH(A15&amp;"ENTRADA",Movimientos!$R$5:$R$2001,0)),"-")</f>
        <v>Postemergente</v>
      </c>
      <c r="F15" s="3" t="str">
        <f>IFERROR(INDEX(Movimientos!$G$5:$G$2001,MATCH(A15&amp;"ENTRADA",Movimientos!$R$5:$R$2001,0)),"-")</f>
        <v>GS Agro</v>
      </c>
      <c r="G15" s="3" t="str">
        <f>IFERROR(INDEX(Movimientos!$L$5:$L$2001,MATCH(A15&amp;"ENTRADA",Movimientos!$R$5:$R$2001,0)),"-")</f>
        <v>L</v>
      </c>
      <c r="H15" s="19" t="str">
        <f>IFERROR(IF(INDEX(Movimientos!$M$5:$M$2001,MATCH(A15&amp;"ENTRADA",Movimientos!$R$5:$R$2001,0))=0,"S/D",INDEX(Movimientos!$M$5:$M$2001,MATCH(A15&amp;"ENTRADA",Movimientos!$R$5:$R$2001,0))),"S/D")</f>
        <v>S/D</v>
      </c>
      <c r="I15" s="16" t="str">
        <f t="shared" ca="1" si="2"/>
        <v>S/D</v>
      </c>
      <c r="J15" s="6">
        <f>IF(A15="","",SUMIFS(Movimientos!$K:$K,Movimientos!$H:$H,A15))</f>
        <v>540</v>
      </c>
      <c r="K15" s="14" t="str">
        <f t="shared" ca="1" si="3"/>
        <v>OK</v>
      </c>
    </row>
    <row r="16" spans="1:11">
      <c r="A16" s="18" t="s">
        <v>117</v>
      </c>
      <c r="B16" s="3" t="str">
        <f>IFERROR(INDEX(Movimientos!$C$5:$C$2001,MATCH(A16&amp;"ENTRADA",Movimientos!$R$5:$R$2001,0)),"-")</f>
        <v>Pixxaro</v>
      </c>
      <c r="C16" s="3" t="str">
        <f>IFERROR(INDEX(Movimientos!$D$5:$D$2001,MATCH(A16&amp;"ENTRADA",Movimientos!$R$5:$R$2001,0)),"-")</f>
        <v>Fluroxypyr meptyl 34,91% + Halauxyfen methyl 1.64% + Cloquintocet mexyl 1.57%</v>
      </c>
      <c r="D16" s="3" t="str">
        <f>IFERROR(INDEX(Movimientos!$E$5:$E$2001,MATCH(A16&amp;"ENTRADA",Movimientos!$R$5:$R$2001,0)),"-")</f>
        <v>Herbicida</v>
      </c>
      <c r="E16" s="3" t="str">
        <f>IFERROR(INDEX(Movimientos!$F$5:$F$2001,MATCH(A16&amp;"ENTRADA",Movimientos!$R$5:$R$2001,0)),"-")</f>
        <v>Postemergente</v>
      </c>
      <c r="F16" s="3" t="str">
        <f>IFERROR(INDEX(Movimientos!$G$5:$G$2001,MATCH(A16&amp;"ENTRADA",Movimientos!$R$5:$R$2001,0)),"-")</f>
        <v>GS Agro</v>
      </c>
      <c r="G16" s="3" t="str">
        <f>IFERROR(INDEX(Movimientos!$L$5:$L$2001,MATCH(A16&amp;"ENTRADA",Movimientos!$R$5:$R$2001,0)),"-")</f>
        <v>L</v>
      </c>
      <c r="H16" s="19" t="str">
        <f>IFERROR(IF(INDEX(Movimientos!$M$5:$M$2001,MATCH(A16&amp;"ENTRADA",Movimientos!$R$5:$R$2001,0))=0,"S/D",INDEX(Movimientos!$M$5:$M$2001,MATCH(A16&amp;"ENTRADA",Movimientos!$R$5:$R$2001,0))),"S/D")</f>
        <v>S/D</v>
      </c>
      <c r="I16" s="16" t="str">
        <f t="shared" ca="1" si="2"/>
        <v>S/D</v>
      </c>
      <c r="J16" s="6">
        <f>IF(A16="","",SUMIFS(Movimientos!$K:$K,Movimientos!$H:$H,A16))</f>
        <v>200</v>
      </c>
      <c r="K16" s="14" t="str">
        <f t="shared" ca="1" si="3"/>
        <v>OK</v>
      </c>
    </row>
    <row r="17" spans="1:11">
      <c r="A17" s="18"/>
      <c r="B17" s="3" t="str">
        <f>IFERROR(INDEX(Movimientos!$C$5:$C$2001,MATCH(A17&amp;"ENTRADA",Movimientos!$R$5:$R$2001,0)),"-")</f>
        <v>-</v>
      </c>
      <c r="C17" s="3" t="str">
        <f>IFERROR(INDEX(Movimientos!$D$5:$D$2001,MATCH(A17&amp;"ENTRADA",Movimientos!$R$5:$R$2001,0)),"-")</f>
        <v>-</v>
      </c>
      <c r="D17" s="3" t="str">
        <f>IFERROR(INDEX(Movimientos!$E$5:$E$2001,MATCH(A17&amp;"ENTRADA",Movimientos!$R$5:$R$2001,0)),"-")</f>
        <v>-</v>
      </c>
      <c r="E17" s="3" t="str">
        <f>IFERROR(INDEX(Movimientos!$F$5:$F$2001,MATCH(A17&amp;"ENTRADA",Movimientos!$R$5:$R$2001,0)),"-")</f>
        <v>-</v>
      </c>
      <c r="F17" s="3" t="str">
        <f>IFERROR(INDEX(Movimientos!$G$5:$G$2001,MATCH(A17&amp;"ENTRADA",Movimientos!$R$5:$R$2001,0)),"-")</f>
        <v>-</v>
      </c>
      <c r="G17" s="3" t="str">
        <f>IFERROR(INDEX(Movimientos!$L$5:$L$2001,MATCH(A17&amp;"ENTRADA",Movimientos!$R$5:$R$2001,0)),"-")</f>
        <v>-</v>
      </c>
      <c r="H17" s="19" t="str">
        <f>IFERROR(IF(INDEX(Movimientos!$M$5:$M$2001,MATCH(A17&amp;"ENTRADA",Movimientos!$R$5:$R$2001,0))=0,"S/D",INDEX(Movimientos!$M$5:$M$2001,MATCH(A17&amp;"ENTRADA",Movimientos!$R$5:$R$2001,0))),"S/D")</f>
        <v>S/D</v>
      </c>
      <c r="I17" s="16" t="str">
        <f t="shared" ca="1" si="2"/>
        <v>S/D</v>
      </c>
      <c r="J17" s="6" t="str">
        <f>IF(A17="","",SUMIFS(Movimientos!$K:$K,Movimientos!$H:$H,A17))</f>
        <v/>
      </c>
      <c r="K17" s="14" t="str">
        <f t="shared" ca="1" si="3"/>
        <v/>
      </c>
    </row>
    <row r="18" spans="1:11">
      <c r="A18" s="18"/>
      <c r="B18" s="3" t="str">
        <f>IFERROR(INDEX(Movimientos!$C$5:$C$2001,MATCH(A18&amp;"ENTRADA",Movimientos!$R$5:$R$2001,0)),"-")</f>
        <v>-</v>
      </c>
      <c r="C18" s="3" t="str">
        <f>IFERROR(INDEX(Movimientos!$D$5:$D$2001,MATCH(A18&amp;"ENTRADA",Movimientos!$R$5:$R$2001,0)),"-")</f>
        <v>-</v>
      </c>
      <c r="D18" s="3" t="str">
        <f>IFERROR(INDEX(Movimientos!$E$5:$E$2001,MATCH(A18&amp;"ENTRADA",Movimientos!$R$5:$R$2001,0)),"-")</f>
        <v>-</v>
      </c>
      <c r="E18" s="3" t="str">
        <f>IFERROR(INDEX(Movimientos!$F$5:$F$2001,MATCH(A18&amp;"ENTRADA",Movimientos!$R$5:$R$2001,0)),"-")</f>
        <v>-</v>
      </c>
      <c r="F18" s="3" t="str">
        <f>IFERROR(INDEX(Movimientos!$G$5:$G$2001,MATCH(A18&amp;"ENTRADA",Movimientos!$R$5:$R$2001,0)),"-")</f>
        <v>-</v>
      </c>
      <c r="G18" s="3" t="str">
        <f>IFERROR(INDEX(Movimientos!$L$5:$L$2001,MATCH(A18&amp;"ENTRADA",Movimientos!$R$5:$R$2001,0)),"-")</f>
        <v>-</v>
      </c>
      <c r="H18" s="19" t="str">
        <f>IFERROR(IF(INDEX(Movimientos!$M$5:$M$2001,MATCH(A18&amp;"ENTRADA",Movimientos!$R$5:$R$2001,0))=0,"S/D",INDEX(Movimientos!$M$5:$M$2001,MATCH(A18&amp;"ENTRADA",Movimientos!$R$5:$R$2001,0))),"S/D")</f>
        <v>S/D</v>
      </c>
      <c r="I18" s="16" t="str">
        <f t="shared" ca="1" si="2"/>
        <v>S/D</v>
      </c>
      <c r="J18" s="6" t="str">
        <f>IF(A18="","",SUMIFS(Movimientos!$K:$K,Movimientos!$H:$H,A18))</f>
        <v/>
      </c>
      <c r="K18" s="14" t="str">
        <f t="shared" ca="1" si="3"/>
        <v/>
      </c>
    </row>
    <row r="19" spans="1:11">
      <c r="A19" s="18"/>
      <c r="B19" s="3" t="str">
        <f>IFERROR(INDEX(Movimientos!$C$5:$C$2001,MATCH(A19&amp;"ENTRADA",Movimientos!$R$5:$R$2001,0)),"-")</f>
        <v>-</v>
      </c>
      <c r="C19" s="3" t="str">
        <f>IFERROR(INDEX(Movimientos!$D$5:$D$2001,MATCH(A19&amp;"ENTRADA",Movimientos!$R$5:$R$2001,0)),"-")</f>
        <v>-</v>
      </c>
      <c r="D19" s="3" t="str">
        <f>IFERROR(INDEX(Movimientos!$E$5:$E$2001,MATCH(A19&amp;"ENTRADA",Movimientos!$R$5:$R$2001,0)),"-")</f>
        <v>-</v>
      </c>
      <c r="E19" s="3" t="str">
        <f>IFERROR(INDEX(Movimientos!$F$5:$F$2001,MATCH(A19&amp;"ENTRADA",Movimientos!$R$5:$R$2001,0)),"-")</f>
        <v>-</v>
      </c>
      <c r="F19" s="3" t="str">
        <f>IFERROR(INDEX(Movimientos!$G$5:$G$2001,MATCH(A19&amp;"ENTRADA",Movimientos!$R$5:$R$2001,0)),"-")</f>
        <v>-</v>
      </c>
      <c r="G19" s="3" t="str">
        <f>IFERROR(INDEX(Movimientos!$L$5:$L$2001,MATCH(A19&amp;"ENTRADA",Movimientos!$R$5:$R$2001,0)),"-")</f>
        <v>-</v>
      </c>
      <c r="H19" s="19" t="str">
        <f>IFERROR(IF(INDEX(Movimientos!$M$5:$M$2001,MATCH(A19&amp;"ENTRADA",Movimientos!$R$5:$R$2001,0))=0,"S/D",INDEX(Movimientos!$M$5:$M$2001,MATCH(A19&amp;"ENTRADA",Movimientos!$R$5:$R$2001,0))),"S/D")</f>
        <v>S/D</v>
      </c>
      <c r="I19" s="16" t="str">
        <f t="shared" ca="1" si="2"/>
        <v>S/D</v>
      </c>
      <c r="J19" s="6" t="str">
        <f>IF(A19="","",SUMIFS(Movimientos!$K:$K,Movimientos!$H:$H,A19))</f>
        <v/>
      </c>
      <c r="K19" s="14" t="str">
        <f t="shared" ca="1" si="3"/>
        <v/>
      </c>
    </row>
    <row r="20" spans="1:11">
      <c r="A20" s="18"/>
      <c r="B20" s="3" t="str">
        <f>IFERROR(INDEX(Movimientos!$C$5:$C$2001,MATCH(A20&amp;"ENTRADA",Movimientos!$R$5:$R$2001,0)),"-")</f>
        <v>-</v>
      </c>
      <c r="C20" s="3" t="str">
        <f>IFERROR(INDEX(Movimientos!$D$5:$D$2001,MATCH(A20&amp;"ENTRADA",Movimientos!$R$5:$R$2001,0)),"-")</f>
        <v>-</v>
      </c>
      <c r="D20" s="3" t="str">
        <f>IFERROR(INDEX(Movimientos!$E$5:$E$2001,MATCH(A20&amp;"ENTRADA",Movimientos!$R$5:$R$2001,0)),"-")</f>
        <v>-</v>
      </c>
      <c r="E20" s="3" t="str">
        <f>IFERROR(INDEX(Movimientos!$F$5:$F$2001,MATCH(A20&amp;"ENTRADA",Movimientos!$R$5:$R$2001,0)),"-")</f>
        <v>-</v>
      </c>
      <c r="F20" s="3" t="str">
        <f>IFERROR(INDEX(Movimientos!$G$5:$G$2001,MATCH(A20&amp;"ENTRADA",Movimientos!$R$5:$R$2001,0)),"-")</f>
        <v>-</v>
      </c>
      <c r="G20" s="3" t="str">
        <f>IFERROR(INDEX(Movimientos!$L$5:$L$2001,MATCH(A20&amp;"ENTRADA",Movimientos!$R$5:$R$2001,0)),"-")</f>
        <v>-</v>
      </c>
      <c r="H20" s="19" t="str">
        <f>IFERROR(IF(INDEX(Movimientos!$M$5:$M$2001,MATCH(A20&amp;"ENTRADA",Movimientos!$R$5:$R$2001,0))=0,"S/D",INDEX(Movimientos!$M$5:$M$2001,MATCH(A20&amp;"ENTRADA",Movimientos!$R$5:$R$2001,0))),"S/D")</f>
        <v>S/D</v>
      </c>
      <c r="I20" s="16" t="str">
        <f t="shared" ca="1" si="2"/>
        <v>S/D</v>
      </c>
      <c r="J20" s="6" t="str">
        <f>IF(A20="","",SUMIFS(Movimientos!$K:$K,Movimientos!$H:$H,A20))</f>
        <v/>
      </c>
      <c r="K20" s="14" t="str">
        <f t="shared" ca="1" si="3"/>
        <v/>
      </c>
    </row>
    <row r="21" spans="1:11">
      <c r="A21" s="18"/>
      <c r="B21" s="3" t="str">
        <f>IFERROR(INDEX(Movimientos!$C$5:$C$2001,MATCH(A21&amp;"ENTRADA",Movimientos!$R$5:$R$2001,0)),"-")</f>
        <v>-</v>
      </c>
      <c r="C21" s="3" t="str">
        <f>IFERROR(INDEX(Movimientos!$D$5:$D$2001,MATCH(A21&amp;"ENTRADA",Movimientos!$R$5:$R$2001,0)),"-")</f>
        <v>-</v>
      </c>
      <c r="D21" s="3" t="str">
        <f>IFERROR(INDEX(Movimientos!$E$5:$E$2001,MATCH(A21&amp;"ENTRADA",Movimientos!$R$5:$R$2001,0)),"-")</f>
        <v>-</v>
      </c>
      <c r="E21" s="3" t="str">
        <f>IFERROR(INDEX(Movimientos!$F$5:$F$2001,MATCH(A21&amp;"ENTRADA",Movimientos!$R$5:$R$2001,0)),"-")</f>
        <v>-</v>
      </c>
      <c r="F21" s="3" t="str">
        <f>IFERROR(INDEX(Movimientos!$G$5:$G$2001,MATCH(A21&amp;"ENTRADA",Movimientos!$R$5:$R$2001,0)),"-")</f>
        <v>-</v>
      </c>
      <c r="G21" s="3" t="str">
        <f>IFERROR(INDEX(Movimientos!$L$5:$L$2001,MATCH(A21&amp;"ENTRADA",Movimientos!$R$5:$R$2001,0)),"-")</f>
        <v>-</v>
      </c>
      <c r="H21" s="19" t="str">
        <f>IFERROR(IF(INDEX(Movimientos!$M$5:$M$2001,MATCH(A21&amp;"ENTRADA",Movimientos!$R$5:$R$2001,0))=0,"S/D",INDEX(Movimientos!$M$5:$M$2001,MATCH(A21&amp;"ENTRADA",Movimientos!$R$5:$R$2001,0))),"S/D")</f>
        <v>S/D</v>
      </c>
      <c r="I21" s="16" t="str">
        <f t="shared" ca="1" si="2"/>
        <v>S/D</v>
      </c>
      <c r="J21" s="6" t="str">
        <f>IF(A21="","",SUMIFS(Movimientos!$K:$K,Movimientos!$H:$H,A21))</f>
        <v/>
      </c>
      <c r="K21" s="14" t="str">
        <f t="shared" ca="1" si="3"/>
        <v/>
      </c>
    </row>
    <row r="22" spans="1:11">
      <c r="A22" s="18"/>
      <c r="B22" s="3" t="str">
        <f>IFERROR(INDEX(Movimientos!$C$5:$C$2001,MATCH(A22&amp;"ENTRADA",Movimientos!$R$5:$R$2001,0)),"-")</f>
        <v>-</v>
      </c>
      <c r="C22" s="3" t="str">
        <f>IFERROR(INDEX(Movimientos!$D$5:$D$2001,MATCH(A22&amp;"ENTRADA",Movimientos!$R$5:$R$2001,0)),"-")</f>
        <v>-</v>
      </c>
      <c r="D22" s="3" t="str">
        <f>IFERROR(INDEX(Movimientos!$E$5:$E$2001,MATCH(A22&amp;"ENTRADA",Movimientos!$R$5:$R$2001,0)),"-")</f>
        <v>-</v>
      </c>
      <c r="E22" s="3" t="str">
        <f>IFERROR(INDEX(Movimientos!$F$5:$F$2001,MATCH(A22&amp;"ENTRADA",Movimientos!$R$5:$R$2001,0)),"-")</f>
        <v>-</v>
      </c>
      <c r="F22" s="3" t="str">
        <f>IFERROR(INDEX(Movimientos!$G$5:$G$2001,MATCH(A22&amp;"ENTRADA",Movimientos!$R$5:$R$2001,0)),"-")</f>
        <v>-</v>
      </c>
      <c r="G22" s="3" t="str">
        <f>IFERROR(INDEX(Movimientos!$L$5:$L$2001,MATCH(A22&amp;"ENTRADA",Movimientos!$R$5:$R$2001,0)),"-")</f>
        <v>-</v>
      </c>
      <c r="H22" s="19" t="str">
        <f>IFERROR(IF(INDEX(Movimientos!$M$5:$M$2001,MATCH(A22&amp;"ENTRADA",Movimientos!$R$5:$R$2001,0))=0,"S/D",INDEX(Movimientos!$M$5:$M$2001,MATCH(A22&amp;"ENTRADA",Movimientos!$R$5:$R$2001,0))),"S/D")</f>
        <v>S/D</v>
      </c>
      <c r="I22" s="16" t="str">
        <f t="shared" ca="1" si="2"/>
        <v>S/D</v>
      </c>
      <c r="J22" s="6" t="str">
        <f>IF(A22="","",SUMIFS(Movimientos!$K:$K,Movimientos!$H:$H,A22))</f>
        <v/>
      </c>
      <c r="K22" s="14" t="str">
        <f t="shared" ca="1" si="3"/>
        <v/>
      </c>
    </row>
    <row r="23" spans="1:11">
      <c r="A23" s="18"/>
      <c r="B23" s="3" t="str">
        <f>IFERROR(INDEX(Movimientos!$C$5:$C$2001,MATCH(A23&amp;"ENTRADA",Movimientos!$R$5:$R$2001,0)),"-")</f>
        <v>-</v>
      </c>
      <c r="C23" s="3" t="str">
        <f>IFERROR(INDEX(Movimientos!$D$5:$D$2001,MATCH(A23&amp;"ENTRADA",Movimientos!$R$5:$R$2001,0)),"-")</f>
        <v>-</v>
      </c>
      <c r="D23" s="3" t="str">
        <f>IFERROR(INDEX(Movimientos!$E$5:$E$2001,MATCH(A23&amp;"ENTRADA",Movimientos!$R$5:$R$2001,0)),"-")</f>
        <v>-</v>
      </c>
      <c r="E23" s="3" t="str">
        <f>IFERROR(INDEX(Movimientos!$F$5:$F$2001,MATCH(A23&amp;"ENTRADA",Movimientos!$R$5:$R$2001,0)),"-")</f>
        <v>-</v>
      </c>
      <c r="F23" s="3" t="str">
        <f>IFERROR(INDEX(Movimientos!$G$5:$G$2001,MATCH(A23&amp;"ENTRADA",Movimientos!$R$5:$R$2001,0)),"-")</f>
        <v>-</v>
      </c>
      <c r="G23" s="3" t="str">
        <f>IFERROR(INDEX(Movimientos!$L$5:$L$2001,MATCH(A23&amp;"ENTRADA",Movimientos!$R$5:$R$2001,0)),"-")</f>
        <v>-</v>
      </c>
      <c r="H23" s="19" t="str">
        <f>IFERROR(IF(INDEX(Movimientos!$M$5:$M$2001,MATCH(A23&amp;"ENTRADA",Movimientos!$R$5:$R$2001,0))=0,"S/D",INDEX(Movimientos!$M$5:$M$2001,MATCH(A23&amp;"ENTRADA",Movimientos!$R$5:$R$2001,0))),"S/D")</f>
        <v>S/D</v>
      </c>
      <c r="I23" s="16" t="str">
        <f t="shared" ca="1" si="2"/>
        <v>S/D</v>
      </c>
      <c r="J23" s="6" t="str">
        <f>IF(A23="","",SUMIFS(Movimientos!$K:$K,Movimientos!$H:$H,A23))</f>
        <v/>
      </c>
      <c r="K23" s="14" t="str">
        <f t="shared" ca="1" si="3"/>
        <v/>
      </c>
    </row>
    <row r="24" spans="1:11">
      <c r="A24" s="18"/>
      <c r="B24" s="3" t="str">
        <f>IFERROR(INDEX(Movimientos!$C$5:$C$2001,MATCH(A24&amp;"ENTRADA",Movimientos!$R$5:$R$2001,0)),"-")</f>
        <v>-</v>
      </c>
      <c r="C24" s="3" t="str">
        <f>IFERROR(INDEX(Movimientos!$D$5:$D$2001,MATCH(A24&amp;"ENTRADA",Movimientos!$R$5:$R$2001,0)),"-")</f>
        <v>-</v>
      </c>
      <c r="D24" s="3" t="str">
        <f>IFERROR(INDEX(Movimientos!$E$5:$E$2001,MATCH(A24&amp;"ENTRADA",Movimientos!$R$5:$R$2001,0)),"-")</f>
        <v>-</v>
      </c>
      <c r="E24" s="3" t="str">
        <f>IFERROR(INDEX(Movimientos!$F$5:$F$2001,MATCH(A24&amp;"ENTRADA",Movimientos!$R$5:$R$2001,0)),"-")</f>
        <v>-</v>
      </c>
      <c r="F24" s="3" t="str">
        <f>IFERROR(INDEX(Movimientos!$G$5:$G$2001,MATCH(A24&amp;"ENTRADA",Movimientos!$R$5:$R$2001,0)),"-")</f>
        <v>-</v>
      </c>
      <c r="G24" s="3" t="str">
        <f>IFERROR(INDEX(Movimientos!$L$5:$L$2001,MATCH(A24&amp;"ENTRADA",Movimientos!$R$5:$R$2001,0)),"-")</f>
        <v>-</v>
      </c>
      <c r="H24" s="19" t="str">
        <f>IFERROR(IF(INDEX(Movimientos!$M$5:$M$2001,MATCH(A24&amp;"ENTRADA",Movimientos!$R$5:$R$2001,0))=0,"S/D",INDEX(Movimientos!$M$5:$M$2001,MATCH(A24&amp;"ENTRADA",Movimientos!$R$5:$R$2001,0))),"S/D")</f>
        <v>S/D</v>
      </c>
      <c r="I24" s="16" t="str">
        <f t="shared" ca="1" si="2"/>
        <v>S/D</v>
      </c>
      <c r="J24" s="6" t="str">
        <f>IF(A24="","",SUMIFS(Movimientos!$K:$K,Movimientos!$H:$H,A24))</f>
        <v/>
      </c>
      <c r="K24" s="14" t="str">
        <f t="shared" ca="1" si="3"/>
        <v/>
      </c>
    </row>
    <row r="25" spans="1:11">
      <c r="A25" s="18"/>
      <c r="B25" s="3" t="str">
        <f>IFERROR(INDEX(Movimientos!$C$5:$C$2001,MATCH(A25&amp;"ENTRADA",Movimientos!$R$5:$R$2001,0)),"-")</f>
        <v>-</v>
      </c>
      <c r="C25" s="3" t="str">
        <f>IFERROR(INDEX(Movimientos!$D$5:$D$2001,MATCH(A25&amp;"ENTRADA",Movimientos!$R$5:$R$2001,0)),"-")</f>
        <v>-</v>
      </c>
      <c r="D25" s="3" t="str">
        <f>IFERROR(INDEX(Movimientos!$E$5:$E$2001,MATCH(A25&amp;"ENTRADA",Movimientos!$R$5:$R$2001,0)),"-")</f>
        <v>-</v>
      </c>
      <c r="E25" s="3" t="str">
        <f>IFERROR(INDEX(Movimientos!$F$5:$F$2001,MATCH(A25&amp;"ENTRADA",Movimientos!$R$5:$R$2001,0)),"-")</f>
        <v>-</v>
      </c>
      <c r="F25" s="3" t="str">
        <f>IFERROR(INDEX(Movimientos!$G$5:$G$2001,MATCH(A25&amp;"ENTRADA",Movimientos!$R$5:$R$2001,0)),"-")</f>
        <v>-</v>
      </c>
      <c r="G25" s="3" t="str">
        <f>IFERROR(INDEX(Movimientos!$L$5:$L$2001,MATCH(A25&amp;"ENTRADA",Movimientos!$R$5:$R$2001,0)),"-")</f>
        <v>-</v>
      </c>
      <c r="H25" s="19" t="str">
        <f>IFERROR(IF(INDEX(Movimientos!$M$5:$M$2001,MATCH(A25&amp;"ENTRADA",Movimientos!$R$5:$R$2001,0))=0,"S/D",INDEX(Movimientos!$M$5:$M$2001,MATCH(A25&amp;"ENTRADA",Movimientos!$R$5:$R$2001,0))),"S/D")</f>
        <v>S/D</v>
      </c>
      <c r="I25" s="16" t="str">
        <f t="shared" ca="1" si="2"/>
        <v>S/D</v>
      </c>
      <c r="J25" s="6" t="str">
        <f>IF(A25="","",SUMIFS(Movimientos!$K:$K,Movimientos!$H:$H,A25))</f>
        <v/>
      </c>
      <c r="K25" s="14" t="str">
        <f t="shared" ca="1" si="3"/>
        <v/>
      </c>
    </row>
    <row r="26" spans="1:11">
      <c r="A26" s="18"/>
      <c r="B26" s="3" t="str">
        <f>IFERROR(INDEX(Movimientos!$C$5:$C$2001,MATCH(A26&amp;"ENTRADA",Movimientos!$R$5:$R$2001,0)),"-")</f>
        <v>-</v>
      </c>
      <c r="C26" s="3" t="str">
        <f>IFERROR(INDEX(Movimientos!$D$5:$D$2001,MATCH(A26&amp;"ENTRADA",Movimientos!$R$5:$R$2001,0)),"-")</f>
        <v>-</v>
      </c>
      <c r="D26" s="3" t="str">
        <f>IFERROR(INDEX(Movimientos!$E$5:$E$2001,MATCH(A26&amp;"ENTRADA",Movimientos!$R$5:$R$2001,0)),"-")</f>
        <v>-</v>
      </c>
      <c r="E26" s="3" t="str">
        <f>IFERROR(INDEX(Movimientos!$F$5:$F$2001,MATCH(A26&amp;"ENTRADA",Movimientos!$R$5:$R$2001,0)),"-")</f>
        <v>-</v>
      </c>
      <c r="F26" s="3" t="str">
        <f>IFERROR(INDEX(Movimientos!$G$5:$G$2001,MATCH(A26&amp;"ENTRADA",Movimientos!$R$5:$R$2001,0)),"-")</f>
        <v>-</v>
      </c>
      <c r="G26" s="3" t="str">
        <f>IFERROR(INDEX(Movimientos!$L$5:$L$2001,MATCH(A26&amp;"ENTRADA",Movimientos!$R$5:$R$2001,0)),"-")</f>
        <v>-</v>
      </c>
      <c r="H26" s="19" t="str">
        <f>IFERROR(IF(INDEX(Movimientos!$M$5:$M$2001,MATCH(A26&amp;"ENTRADA",Movimientos!$R$5:$R$2001,0))=0,"S/D",INDEX(Movimientos!$M$5:$M$2001,MATCH(A26&amp;"ENTRADA",Movimientos!$R$5:$R$2001,0))),"S/D")</f>
        <v>S/D</v>
      </c>
      <c r="I26" s="16" t="str">
        <f t="shared" ca="1" si="2"/>
        <v>S/D</v>
      </c>
      <c r="J26" s="6" t="str">
        <f>IF(A26="","",SUMIFS(Movimientos!$K:$K,Movimientos!$H:$H,A26))</f>
        <v/>
      </c>
      <c r="K26" s="14" t="str">
        <f t="shared" ca="1" si="3"/>
        <v/>
      </c>
    </row>
    <row r="27" spans="1:11">
      <c r="A27" s="18"/>
      <c r="B27" s="3" t="str">
        <f>IFERROR(INDEX(Movimientos!$C$5:$C$2001,MATCH(A27&amp;"ENTRADA",Movimientos!$R$5:$R$2001,0)),"-")</f>
        <v>-</v>
      </c>
      <c r="C27" s="3" t="str">
        <f>IFERROR(INDEX(Movimientos!$D$5:$D$2001,MATCH(A27&amp;"ENTRADA",Movimientos!$R$5:$R$2001,0)),"-")</f>
        <v>-</v>
      </c>
      <c r="D27" s="3" t="str">
        <f>IFERROR(INDEX(Movimientos!$E$5:$E$2001,MATCH(A27&amp;"ENTRADA",Movimientos!$R$5:$R$2001,0)),"-")</f>
        <v>-</v>
      </c>
      <c r="E27" s="3" t="str">
        <f>IFERROR(INDEX(Movimientos!$F$5:$F$2001,MATCH(A27&amp;"ENTRADA",Movimientos!$R$5:$R$2001,0)),"-")</f>
        <v>-</v>
      </c>
      <c r="F27" s="3" t="str">
        <f>IFERROR(INDEX(Movimientos!$G$5:$G$2001,MATCH(A27&amp;"ENTRADA",Movimientos!$R$5:$R$2001,0)),"-")</f>
        <v>-</v>
      </c>
      <c r="G27" s="3" t="str">
        <f>IFERROR(INDEX(Movimientos!$L$5:$L$2001,MATCH(A27&amp;"ENTRADA",Movimientos!$R$5:$R$2001,0)),"-")</f>
        <v>-</v>
      </c>
      <c r="H27" s="19" t="str">
        <f>IFERROR(IF(INDEX(Movimientos!$M$5:$M$2001,MATCH(A27&amp;"ENTRADA",Movimientos!$R$5:$R$2001,0))=0,"S/D",INDEX(Movimientos!$M$5:$M$2001,MATCH(A27&amp;"ENTRADA",Movimientos!$R$5:$R$2001,0))),"S/D")</f>
        <v>S/D</v>
      </c>
      <c r="I27" s="16" t="str">
        <f t="shared" ca="1" si="2"/>
        <v>S/D</v>
      </c>
      <c r="J27" s="6" t="str">
        <f>IF(A27="","",SUMIFS(Movimientos!$K:$K,Movimientos!$H:$H,A27))</f>
        <v/>
      </c>
      <c r="K27" s="14" t="str">
        <f t="shared" ca="1" si="3"/>
        <v/>
      </c>
    </row>
    <row r="28" spans="1:11">
      <c r="A28" s="18"/>
      <c r="B28" s="3" t="str">
        <f>IFERROR(INDEX(Movimientos!$C$5:$C$2001,MATCH(A28&amp;"ENTRADA",Movimientos!$R$5:$R$2001,0)),"-")</f>
        <v>-</v>
      </c>
      <c r="C28" s="3" t="str">
        <f>IFERROR(INDEX(Movimientos!$D$5:$D$2001,MATCH(A28&amp;"ENTRADA",Movimientos!$R$5:$R$2001,0)),"-")</f>
        <v>-</v>
      </c>
      <c r="D28" s="3" t="str">
        <f>IFERROR(INDEX(Movimientos!$E$5:$E$2001,MATCH(A28&amp;"ENTRADA",Movimientos!$R$5:$R$2001,0)),"-")</f>
        <v>-</v>
      </c>
      <c r="E28" s="3" t="str">
        <f>IFERROR(INDEX(Movimientos!$F$5:$F$2001,MATCH(A28&amp;"ENTRADA",Movimientos!$R$5:$R$2001,0)),"-")</f>
        <v>-</v>
      </c>
      <c r="F28" s="3" t="str">
        <f>IFERROR(INDEX(Movimientos!$G$5:$G$2001,MATCH(A28&amp;"ENTRADA",Movimientos!$R$5:$R$2001,0)),"-")</f>
        <v>-</v>
      </c>
      <c r="G28" s="3" t="str">
        <f>IFERROR(INDEX(Movimientos!$L$5:$L$2001,MATCH(A28&amp;"ENTRADA",Movimientos!$R$5:$R$2001,0)),"-")</f>
        <v>-</v>
      </c>
      <c r="H28" s="19" t="str">
        <f>IFERROR(IF(INDEX(Movimientos!$M$5:$M$2001,MATCH(A28&amp;"ENTRADA",Movimientos!$R$5:$R$2001,0))=0,"S/D",INDEX(Movimientos!$M$5:$M$2001,MATCH(A28&amp;"ENTRADA",Movimientos!$R$5:$R$2001,0))),"S/D")</f>
        <v>S/D</v>
      </c>
      <c r="I28" s="16" t="str">
        <f t="shared" ca="1" si="2"/>
        <v>S/D</v>
      </c>
      <c r="J28" s="6" t="str">
        <f>IF(A28="","",SUMIFS(Movimientos!$K:$K,Movimientos!$H:$H,A28))</f>
        <v/>
      </c>
      <c r="K28" s="14" t="str">
        <f t="shared" ca="1" si="3"/>
        <v/>
      </c>
    </row>
    <row r="29" spans="1:11">
      <c r="A29" s="18"/>
      <c r="B29" s="3" t="str">
        <f>IFERROR(INDEX(Movimientos!$C$5:$C$2001,MATCH(A29&amp;"ENTRADA",Movimientos!$R$5:$R$2001,0)),"-")</f>
        <v>-</v>
      </c>
      <c r="C29" s="3" t="str">
        <f>IFERROR(INDEX(Movimientos!$D$5:$D$2001,MATCH(A29&amp;"ENTRADA",Movimientos!$R$5:$R$2001,0)),"-")</f>
        <v>-</v>
      </c>
      <c r="D29" s="3" t="str">
        <f>IFERROR(INDEX(Movimientos!$E$5:$E$2001,MATCH(A29&amp;"ENTRADA",Movimientos!$R$5:$R$2001,0)),"-")</f>
        <v>-</v>
      </c>
      <c r="E29" s="3" t="str">
        <f>IFERROR(INDEX(Movimientos!$F$5:$F$2001,MATCH(A29&amp;"ENTRADA",Movimientos!$R$5:$R$2001,0)),"-")</f>
        <v>-</v>
      </c>
      <c r="F29" s="3" t="str">
        <f>IFERROR(INDEX(Movimientos!$G$5:$G$2001,MATCH(A29&amp;"ENTRADA",Movimientos!$R$5:$R$2001,0)),"-")</f>
        <v>-</v>
      </c>
      <c r="G29" s="3" t="str">
        <f>IFERROR(INDEX(Movimientos!$L$5:$L$2001,MATCH(A29&amp;"ENTRADA",Movimientos!$R$5:$R$2001,0)),"-")</f>
        <v>-</v>
      </c>
      <c r="H29" s="19" t="str">
        <f>IFERROR(IF(INDEX(Movimientos!$M$5:$M$2001,MATCH(A29&amp;"ENTRADA",Movimientos!$R$5:$R$2001,0))=0,"S/D",INDEX(Movimientos!$M$5:$M$2001,MATCH(A29&amp;"ENTRADA",Movimientos!$R$5:$R$2001,0))),"S/D")</f>
        <v>S/D</v>
      </c>
      <c r="I29" s="16" t="str">
        <f t="shared" ca="1" si="2"/>
        <v>S/D</v>
      </c>
      <c r="J29" s="6" t="str">
        <f>IF(A29="","",SUMIFS(Movimientos!$K:$K,Movimientos!$H:$H,A29))</f>
        <v/>
      </c>
      <c r="K29" s="14" t="str">
        <f t="shared" ca="1" si="3"/>
        <v/>
      </c>
    </row>
    <row r="30" spans="1:11">
      <c r="A30" s="18"/>
      <c r="B30" s="3" t="str">
        <f>IFERROR(INDEX(Movimientos!$C$5:$C$2001,MATCH(A30&amp;"ENTRADA",Movimientos!$R$5:$R$2001,0)),"-")</f>
        <v>-</v>
      </c>
      <c r="C30" s="3" t="str">
        <f>IFERROR(INDEX(Movimientos!$D$5:$D$2001,MATCH(A30&amp;"ENTRADA",Movimientos!$R$5:$R$2001,0)),"-")</f>
        <v>-</v>
      </c>
      <c r="D30" s="3" t="str">
        <f>IFERROR(INDEX(Movimientos!$E$5:$E$2001,MATCH(A30&amp;"ENTRADA",Movimientos!$R$5:$R$2001,0)),"-")</f>
        <v>-</v>
      </c>
      <c r="E30" s="3" t="str">
        <f>IFERROR(INDEX(Movimientos!$F$5:$F$2001,MATCH(A30&amp;"ENTRADA",Movimientos!$R$5:$R$2001,0)),"-")</f>
        <v>-</v>
      </c>
      <c r="F30" s="3" t="str">
        <f>IFERROR(INDEX(Movimientos!$G$5:$G$2001,MATCH(A30&amp;"ENTRADA",Movimientos!$R$5:$R$2001,0)),"-")</f>
        <v>-</v>
      </c>
      <c r="G30" s="3" t="str">
        <f>IFERROR(INDEX(Movimientos!$L$5:$L$2001,MATCH(A30&amp;"ENTRADA",Movimientos!$R$5:$R$2001,0)),"-")</f>
        <v>-</v>
      </c>
      <c r="H30" s="19" t="str">
        <f>IFERROR(IF(INDEX(Movimientos!$M$5:$M$2001,MATCH(A30&amp;"ENTRADA",Movimientos!$R$5:$R$2001,0))=0,"S/D",INDEX(Movimientos!$M$5:$M$2001,MATCH(A30&amp;"ENTRADA",Movimientos!$R$5:$R$2001,0))),"S/D")</f>
        <v>S/D</v>
      </c>
      <c r="I30" s="16" t="str">
        <f t="shared" ca="1" si="2"/>
        <v>S/D</v>
      </c>
      <c r="J30" s="6" t="str">
        <f>IF(A30="","",SUMIFS(Movimientos!$K:$K,Movimientos!$H:$H,A30))</f>
        <v/>
      </c>
      <c r="K30" s="14" t="str">
        <f t="shared" ca="1" si="3"/>
        <v/>
      </c>
    </row>
    <row r="31" spans="1:11">
      <c r="A31" s="18"/>
      <c r="B31" s="3" t="str">
        <f>IFERROR(INDEX(Movimientos!$C$5:$C$2001,MATCH(A31&amp;"ENTRADA",Movimientos!$R$5:$R$2001,0)),"-")</f>
        <v>-</v>
      </c>
      <c r="C31" s="3" t="str">
        <f>IFERROR(INDEX(Movimientos!$D$5:$D$2001,MATCH(A31&amp;"ENTRADA",Movimientos!$R$5:$R$2001,0)),"-")</f>
        <v>-</v>
      </c>
      <c r="D31" s="3" t="str">
        <f>IFERROR(INDEX(Movimientos!$E$5:$E$2001,MATCH(A31&amp;"ENTRADA",Movimientos!$R$5:$R$2001,0)),"-")</f>
        <v>-</v>
      </c>
      <c r="E31" s="3" t="str">
        <f>IFERROR(INDEX(Movimientos!$F$5:$F$2001,MATCH(A31&amp;"ENTRADA",Movimientos!$R$5:$R$2001,0)),"-")</f>
        <v>-</v>
      </c>
      <c r="F31" s="3" t="str">
        <f>IFERROR(INDEX(Movimientos!$G$5:$G$2001,MATCH(A31&amp;"ENTRADA",Movimientos!$R$5:$R$2001,0)),"-")</f>
        <v>-</v>
      </c>
      <c r="G31" s="3" t="str">
        <f>IFERROR(INDEX(Movimientos!$L$5:$L$2001,MATCH(A31&amp;"ENTRADA",Movimientos!$R$5:$R$2001,0)),"-")</f>
        <v>-</v>
      </c>
      <c r="H31" s="19" t="str">
        <f>IFERROR(IF(INDEX(Movimientos!$M$5:$M$2001,MATCH(A31&amp;"ENTRADA",Movimientos!$R$5:$R$2001,0))=0,"S/D",INDEX(Movimientos!$M$5:$M$2001,MATCH(A31&amp;"ENTRADA",Movimientos!$R$5:$R$2001,0))),"S/D")</f>
        <v>S/D</v>
      </c>
      <c r="I31" s="16" t="str">
        <f t="shared" ca="1" si="2"/>
        <v>S/D</v>
      </c>
      <c r="J31" s="6" t="str">
        <f>IF(A31="","",SUMIFS(Movimientos!$K:$K,Movimientos!$H:$H,A31))</f>
        <v/>
      </c>
      <c r="K31" s="14" t="str">
        <f t="shared" ca="1" si="3"/>
        <v/>
      </c>
    </row>
    <row r="32" spans="1:11">
      <c r="A32" s="18"/>
      <c r="B32" s="3" t="str">
        <f>IFERROR(INDEX(Movimientos!$C$5:$C$2001,MATCH(A32&amp;"ENTRADA",Movimientos!$R$5:$R$2001,0)),"-")</f>
        <v>-</v>
      </c>
      <c r="C32" s="3" t="str">
        <f>IFERROR(INDEX(Movimientos!$D$5:$D$2001,MATCH(A32&amp;"ENTRADA",Movimientos!$R$5:$R$2001,0)),"-")</f>
        <v>-</v>
      </c>
      <c r="D32" s="3" t="str">
        <f>IFERROR(INDEX(Movimientos!$E$5:$E$2001,MATCH(A32&amp;"ENTRADA",Movimientos!$R$5:$R$2001,0)),"-")</f>
        <v>-</v>
      </c>
      <c r="E32" s="3" t="str">
        <f>IFERROR(INDEX(Movimientos!$F$5:$F$2001,MATCH(A32&amp;"ENTRADA",Movimientos!$R$5:$R$2001,0)),"-")</f>
        <v>-</v>
      </c>
      <c r="F32" s="3" t="str">
        <f>IFERROR(INDEX(Movimientos!$G$5:$G$2001,MATCH(A32&amp;"ENTRADA",Movimientos!$R$5:$R$2001,0)),"-")</f>
        <v>-</v>
      </c>
      <c r="G32" s="3" t="str">
        <f>IFERROR(INDEX(Movimientos!$L$5:$L$2001,MATCH(A32&amp;"ENTRADA",Movimientos!$R$5:$R$2001,0)),"-")</f>
        <v>-</v>
      </c>
      <c r="H32" s="19" t="str">
        <f>IFERROR(IF(INDEX(Movimientos!$M$5:$M$2001,MATCH(A32&amp;"ENTRADA",Movimientos!$R$5:$R$2001,0))=0,"S/D",INDEX(Movimientos!$M$5:$M$2001,MATCH(A32&amp;"ENTRADA",Movimientos!$R$5:$R$2001,0))),"S/D")</f>
        <v>S/D</v>
      </c>
      <c r="I32" s="16" t="str">
        <f t="shared" ca="1" si="2"/>
        <v>S/D</v>
      </c>
      <c r="J32" s="6" t="str">
        <f>IF(A32="","",SUMIFS(Movimientos!$K:$K,Movimientos!$H:$H,A32))</f>
        <v/>
      </c>
      <c r="K32" s="14" t="str">
        <f t="shared" ca="1" si="3"/>
        <v/>
      </c>
    </row>
    <row r="33" spans="1:11">
      <c r="A33" s="18"/>
      <c r="B33" s="3" t="str">
        <f>IFERROR(INDEX(Movimientos!$C$5:$C$2001,MATCH(A33&amp;"ENTRADA",Movimientos!$R$5:$R$2001,0)),"-")</f>
        <v>-</v>
      </c>
      <c r="C33" s="3" t="str">
        <f>IFERROR(INDEX(Movimientos!$D$5:$D$2001,MATCH(A33&amp;"ENTRADA",Movimientos!$R$5:$R$2001,0)),"-")</f>
        <v>-</v>
      </c>
      <c r="D33" s="3" t="str">
        <f>IFERROR(INDEX(Movimientos!$E$5:$E$2001,MATCH(A33&amp;"ENTRADA",Movimientos!$R$5:$R$2001,0)),"-")</f>
        <v>-</v>
      </c>
      <c r="E33" s="3" t="str">
        <f>IFERROR(INDEX(Movimientos!$F$5:$F$2001,MATCH(A33&amp;"ENTRADA",Movimientos!$R$5:$R$2001,0)),"-")</f>
        <v>-</v>
      </c>
      <c r="F33" s="3" t="str">
        <f>IFERROR(INDEX(Movimientos!$G$5:$G$2001,MATCH(A33&amp;"ENTRADA",Movimientos!$R$5:$R$2001,0)),"-")</f>
        <v>-</v>
      </c>
      <c r="G33" s="3" t="str">
        <f>IFERROR(INDEX(Movimientos!$L$5:$L$2001,MATCH(A33&amp;"ENTRADA",Movimientos!$R$5:$R$2001,0)),"-")</f>
        <v>-</v>
      </c>
      <c r="H33" s="19" t="str">
        <f>IFERROR(IF(INDEX(Movimientos!$M$5:$M$2001,MATCH(A33&amp;"ENTRADA",Movimientos!$R$5:$R$2001,0))=0,"S/D",INDEX(Movimientos!$M$5:$M$2001,MATCH(A33&amp;"ENTRADA",Movimientos!$R$5:$R$2001,0))),"S/D")</f>
        <v>S/D</v>
      </c>
      <c r="I33" s="16" t="str">
        <f t="shared" ca="1" si="2"/>
        <v>S/D</v>
      </c>
      <c r="J33" s="6" t="str">
        <f>IF(A33="","",SUMIFS(Movimientos!$K:$K,Movimientos!$H:$H,A33))</f>
        <v/>
      </c>
      <c r="K33" s="14" t="str">
        <f t="shared" ca="1" si="3"/>
        <v/>
      </c>
    </row>
    <row r="34" spans="1:11">
      <c r="A34" s="18"/>
      <c r="B34" s="3" t="str">
        <f>IFERROR(INDEX(Movimientos!$C$5:$C$2001,MATCH(A34&amp;"ENTRADA",Movimientos!$R$5:$R$2001,0)),"-")</f>
        <v>-</v>
      </c>
      <c r="C34" s="3" t="str">
        <f>IFERROR(INDEX(Movimientos!$D$5:$D$2001,MATCH(A34&amp;"ENTRADA",Movimientos!$R$5:$R$2001,0)),"-")</f>
        <v>-</v>
      </c>
      <c r="D34" s="3" t="str">
        <f>IFERROR(INDEX(Movimientos!$E$5:$E$2001,MATCH(A34&amp;"ENTRADA",Movimientos!$R$5:$R$2001,0)),"-")</f>
        <v>-</v>
      </c>
      <c r="E34" s="3" t="str">
        <f>IFERROR(INDEX(Movimientos!$F$5:$F$2001,MATCH(A34&amp;"ENTRADA",Movimientos!$R$5:$R$2001,0)),"-")</f>
        <v>-</v>
      </c>
      <c r="F34" s="3" t="str">
        <f>IFERROR(INDEX(Movimientos!$G$5:$G$2001,MATCH(A34&amp;"ENTRADA",Movimientos!$R$5:$R$2001,0)),"-")</f>
        <v>-</v>
      </c>
      <c r="G34" s="3" t="str">
        <f>IFERROR(INDEX(Movimientos!$L$5:$L$2001,MATCH(A34&amp;"ENTRADA",Movimientos!$R$5:$R$2001,0)),"-")</f>
        <v>-</v>
      </c>
      <c r="H34" s="19" t="str">
        <f>IFERROR(IF(INDEX(Movimientos!$M$5:$M$2001,MATCH(A34&amp;"ENTRADA",Movimientos!$R$5:$R$2001,0))=0,"S/D",INDEX(Movimientos!$M$5:$M$2001,MATCH(A34&amp;"ENTRADA",Movimientos!$R$5:$R$2001,0))),"S/D")</f>
        <v>S/D</v>
      </c>
      <c r="I34" s="16" t="str">
        <f t="shared" ca="1" si="2"/>
        <v>S/D</v>
      </c>
      <c r="J34" s="6" t="str">
        <f>IF(A34="","",SUMIFS(Movimientos!$K:$K,Movimientos!$H:$H,A34))</f>
        <v/>
      </c>
      <c r="K34" s="14" t="str">
        <f t="shared" ca="1" si="3"/>
        <v/>
      </c>
    </row>
    <row r="35" spans="1:11">
      <c r="A35" s="18"/>
      <c r="B35" s="3" t="str">
        <f>IFERROR(INDEX(Movimientos!$C$5:$C$2001,MATCH(A35&amp;"ENTRADA",Movimientos!$R$5:$R$2001,0)),"-")</f>
        <v>-</v>
      </c>
      <c r="C35" s="3" t="str">
        <f>IFERROR(INDEX(Movimientos!$D$5:$D$2001,MATCH(A35&amp;"ENTRADA",Movimientos!$R$5:$R$2001,0)),"-")</f>
        <v>-</v>
      </c>
      <c r="D35" s="3" t="str">
        <f>IFERROR(INDEX(Movimientos!$E$5:$E$2001,MATCH(A35&amp;"ENTRADA",Movimientos!$R$5:$R$2001,0)),"-")</f>
        <v>-</v>
      </c>
      <c r="E35" s="3" t="str">
        <f>IFERROR(INDEX(Movimientos!$F$5:$F$2001,MATCH(A35&amp;"ENTRADA",Movimientos!$R$5:$R$2001,0)),"-")</f>
        <v>-</v>
      </c>
      <c r="F35" s="3" t="str">
        <f>IFERROR(INDEX(Movimientos!$G$5:$G$2001,MATCH(A35&amp;"ENTRADA",Movimientos!$R$5:$R$2001,0)),"-")</f>
        <v>-</v>
      </c>
      <c r="G35" s="3" t="str">
        <f>IFERROR(INDEX(Movimientos!$L$5:$L$2001,MATCH(A35&amp;"ENTRADA",Movimientos!$R$5:$R$2001,0)),"-")</f>
        <v>-</v>
      </c>
      <c r="H35" s="19" t="str">
        <f>IFERROR(IF(INDEX(Movimientos!$M$5:$M$2001,MATCH(A35&amp;"ENTRADA",Movimientos!$R$5:$R$2001,0))=0,"S/D",INDEX(Movimientos!$M$5:$M$2001,MATCH(A35&amp;"ENTRADA",Movimientos!$R$5:$R$2001,0))),"S/D")</f>
        <v>S/D</v>
      </c>
      <c r="I35" s="16" t="str">
        <f t="shared" ca="1" si="2"/>
        <v>S/D</v>
      </c>
      <c r="J35" s="6" t="str">
        <f>IF(A35="","",SUMIFS(Movimientos!$K:$K,Movimientos!$H:$H,A35))</f>
        <v/>
      </c>
      <c r="K35" s="14" t="str">
        <f t="shared" ca="1" si="3"/>
        <v/>
      </c>
    </row>
    <row r="36" spans="1:11">
      <c r="A36" s="18"/>
      <c r="B36" s="3" t="str">
        <f>IFERROR(INDEX(Movimientos!$C$5:$C$2001,MATCH(A36&amp;"ENTRADA",Movimientos!$R$5:$R$2001,0)),"-")</f>
        <v>-</v>
      </c>
      <c r="C36" s="3" t="str">
        <f>IFERROR(INDEX(Movimientos!$D$5:$D$2001,MATCH(A36&amp;"ENTRADA",Movimientos!$R$5:$R$2001,0)),"-")</f>
        <v>-</v>
      </c>
      <c r="D36" s="3" t="str">
        <f>IFERROR(INDEX(Movimientos!$E$5:$E$2001,MATCH(A36&amp;"ENTRADA",Movimientos!$R$5:$R$2001,0)),"-")</f>
        <v>-</v>
      </c>
      <c r="E36" s="3" t="str">
        <f>IFERROR(INDEX(Movimientos!$F$5:$F$2001,MATCH(A36&amp;"ENTRADA",Movimientos!$R$5:$R$2001,0)),"-")</f>
        <v>-</v>
      </c>
      <c r="F36" s="3" t="str">
        <f>IFERROR(INDEX(Movimientos!$G$5:$G$2001,MATCH(A36&amp;"ENTRADA",Movimientos!$R$5:$R$2001,0)),"-")</f>
        <v>-</v>
      </c>
      <c r="G36" s="3" t="str">
        <f>IFERROR(INDEX(Movimientos!$L$5:$L$2001,MATCH(A36&amp;"ENTRADA",Movimientos!$R$5:$R$2001,0)),"-")</f>
        <v>-</v>
      </c>
      <c r="H36" s="19" t="str">
        <f>IFERROR(IF(INDEX(Movimientos!$M$5:$M$2001,MATCH(A36&amp;"ENTRADA",Movimientos!$R$5:$R$2001,0))=0,"S/D",INDEX(Movimientos!$M$5:$M$2001,MATCH(A36&amp;"ENTRADA",Movimientos!$R$5:$R$2001,0))),"S/D")</f>
        <v>S/D</v>
      </c>
      <c r="I36" s="16" t="str">
        <f t="shared" ca="1" si="2"/>
        <v>S/D</v>
      </c>
      <c r="J36" s="6" t="str">
        <f>IF(A36="","",SUMIFS(Movimientos!$K:$K,Movimientos!$H:$H,A36))</f>
        <v/>
      </c>
      <c r="K36" s="14" t="str">
        <f t="shared" ca="1" si="3"/>
        <v/>
      </c>
    </row>
    <row r="37" spans="1:11">
      <c r="A37" s="18"/>
      <c r="B37" s="3" t="str">
        <f>IFERROR(INDEX(Movimientos!$C$5:$C$2001,MATCH(A37&amp;"ENTRADA",Movimientos!$R$5:$R$2001,0)),"-")</f>
        <v>-</v>
      </c>
      <c r="C37" s="3" t="str">
        <f>IFERROR(INDEX(Movimientos!$D$5:$D$2001,MATCH(A37&amp;"ENTRADA",Movimientos!$R$5:$R$2001,0)),"-")</f>
        <v>-</v>
      </c>
      <c r="D37" s="3" t="str">
        <f>IFERROR(INDEX(Movimientos!$E$5:$E$2001,MATCH(A37&amp;"ENTRADA",Movimientos!$R$5:$R$2001,0)),"-")</f>
        <v>-</v>
      </c>
      <c r="E37" s="3" t="str">
        <f>IFERROR(INDEX(Movimientos!$F$5:$F$2001,MATCH(A37&amp;"ENTRADA",Movimientos!$R$5:$R$2001,0)),"-")</f>
        <v>-</v>
      </c>
      <c r="F37" s="3" t="str">
        <f>IFERROR(INDEX(Movimientos!$G$5:$G$2001,MATCH(A37&amp;"ENTRADA",Movimientos!$R$5:$R$2001,0)),"-")</f>
        <v>-</v>
      </c>
      <c r="G37" s="3" t="str">
        <f>IFERROR(INDEX(Movimientos!$L$5:$L$2001,MATCH(A37&amp;"ENTRADA",Movimientos!$R$5:$R$2001,0)),"-")</f>
        <v>-</v>
      </c>
      <c r="H37" s="19" t="str">
        <f>IFERROR(IF(INDEX(Movimientos!$M$5:$M$2001,MATCH(A37&amp;"ENTRADA",Movimientos!$R$5:$R$2001,0))=0,"S/D",INDEX(Movimientos!$M$5:$M$2001,MATCH(A37&amp;"ENTRADA",Movimientos!$R$5:$R$2001,0))),"S/D")</f>
        <v>S/D</v>
      </c>
      <c r="I37" s="16" t="str">
        <f t="shared" ca="1" si="2"/>
        <v>S/D</v>
      </c>
      <c r="J37" s="6" t="str">
        <f>IF(A37="","",SUMIFS(Movimientos!$K:$K,Movimientos!$H:$H,A37))</f>
        <v/>
      </c>
      <c r="K37" s="14" t="str">
        <f t="shared" ca="1" si="3"/>
        <v/>
      </c>
    </row>
    <row r="38" spans="1:11">
      <c r="A38" s="18"/>
      <c r="B38" s="3" t="str">
        <f>IFERROR(INDEX(Movimientos!$C$5:$C$2001,MATCH(A38&amp;"ENTRADA",Movimientos!$R$5:$R$2001,0)),"-")</f>
        <v>-</v>
      </c>
      <c r="C38" s="3" t="str">
        <f>IFERROR(INDEX(Movimientos!$D$5:$D$2001,MATCH(A38&amp;"ENTRADA",Movimientos!$R$5:$R$2001,0)),"-")</f>
        <v>-</v>
      </c>
      <c r="D38" s="3" t="str">
        <f>IFERROR(INDEX(Movimientos!$E$5:$E$2001,MATCH(A38&amp;"ENTRADA",Movimientos!$R$5:$R$2001,0)),"-")</f>
        <v>-</v>
      </c>
      <c r="E38" s="3" t="str">
        <f>IFERROR(INDEX(Movimientos!$F$5:$F$2001,MATCH(A38&amp;"ENTRADA",Movimientos!$R$5:$R$2001,0)),"-")</f>
        <v>-</v>
      </c>
      <c r="F38" s="3" t="str">
        <f>IFERROR(INDEX(Movimientos!$G$5:$G$2001,MATCH(A38&amp;"ENTRADA",Movimientos!$R$5:$R$2001,0)),"-")</f>
        <v>-</v>
      </c>
      <c r="G38" s="3" t="str">
        <f>IFERROR(INDEX(Movimientos!$L$5:$L$2001,MATCH(A38&amp;"ENTRADA",Movimientos!$R$5:$R$2001,0)),"-")</f>
        <v>-</v>
      </c>
      <c r="H38" s="19" t="str">
        <f>IFERROR(IF(INDEX(Movimientos!$M$5:$M$2001,MATCH(A38&amp;"ENTRADA",Movimientos!$R$5:$R$2001,0))=0,"S/D",INDEX(Movimientos!$M$5:$M$2001,MATCH(A38&amp;"ENTRADA",Movimientos!$R$5:$R$2001,0))),"S/D")</f>
        <v>S/D</v>
      </c>
      <c r="I38" s="16" t="str">
        <f t="shared" ca="1" si="2"/>
        <v>S/D</v>
      </c>
      <c r="J38" s="6" t="str">
        <f>IF(A38="","",SUMIFS(Movimientos!$K:$K,Movimientos!$H:$H,A38))</f>
        <v/>
      </c>
      <c r="K38" s="14" t="str">
        <f t="shared" ca="1" si="3"/>
        <v/>
      </c>
    </row>
    <row r="39" spans="1:11">
      <c r="A39" s="18"/>
      <c r="B39" s="3" t="str">
        <f>IFERROR(INDEX(Movimientos!$C$5:$C$2001,MATCH(A39&amp;"ENTRADA",Movimientos!$R$5:$R$2001,0)),"-")</f>
        <v>-</v>
      </c>
      <c r="C39" s="3" t="str">
        <f>IFERROR(INDEX(Movimientos!$D$5:$D$2001,MATCH(A39&amp;"ENTRADA",Movimientos!$R$5:$R$2001,0)),"-")</f>
        <v>-</v>
      </c>
      <c r="D39" s="3" t="str">
        <f>IFERROR(INDEX(Movimientos!$E$5:$E$2001,MATCH(A39&amp;"ENTRADA",Movimientos!$R$5:$R$2001,0)),"-")</f>
        <v>-</v>
      </c>
      <c r="E39" s="3" t="str">
        <f>IFERROR(INDEX(Movimientos!$F$5:$F$2001,MATCH(A39&amp;"ENTRADA",Movimientos!$R$5:$R$2001,0)),"-")</f>
        <v>-</v>
      </c>
      <c r="F39" s="3" t="str">
        <f>IFERROR(INDEX(Movimientos!$G$5:$G$2001,MATCH(A39&amp;"ENTRADA",Movimientos!$R$5:$R$2001,0)),"-")</f>
        <v>-</v>
      </c>
      <c r="G39" s="3" t="str">
        <f>IFERROR(INDEX(Movimientos!$L$5:$L$2001,MATCH(A39&amp;"ENTRADA",Movimientos!$R$5:$R$2001,0)),"-")</f>
        <v>-</v>
      </c>
      <c r="H39" s="19" t="str">
        <f>IFERROR(IF(INDEX(Movimientos!$M$5:$M$2001,MATCH(A39&amp;"ENTRADA",Movimientos!$R$5:$R$2001,0))=0,"S/D",INDEX(Movimientos!$M$5:$M$2001,MATCH(A39&amp;"ENTRADA",Movimientos!$R$5:$R$2001,0))),"S/D")</f>
        <v>S/D</v>
      </c>
      <c r="I39" s="16" t="str">
        <f t="shared" ca="1" si="2"/>
        <v>S/D</v>
      </c>
      <c r="J39" s="6" t="str">
        <f>IF(A39="","",SUMIFS(Movimientos!$K:$K,Movimientos!$H:$H,A39))</f>
        <v/>
      </c>
      <c r="K39" s="14" t="str">
        <f t="shared" ca="1" si="3"/>
        <v/>
      </c>
    </row>
    <row r="40" spans="1:11">
      <c r="A40" s="18"/>
      <c r="B40" s="3" t="str">
        <f>IFERROR(INDEX(Movimientos!$C$5:$C$2001,MATCH(A40&amp;"ENTRADA",Movimientos!$R$5:$R$2001,0)),"-")</f>
        <v>-</v>
      </c>
      <c r="C40" s="3" t="str">
        <f>IFERROR(INDEX(Movimientos!$D$5:$D$2001,MATCH(A40&amp;"ENTRADA",Movimientos!$R$5:$R$2001,0)),"-")</f>
        <v>-</v>
      </c>
      <c r="D40" s="3" t="str">
        <f>IFERROR(INDEX(Movimientos!$E$5:$E$2001,MATCH(A40&amp;"ENTRADA",Movimientos!$R$5:$R$2001,0)),"-")</f>
        <v>-</v>
      </c>
      <c r="E40" s="3" t="str">
        <f>IFERROR(INDEX(Movimientos!$F$5:$F$2001,MATCH(A40&amp;"ENTRADA",Movimientos!$R$5:$R$2001,0)),"-")</f>
        <v>-</v>
      </c>
      <c r="F40" s="3" t="str">
        <f>IFERROR(INDEX(Movimientos!$G$5:$G$2001,MATCH(A40&amp;"ENTRADA",Movimientos!$R$5:$R$2001,0)),"-")</f>
        <v>-</v>
      </c>
      <c r="G40" s="3" t="str">
        <f>IFERROR(INDEX(Movimientos!$L$5:$L$2001,MATCH(A40&amp;"ENTRADA",Movimientos!$R$5:$R$2001,0)),"-")</f>
        <v>-</v>
      </c>
      <c r="H40" s="19" t="str">
        <f>IFERROR(IF(INDEX(Movimientos!$M$5:$M$2001,MATCH(A40&amp;"ENTRADA",Movimientos!$R$5:$R$2001,0))=0,"S/D",INDEX(Movimientos!$M$5:$M$2001,MATCH(A40&amp;"ENTRADA",Movimientos!$R$5:$R$2001,0))),"S/D")</f>
        <v>S/D</v>
      </c>
      <c r="I40" s="16" t="str">
        <f t="shared" ca="1" si="2"/>
        <v>S/D</v>
      </c>
      <c r="J40" s="6" t="str">
        <f>IF(A40="","",SUMIFS(Movimientos!$K:$K,Movimientos!$H:$H,A40))</f>
        <v/>
      </c>
      <c r="K40" s="14" t="str">
        <f t="shared" ca="1" si="3"/>
        <v/>
      </c>
    </row>
    <row r="41" spans="1:11">
      <c r="A41" s="18" t="s">
        <v>2114</v>
      </c>
      <c r="B41" s="3" t="str">
        <f>IFERROR(INDEX(Movimientos!$C$5:$C$2001,MATCH(A41&amp;"ENTRADA",Movimientos!$R$5:$R$2001,0)),"-")</f>
        <v>-</v>
      </c>
      <c r="C41" s="3" t="str">
        <f>IFERROR(INDEX(Movimientos!$D$5:$D$2001,MATCH(A41&amp;"ENTRADA",Movimientos!$R$5:$R$2001,0)),"-")</f>
        <v>-</v>
      </c>
      <c r="D41" s="3" t="str">
        <f>IFERROR(INDEX(Movimientos!$E$5:$E$2001,MATCH(A41&amp;"ENTRADA",Movimientos!$R$5:$R$2001,0)),"-")</f>
        <v>-</v>
      </c>
      <c r="E41" s="3" t="str">
        <f>IFERROR(INDEX(Movimientos!$F$5:$F$2001,MATCH(A41&amp;"ENTRADA",Movimientos!$R$5:$R$2001,0)),"-")</f>
        <v>-</v>
      </c>
      <c r="F41" s="3" t="str">
        <f>IFERROR(INDEX(Movimientos!$G$5:$G$2001,MATCH(A41&amp;"ENTRADA",Movimientos!$R$5:$R$2001,0)),"-")</f>
        <v>-</v>
      </c>
      <c r="G41" s="3" t="str">
        <f>IFERROR(INDEX(Movimientos!$L$5:$L$2001,MATCH(A41&amp;"ENTRADA",Movimientos!$R$5:$R$2001,0)),"-")</f>
        <v>-</v>
      </c>
      <c r="H41" s="19" t="str">
        <f>IFERROR(IF(INDEX(Movimientos!$M$5:$M$2001,MATCH(A41&amp;"ENTRADA",Movimientos!$R$5:$R$2001,0))=0,"S/D",INDEX(Movimientos!$M$5:$M$2001,MATCH(A41&amp;"ENTRADA",Movimientos!$R$5:$R$2001,0))),"S/D")</f>
        <v>S/D</v>
      </c>
      <c r="I41" s="16" t="str">
        <f t="shared" ca="1" si="2"/>
        <v>S/D</v>
      </c>
      <c r="J41" s="6">
        <f>IF(A41="","",SUMIFS(Movimientos!$K:$K,Movimientos!$H:$H,A41))</f>
        <v>0</v>
      </c>
      <c r="K41" s="14" t="str">
        <f t="shared" ca="1" si="3"/>
        <v>OK</v>
      </c>
    </row>
    <row r="42" spans="1:11">
      <c r="A42" s="18" t="s">
        <v>2115</v>
      </c>
      <c r="B42" s="3" t="str">
        <f>IFERROR(INDEX(Movimientos!$C$5:$C$2001,MATCH(A42&amp;"ENTRADA",Movimientos!$R$5:$R$2001,0)),"-")</f>
        <v>-</v>
      </c>
      <c r="C42" s="3" t="str">
        <f>IFERROR(INDEX(Movimientos!$D$5:$D$2001,MATCH(A42&amp;"ENTRADA",Movimientos!$R$5:$R$2001,0)),"-")</f>
        <v>-</v>
      </c>
      <c r="D42" s="3" t="str">
        <f>IFERROR(INDEX(Movimientos!$E$5:$E$2001,MATCH(A42&amp;"ENTRADA",Movimientos!$R$5:$R$2001,0)),"-")</f>
        <v>-</v>
      </c>
      <c r="E42" s="3" t="str">
        <f>IFERROR(INDEX(Movimientos!$F$5:$F$2001,MATCH(A42&amp;"ENTRADA",Movimientos!$R$5:$R$2001,0)),"-")</f>
        <v>-</v>
      </c>
      <c r="F42" s="3" t="str">
        <f>IFERROR(INDEX(Movimientos!$G$5:$G$2001,MATCH(A42&amp;"ENTRADA",Movimientos!$R$5:$R$2001,0)),"-")</f>
        <v>-</v>
      </c>
      <c r="G42" s="3" t="str">
        <f>IFERROR(INDEX(Movimientos!$L$5:$L$2001,MATCH(A42&amp;"ENTRADA",Movimientos!$R$5:$R$2001,0)),"-")</f>
        <v>-</v>
      </c>
      <c r="H42" s="19" t="str">
        <f>IFERROR(IF(INDEX(Movimientos!$M$5:$M$2001,MATCH(A42&amp;"ENTRADA",Movimientos!$R$5:$R$2001,0))=0,"S/D",INDEX(Movimientos!$M$5:$M$2001,MATCH(A42&amp;"ENTRADA",Movimientos!$R$5:$R$2001,0))),"S/D")</f>
        <v>S/D</v>
      </c>
      <c r="I42" s="16" t="str">
        <f t="shared" ca="1" si="2"/>
        <v>S/D</v>
      </c>
      <c r="J42" s="6">
        <f>IF(A42="","",SUMIFS(Movimientos!$K:$K,Movimientos!$H:$H,A42))</f>
        <v>0</v>
      </c>
      <c r="K42" s="14" t="str">
        <f t="shared" ca="1" si="3"/>
        <v>OK</v>
      </c>
    </row>
    <row r="43" spans="1:11">
      <c r="A43" s="18" t="s">
        <v>2116</v>
      </c>
      <c r="B43" s="3" t="str">
        <f>IFERROR(INDEX(Movimientos!$C$5:$C$2001,MATCH(A43&amp;"ENTRADA",Movimientos!$R$5:$R$2001,0)),"-")</f>
        <v>-</v>
      </c>
      <c r="C43" s="3" t="str">
        <f>IFERROR(INDEX(Movimientos!$D$5:$D$2001,MATCH(A43&amp;"ENTRADA",Movimientos!$R$5:$R$2001,0)),"-")</f>
        <v>-</v>
      </c>
      <c r="D43" s="3" t="str">
        <f>IFERROR(INDEX(Movimientos!$E$5:$E$2001,MATCH(A43&amp;"ENTRADA",Movimientos!$R$5:$R$2001,0)),"-")</f>
        <v>-</v>
      </c>
      <c r="E43" s="3" t="str">
        <f>IFERROR(INDEX(Movimientos!$F$5:$F$2001,MATCH(A43&amp;"ENTRADA",Movimientos!$R$5:$R$2001,0)),"-")</f>
        <v>-</v>
      </c>
      <c r="F43" s="3" t="str">
        <f>IFERROR(INDEX(Movimientos!$G$5:$G$2001,MATCH(A43&amp;"ENTRADA",Movimientos!$R$5:$R$2001,0)),"-")</f>
        <v>-</v>
      </c>
      <c r="G43" s="3" t="str">
        <f>IFERROR(INDEX(Movimientos!$L$5:$L$2001,MATCH(A43&amp;"ENTRADA",Movimientos!$R$5:$R$2001,0)),"-")</f>
        <v>-</v>
      </c>
      <c r="H43" s="19" t="str">
        <f>IFERROR(IF(INDEX(Movimientos!$M$5:$M$2001,MATCH(A43&amp;"ENTRADA",Movimientos!$R$5:$R$2001,0))=0,"S/D",INDEX(Movimientos!$M$5:$M$2001,MATCH(A43&amp;"ENTRADA",Movimientos!$R$5:$R$2001,0))),"S/D")</f>
        <v>S/D</v>
      </c>
      <c r="I43" s="16" t="str">
        <f t="shared" ca="1" si="2"/>
        <v>S/D</v>
      </c>
      <c r="J43" s="6">
        <f>IF(A43="","",SUMIFS(Movimientos!$K:$K,Movimientos!$H:$H,A43))</f>
        <v>0</v>
      </c>
      <c r="K43" s="14" t="str">
        <f t="shared" ca="1" si="3"/>
        <v>OK</v>
      </c>
    </row>
    <row r="44" spans="1:11">
      <c r="A44" s="18" t="s">
        <v>2117</v>
      </c>
      <c r="B44" s="3" t="str">
        <f>IFERROR(INDEX(Movimientos!$C$5:$C$2001,MATCH(A44&amp;"ENTRADA",Movimientos!$R$5:$R$2001,0)),"-")</f>
        <v>-</v>
      </c>
      <c r="C44" s="3" t="str">
        <f>IFERROR(INDEX(Movimientos!$D$5:$D$2001,MATCH(A44&amp;"ENTRADA",Movimientos!$R$5:$R$2001,0)),"-")</f>
        <v>-</v>
      </c>
      <c r="D44" s="3" t="str">
        <f>IFERROR(INDEX(Movimientos!$E$5:$E$2001,MATCH(A44&amp;"ENTRADA",Movimientos!$R$5:$R$2001,0)),"-")</f>
        <v>-</v>
      </c>
      <c r="E44" s="3" t="str">
        <f>IFERROR(INDEX(Movimientos!$F$5:$F$2001,MATCH(A44&amp;"ENTRADA",Movimientos!$R$5:$R$2001,0)),"-")</f>
        <v>-</v>
      </c>
      <c r="F44" s="3" t="str">
        <f>IFERROR(INDEX(Movimientos!$G$5:$G$2001,MATCH(A44&amp;"ENTRADA",Movimientos!$R$5:$R$2001,0)),"-")</f>
        <v>-</v>
      </c>
      <c r="G44" s="3" t="str">
        <f>IFERROR(INDEX(Movimientos!$L$5:$L$2001,MATCH(A44&amp;"ENTRADA",Movimientos!$R$5:$R$2001,0)),"-")</f>
        <v>-</v>
      </c>
      <c r="H44" s="19" t="str">
        <f>IFERROR(IF(INDEX(Movimientos!$M$5:$M$2001,MATCH(A44&amp;"ENTRADA",Movimientos!$R$5:$R$2001,0))=0,"S/D",INDEX(Movimientos!$M$5:$M$2001,MATCH(A44&amp;"ENTRADA",Movimientos!$R$5:$R$2001,0))),"S/D")</f>
        <v>S/D</v>
      </c>
      <c r="I44" s="16" t="str">
        <f t="shared" ca="1" si="2"/>
        <v>S/D</v>
      </c>
      <c r="J44" s="6">
        <f>IF(A44="","",SUMIFS(Movimientos!$K:$K,Movimientos!$H:$H,A44))</f>
        <v>0</v>
      </c>
      <c r="K44" s="14" t="str">
        <f t="shared" ca="1" si="3"/>
        <v>OK</v>
      </c>
    </row>
    <row r="45" spans="1:11">
      <c r="A45" s="18" t="s">
        <v>2118</v>
      </c>
      <c r="B45" s="3" t="str">
        <f>IFERROR(INDEX(Movimientos!$C$5:$C$2001,MATCH(A45&amp;"ENTRADA",Movimientos!$R$5:$R$2001,0)),"-")</f>
        <v>-</v>
      </c>
      <c r="C45" s="3" t="str">
        <f>IFERROR(INDEX(Movimientos!$D$5:$D$2001,MATCH(A45&amp;"ENTRADA",Movimientos!$R$5:$R$2001,0)),"-")</f>
        <v>-</v>
      </c>
      <c r="D45" s="3" t="str">
        <f>IFERROR(INDEX(Movimientos!$E$5:$E$2001,MATCH(A45&amp;"ENTRADA",Movimientos!$R$5:$R$2001,0)),"-")</f>
        <v>-</v>
      </c>
      <c r="E45" s="3" t="str">
        <f>IFERROR(INDEX(Movimientos!$F$5:$F$2001,MATCH(A45&amp;"ENTRADA",Movimientos!$R$5:$R$2001,0)),"-")</f>
        <v>-</v>
      </c>
      <c r="F45" s="3" t="str">
        <f>IFERROR(INDEX(Movimientos!$G$5:$G$2001,MATCH(A45&amp;"ENTRADA",Movimientos!$R$5:$R$2001,0)),"-")</f>
        <v>-</v>
      </c>
      <c r="G45" s="3" t="str">
        <f>IFERROR(INDEX(Movimientos!$L$5:$L$2001,MATCH(A45&amp;"ENTRADA",Movimientos!$R$5:$R$2001,0)),"-")</f>
        <v>-</v>
      </c>
      <c r="H45" s="19" t="str">
        <f>IFERROR(IF(INDEX(Movimientos!$M$5:$M$2001,MATCH(A45&amp;"ENTRADA",Movimientos!$R$5:$R$2001,0))=0,"S/D",INDEX(Movimientos!$M$5:$M$2001,MATCH(A45&amp;"ENTRADA",Movimientos!$R$5:$R$2001,0))),"S/D")</f>
        <v>S/D</v>
      </c>
      <c r="I45" s="16" t="str">
        <f t="shared" ca="1" si="2"/>
        <v>S/D</v>
      </c>
      <c r="J45" s="6">
        <f>IF(A45="","",SUMIFS(Movimientos!$K:$K,Movimientos!$H:$H,A45))</f>
        <v>0</v>
      </c>
      <c r="K45" s="14" t="str">
        <f t="shared" ca="1" si="3"/>
        <v>OK</v>
      </c>
    </row>
    <row r="46" spans="1:11">
      <c r="A46" s="18" t="s">
        <v>2119</v>
      </c>
      <c r="B46" s="3" t="str">
        <f>IFERROR(INDEX(Movimientos!$C$5:$C$2001,MATCH(A46&amp;"ENTRADA",Movimientos!$R$5:$R$2001,0)),"-")</f>
        <v>-</v>
      </c>
      <c r="C46" s="3" t="str">
        <f>IFERROR(INDEX(Movimientos!$D$5:$D$2001,MATCH(A46&amp;"ENTRADA",Movimientos!$R$5:$R$2001,0)),"-")</f>
        <v>-</v>
      </c>
      <c r="D46" s="3" t="str">
        <f>IFERROR(INDEX(Movimientos!$E$5:$E$2001,MATCH(A46&amp;"ENTRADA",Movimientos!$R$5:$R$2001,0)),"-")</f>
        <v>-</v>
      </c>
      <c r="E46" s="3" t="str">
        <f>IFERROR(INDEX(Movimientos!$F$5:$F$2001,MATCH(A46&amp;"ENTRADA",Movimientos!$R$5:$R$2001,0)),"-")</f>
        <v>-</v>
      </c>
      <c r="F46" s="3" t="str">
        <f>IFERROR(INDEX(Movimientos!$G$5:$G$2001,MATCH(A46&amp;"ENTRADA",Movimientos!$R$5:$R$2001,0)),"-")</f>
        <v>-</v>
      </c>
      <c r="G46" s="3" t="str">
        <f>IFERROR(INDEX(Movimientos!$L$5:$L$2001,MATCH(A46&amp;"ENTRADA",Movimientos!$R$5:$R$2001,0)),"-")</f>
        <v>-</v>
      </c>
      <c r="H46" s="19" t="str">
        <f>IFERROR(IF(INDEX(Movimientos!$M$5:$M$2001,MATCH(A46&amp;"ENTRADA",Movimientos!$R$5:$R$2001,0))=0,"S/D",INDEX(Movimientos!$M$5:$M$2001,MATCH(A46&amp;"ENTRADA",Movimientos!$R$5:$R$2001,0))),"S/D")</f>
        <v>S/D</v>
      </c>
      <c r="I46" s="16" t="str">
        <f t="shared" ca="1" si="2"/>
        <v>S/D</v>
      </c>
      <c r="J46" s="6">
        <f>IF(A46="","",SUMIFS(Movimientos!$K:$K,Movimientos!$H:$H,A46))</f>
        <v>0</v>
      </c>
      <c r="K46" s="14" t="str">
        <f t="shared" ca="1" si="3"/>
        <v>OK</v>
      </c>
    </row>
    <row r="47" spans="1:11">
      <c r="A47" s="18" t="s">
        <v>2120</v>
      </c>
      <c r="B47" s="3" t="str">
        <f>IFERROR(INDEX(Movimientos!$C$5:$C$2001,MATCH(A47&amp;"ENTRADA",Movimientos!$R$5:$R$2001,0)),"-")</f>
        <v>-</v>
      </c>
      <c r="C47" s="3" t="str">
        <f>IFERROR(INDEX(Movimientos!$D$5:$D$2001,MATCH(A47&amp;"ENTRADA",Movimientos!$R$5:$R$2001,0)),"-")</f>
        <v>-</v>
      </c>
      <c r="D47" s="3" t="str">
        <f>IFERROR(INDEX(Movimientos!$E$5:$E$2001,MATCH(A47&amp;"ENTRADA",Movimientos!$R$5:$R$2001,0)),"-")</f>
        <v>-</v>
      </c>
      <c r="E47" s="3" t="str">
        <f>IFERROR(INDEX(Movimientos!$F$5:$F$2001,MATCH(A47&amp;"ENTRADA",Movimientos!$R$5:$R$2001,0)),"-")</f>
        <v>-</v>
      </c>
      <c r="F47" s="3" t="str">
        <f>IFERROR(INDEX(Movimientos!$G$5:$G$2001,MATCH(A47&amp;"ENTRADA",Movimientos!$R$5:$R$2001,0)),"-")</f>
        <v>-</v>
      </c>
      <c r="G47" s="3" t="str">
        <f>IFERROR(INDEX(Movimientos!$L$5:$L$2001,MATCH(A47&amp;"ENTRADA",Movimientos!$R$5:$R$2001,0)),"-")</f>
        <v>-</v>
      </c>
      <c r="H47" s="19" t="str">
        <f>IFERROR(IF(INDEX(Movimientos!$M$5:$M$2001,MATCH(A47&amp;"ENTRADA",Movimientos!$R$5:$R$2001,0))=0,"S/D",INDEX(Movimientos!$M$5:$M$2001,MATCH(A47&amp;"ENTRADA",Movimientos!$R$5:$R$2001,0))),"S/D")</f>
        <v>S/D</v>
      </c>
      <c r="I47" s="16" t="str">
        <f t="shared" ca="1" si="2"/>
        <v>S/D</v>
      </c>
      <c r="J47" s="6">
        <f>IF(A47="","",SUMIFS(Movimientos!$K:$K,Movimientos!$H:$H,A47))</f>
        <v>0</v>
      </c>
      <c r="K47" s="14" t="str">
        <f t="shared" ca="1" si="3"/>
        <v>OK</v>
      </c>
    </row>
    <row r="48" spans="1:11">
      <c r="A48" s="18" t="s">
        <v>2121</v>
      </c>
      <c r="B48" s="3" t="str">
        <f>IFERROR(INDEX(Movimientos!$C$5:$C$2001,MATCH(A48&amp;"ENTRADA",Movimientos!$R$5:$R$2001,0)),"-")</f>
        <v>-</v>
      </c>
      <c r="C48" s="3" t="str">
        <f>IFERROR(INDEX(Movimientos!$D$5:$D$2001,MATCH(A48&amp;"ENTRADA",Movimientos!$R$5:$R$2001,0)),"-")</f>
        <v>-</v>
      </c>
      <c r="D48" s="3" t="str">
        <f>IFERROR(INDEX(Movimientos!$E$5:$E$2001,MATCH(A48&amp;"ENTRADA",Movimientos!$R$5:$R$2001,0)),"-")</f>
        <v>-</v>
      </c>
      <c r="E48" s="3" t="str">
        <f>IFERROR(INDEX(Movimientos!$F$5:$F$2001,MATCH(A48&amp;"ENTRADA",Movimientos!$R$5:$R$2001,0)),"-")</f>
        <v>-</v>
      </c>
      <c r="F48" s="3" t="str">
        <f>IFERROR(INDEX(Movimientos!$G$5:$G$2001,MATCH(A48&amp;"ENTRADA",Movimientos!$R$5:$R$2001,0)),"-")</f>
        <v>-</v>
      </c>
      <c r="G48" s="3" t="str">
        <f>IFERROR(INDEX(Movimientos!$L$5:$L$2001,MATCH(A48&amp;"ENTRADA",Movimientos!$R$5:$R$2001,0)),"-")</f>
        <v>-</v>
      </c>
      <c r="H48" s="19" t="str">
        <f>IFERROR(IF(INDEX(Movimientos!$M$5:$M$2001,MATCH(A48&amp;"ENTRADA",Movimientos!$R$5:$R$2001,0))=0,"S/D",INDEX(Movimientos!$M$5:$M$2001,MATCH(A48&amp;"ENTRADA",Movimientos!$R$5:$R$2001,0))),"S/D")</f>
        <v>S/D</v>
      </c>
      <c r="I48" s="16" t="str">
        <f t="shared" ca="1" si="2"/>
        <v>S/D</v>
      </c>
      <c r="J48" s="6">
        <f>IF(A48="","",SUMIFS(Movimientos!$K:$K,Movimientos!$H:$H,A48))</f>
        <v>0</v>
      </c>
      <c r="K48" s="14" t="str">
        <f t="shared" ca="1" si="3"/>
        <v>OK</v>
      </c>
    </row>
    <row r="49" spans="1:11">
      <c r="A49" s="18" t="s">
        <v>2122</v>
      </c>
      <c r="B49" s="3" t="str">
        <f>IFERROR(INDEX(Movimientos!$C$5:$C$2001,MATCH(A49&amp;"ENTRADA",Movimientos!$R$5:$R$2001,0)),"-")</f>
        <v>-</v>
      </c>
      <c r="C49" s="3" t="str">
        <f>IFERROR(INDEX(Movimientos!$D$5:$D$2001,MATCH(A49&amp;"ENTRADA",Movimientos!$R$5:$R$2001,0)),"-")</f>
        <v>-</v>
      </c>
      <c r="D49" s="3" t="str">
        <f>IFERROR(INDEX(Movimientos!$E$5:$E$2001,MATCH(A49&amp;"ENTRADA",Movimientos!$R$5:$R$2001,0)),"-")</f>
        <v>-</v>
      </c>
      <c r="E49" s="3" t="str">
        <f>IFERROR(INDEX(Movimientos!$F$5:$F$2001,MATCH(A49&amp;"ENTRADA",Movimientos!$R$5:$R$2001,0)),"-")</f>
        <v>-</v>
      </c>
      <c r="F49" s="3" t="str">
        <f>IFERROR(INDEX(Movimientos!$G$5:$G$2001,MATCH(A49&amp;"ENTRADA",Movimientos!$R$5:$R$2001,0)),"-")</f>
        <v>-</v>
      </c>
      <c r="G49" s="3" t="str">
        <f>IFERROR(INDEX(Movimientos!$L$5:$L$2001,MATCH(A49&amp;"ENTRADA",Movimientos!$R$5:$R$2001,0)),"-")</f>
        <v>-</v>
      </c>
      <c r="H49" s="19" t="str">
        <f>IFERROR(IF(INDEX(Movimientos!$M$5:$M$2001,MATCH(A49&amp;"ENTRADA",Movimientos!$R$5:$R$2001,0))=0,"S/D",INDEX(Movimientos!$M$5:$M$2001,MATCH(A49&amp;"ENTRADA",Movimientos!$R$5:$R$2001,0))),"S/D")</f>
        <v>S/D</v>
      </c>
      <c r="I49" s="16" t="str">
        <f t="shared" ca="1" si="2"/>
        <v>S/D</v>
      </c>
      <c r="J49" s="6">
        <f>IF(A49="","",SUMIFS(Movimientos!$K:$K,Movimientos!$H:$H,A49))</f>
        <v>0</v>
      </c>
      <c r="K49" s="14" t="str">
        <f t="shared" ca="1" si="3"/>
        <v>OK</v>
      </c>
    </row>
    <row r="50" spans="1:11">
      <c r="A50" s="18" t="s">
        <v>2123</v>
      </c>
      <c r="B50" s="3" t="str">
        <f>IFERROR(INDEX(Movimientos!$C$5:$C$2001,MATCH(A50&amp;"ENTRADA",Movimientos!$R$5:$R$2001,0)),"-")</f>
        <v>-</v>
      </c>
      <c r="C50" s="3" t="str">
        <f>IFERROR(INDEX(Movimientos!$D$5:$D$2001,MATCH(A50&amp;"ENTRADA",Movimientos!$R$5:$R$2001,0)),"-")</f>
        <v>-</v>
      </c>
      <c r="D50" s="3" t="str">
        <f>IFERROR(INDEX(Movimientos!$E$5:$E$2001,MATCH(A50&amp;"ENTRADA",Movimientos!$R$5:$R$2001,0)),"-")</f>
        <v>-</v>
      </c>
      <c r="E50" s="3" t="str">
        <f>IFERROR(INDEX(Movimientos!$F$5:$F$2001,MATCH(A50&amp;"ENTRADA",Movimientos!$R$5:$R$2001,0)),"-")</f>
        <v>-</v>
      </c>
      <c r="F50" s="3" t="str">
        <f>IFERROR(INDEX(Movimientos!$G$5:$G$2001,MATCH(A50&amp;"ENTRADA",Movimientos!$R$5:$R$2001,0)),"-")</f>
        <v>-</v>
      </c>
      <c r="G50" s="3" t="str">
        <f>IFERROR(INDEX(Movimientos!$L$5:$L$2001,MATCH(A50&amp;"ENTRADA",Movimientos!$R$5:$R$2001,0)),"-")</f>
        <v>-</v>
      </c>
      <c r="H50" s="19" t="str">
        <f>IFERROR(IF(INDEX(Movimientos!$M$5:$M$2001,MATCH(A50&amp;"ENTRADA",Movimientos!$R$5:$R$2001,0))=0,"S/D",INDEX(Movimientos!$M$5:$M$2001,MATCH(A50&amp;"ENTRADA",Movimientos!$R$5:$R$2001,0))),"S/D")</f>
        <v>S/D</v>
      </c>
      <c r="I50" s="16" t="str">
        <f t="shared" ca="1" si="2"/>
        <v>S/D</v>
      </c>
      <c r="J50" s="6">
        <f>IF(A50="","",SUMIFS(Movimientos!$K:$K,Movimientos!$H:$H,A50))</f>
        <v>0</v>
      </c>
      <c r="K50" s="14" t="str">
        <f t="shared" ca="1" si="3"/>
        <v>OK</v>
      </c>
    </row>
    <row r="51" spans="1:11">
      <c r="A51" s="18" t="s">
        <v>2124</v>
      </c>
      <c r="B51" s="3" t="str">
        <f>IFERROR(INDEX(Movimientos!$C$5:$C$2001,MATCH(A51&amp;"ENTRADA",Movimientos!$R$5:$R$2001,0)),"-")</f>
        <v>-</v>
      </c>
      <c r="C51" s="3" t="str">
        <f>IFERROR(INDEX(Movimientos!$D$5:$D$2001,MATCH(A51&amp;"ENTRADA",Movimientos!$R$5:$R$2001,0)),"-")</f>
        <v>-</v>
      </c>
      <c r="D51" s="3" t="str">
        <f>IFERROR(INDEX(Movimientos!$E$5:$E$2001,MATCH(A51&amp;"ENTRADA",Movimientos!$R$5:$R$2001,0)),"-")</f>
        <v>-</v>
      </c>
      <c r="E51" s="3" t="str">
        <f>IFERROR(INDEX(Movimientos!$F$5:$F$2001,MATCH(A51&amp;"ENTRADA",Movimientos!$R$5:$R$2001,0)),"-")</f>
        <v>-</v>
      </c>
      <c r="F51" s="3" t="str">
        <f>IFERROR(INDEX(Movimientos!$G$5:$G$2001,MATCH(A51&amp;"ENTRADA",Movimientos!$R$5:$R$2001,0)),"-")</f>
        <v>-</v>
      </c>
      <c r="G51" s="3" t="str">
        <f>IFERROR(INDEX(Movimientos!$L$5:$L$2001,MATCH(A51&amp;"ENTRADA",Movimientos!$R$5:$R$2001,0)),"-")</f>
        <v>-</v>
      </c>
      <c r="H51" s="19" t="str">
        <f>IFERROR(IF(INDEX(Movimientos!$M$5:$M$2001,MATCH(A51&amp;"ENTRADA",Movimientos!$R$5:$R$2001,0))=0,"S/D",INDEX(Movimientos!$M$5:$M$2001,MATCH(A51&amp;"ENTRADA",Movimientos!$R$5:$R$2001,0))),"S/D")</f>
        <v>S/D</v>
      </c>
      <c r="I51" s="16" t="str">
        <f t="shared" ca="1" si="2"/>
        <v>S/D</v>
      </c>
      <c r="J51" s="6">
        <f>IF(A51="","",SUMIFS(Movimientos!$K:$K,Movimientos!$H:$H,A51))</f>
        <v>0</v>
      </c>
      <c r="K51" s="14" t="str">
        <f t="shared" ca="1" si="3"/>
        <v>OK</v>
      </c>
    </row>
    <row r="52" spans="1:11">
      <c r="A52" s="18" t="s">
        <v>2125</v>
      </c>
      <c r="B52" s="3" t="str">
        <f>IFERROR(INDEX(Movimientos!$C$5:$C$2001,MATCH(A52&amp;"ENTRADA",Movimientos!$R$5:$R$2001,0)),"-")</f>
        <v>-</v>
      </c>
      <c r="C52" s="3" t="str">
        <f>IFERROR(INDEX(Movimientos!$D$5:$D$2001,MATCH(A52&amp;"ENTRADA",Movimientos!$R$5:$R$2001,0)),"-")</f>
        <v>-</v>
      </c>
      <c r="D52" s="3" t="str">
        <f>IFERROR(INDEX(Movimientos!$E$5:$E$2001,MATCH(A52&amp;"ENTRADA",Movimientos!$R$5:$R$2001,0)),"-")</f>
        <v>-</v>
      </c>
      <c r="E52" s="3" t="str">
        <f>IFERROR(INDEX(Movimientos!$F$5:$F$2001,MATCH(A52&amp;"ENTRADA",Movimientos!$R$5:$R$2001,0)),"-")</f>
        <v>-</v>
      </c>
      <c r="F52" s="3" t="str">
        <f>IFERROR(INDEX(Movimientos!$G$5:$G$2001,MATCH(A52&amp;"ENTRADA",Movimientos!$R$5:$R$2001,0)),"-")</f>
        <v>-</v>
      </c>
      <c r="G52" s="3" t="str">
        <f>IFERROR(INDEX(Movimientos!$L$5:$L$2001,MATCH(A52&amp;"ENTRADA",Movimientos!$R$5:$R$2001,0)),"-")</f>
        <v>-</v>
      </c>
      <c r="H52" s="19" t="str">
        <f>IFERROR(IF(INDEX(Movimientos!$M$5:$M$2001,MATCH(A52&amp;"ENTRADA",Movimientos!$R$5:$R$2001,0))=0,"S/D",INDEX(Movimientos!$M$5:$M$2001,MATCH(A52&amp;"ENTRADA",Movimientos!$R$5:$R$2001,0))),"S/D")</f>
        <v>S/D</v>
      </c>
      <c r="I52" s="16" t="str">
        <f t="shared" ca="1" si="2"/>
        <v>S/D</v>
      </c>
      <c r="J52" s="6">
        <f>IF(A52="","",SUMIFS(Movimientos!$K:$K,Movimientos!$H:$H,A52))</f>
        <v>0</v>
      </c>
      <c r="K52" s="14" t="str">
        <f t="shared" ca="1" si="3"/>
        <v>OK</v>
      </c>
    </row>
    <row r="53" spans="1:11">
      <c r="A53" s="18" t="s">
        <v>2126</v>
      </c>
      <c r="B53" s="3" t="str">
        <f>IFERROR(INDEX(Movimientos!$C$5:$C$2001,MATCH(A53&amp;"ENTRADA",Movimientos!$R$5:$R$2001,0)),"-")</f>
        <v>-</v>
      </c>
      <c r="C53" s="3" t="str">
        <f>IFERROR(INDEX(Movimientos!$D$5:$D$2001,MATCH(A53&amp;"ENTRADA",Movimientos!$R$5:$R$2001,0)),"-")</f>
        <v>-</v>
      </c>
      <c r="D53" s="3" t="str">
        <f>IFERROR(INDEX(Movimientos!$E$5:$E$2001,MATCH(A53&amp;"ENTRADA",Movimientos!$R$5:$R$2001,0)),"-")</f>
        <v>-</v>
      </c>
      <c r="E53" s="3" t="str">
        <f>IFERROR(INDEX(Movimientos!$F$5:$F$2001,MATCH(A53&amp;"ENTRADA",Movimientos!$R$5:$R$2001,0)),"-")</f>
        <v>-</v>
      </c>
      <c r="F53" s="3" t="str">
        <f>IFERROR(INDEX(Movimientos!$G$5:$G$2001,MATCH(A53&amp;"ENTRADA",Movimientos!$R$5:$R$2001,0)),"-")</f>
        <v>-</v>
      </c>
      <c r="G53" s="3" t="str">
        <f>IFERROR(INDEX(Movimientos!$L$5:$L$2001,MATCH(A53&amp;"ENTRADA",Movimientos!$R$5:$R$2001,0)),"-")</f>
        <v>-</v>
      </c>
      <c r="H53" s="19" t="str">
        <f>IFERROR(IF(INDEX(Movimientos!$M$5:$M$2001,MATCH(A53&amp;"ENTRADA",Movimientos!$R$5:$R$2001,0))=0,"S/D",INDEX(Movimientos!$M$5:$M$2001,MATCH(A53&amp;"ENTRADA",Movimientos!$R$5:$R$2001,0))),"S/D")</f>
        <v>S/D</v>
      </c>
      <c r="I53" s="16" t="str">
        <f t="shared" ca="1" si="2"/>
        <v>S/D</v>
      </c>
      <c r="J53" s="6">
        <f>IF(A53="","",SUMIFS(Movimientos!$K:$K,Movimientos!$H:$H,A53))</f>
        <v>0</v>
      </c>
      <c r="K53" s="14" t="str">
        <f t="shared" ca="1" si="3"/>
        <v>OK</v>
      </c>
    </row>
    <row r="54" spans="1:11">
      <c r="A54" s="18" t="s">
        <v>2127</v>
      </c>
      <c r="B54" s="3" t="str">
        <f>IFERROR(INDEX(Movimientos!$C$5:$C$2001,MATCH(A54&amp;"ENTRADA",Movimientos!$R$5:$R$2001,0)),"-")</f>
        <v>-</v>
      </c>
      <c r="C54" s="3" t="str">
        <f>IFERROR(INDEX(Movimientos!$D$5:$D$2001,MATCH(A54&amp;"ENTRADA",Movimientos!$R$5:$R$2001,0)),"-")</f>
        <v>-</v>
      </c>
      <c r="D54" s="3" t="str">
        <f>IFERROR(INDEX(Movimientos!$E$5:$E$2001,MATCH(A54&amp;"ENTRADA",Movimientos!$R$5:$R$2001,0)),"-")</f>
        <v>-</v>
      </c>
      <c r="E54" s="3" t="str">
        <f>IFERROR(INDEX(Movimientos!$F$5:$F$2001,MATCH(A54&amp;"ENTRADA",Movimientos!$R$5:$R$2001,0)),"-")</f>
        <v>-</v>
      </c>
      <c r="F54" s="3" t="str">
        <f>IFERROR(INDEX(Movimientos!$G$5:$G$2001,MATCH(A54&amp;"ENTRADA",Movimientos!$R$5:$R$2001,0)),"-")</f>
        <v>-</v>
      </c>
      <c r="G54" s="3" t="str">
        <f>IFERROR(INDEX(Movimientos!$L$5:$L$2001,MATCH(A54&amp;"ENTRADA",Movimientos!$R$5:$R$2001,0)),"-")</f>
        <v>-</v>
      </c>
      <c r="H54" s="19" t="str">
        <f>IFERROR(IF(INDEX(Movimientos!$M$5:$M$2001,MATCH(A54&amp;"ENTRADA",Movimientos!$R$5:$R$2001,0))=0,"S/D",INDEX(Movimientos!$M$5:$M$2001,MATCH(A54&amp;"ENTRADA",Movimientos!$R$5:$R$2001,0))),"S/D")</f>
        <v>S/D</v>
      </c>
      <c r="I54" s="16" t="str">
        <f t="shared" ca="1" si="2"/>
        <v>S/D</v>
      </c>
      <c r="J54" s="6">
        <f>IF(A54="","",SUMIFS(Movimientos!$K:$K,Movimientos!$H:$H,A54))</f>
        <v>0</v>
      </c>
      <c r="K54" s="14" t="str">
        <f t="shared" ca="1" si="3"/>
        <v>OK</v>
      </c>
    </row>
    <row r="55" spans="1:11">
      <c r="A55" s="18" t="s">
        <v>2128</v>
      </c>
      <c r="B55" s="3" t="str">
        <f>IFERROR(INDEX(Movimientos!$C$5:$C$2001,MATCH(A55&amp;"ENTRADA",Movimientos!$R$5:$R$2001,0)),"-")</f>
        <v>-</v>
      </c>
      <c r="C55" s="3" t="str">
        <f>IFERROR(INDEX(Movimientos!$D$5:$D$2001,MATCH(A55&amp;"ENTRADA",Movimientos!$R$5:$R$2001,0)),"-")</f>
        <v>-</v>
      </c>
      <c r="D55" s="3" t="str">
        <f>IFERROR(INDEX(Movimientos!$E$5:$E$2001,MATCH(A55&amp;"ENTRADA",Movimientos!$R$5:$R$2001,0)),"-")</f>
        <v>-</v>
      </c>
      <c r="E55" s="3" t="str">
        <f>IFERROR(INDEX(Movimientos!$F$5:$F$2001,MATCH(A55&amp;"ENTRADA",Movimientos!$R$5:$R$2001,0)),"-")</f>
        <v>-</v>
      </c>
      <c r="F55" s="3" t="str">
        <f>IFERROR(INDEX(Movimientos!$G$5:$G$2001,MATCH(A55&amp;"ENTRADA",Movimientos!$R$5:$R$2001,0)),"-")</f>
        <v>-</v>
      </c>
      <c r="G55" s="3" t="str">
        <f>IFERROR(INDEX(Movimientos!$L$5:$L$2001,MATCH(A55&amp;"ENTRADA",Movimientos!$R$5:$R$2001,0)),"-")</f>
        <v>-</v>
      </c>
      <c r="H55" s="19" t="str">
        <f>IFERROR(IF(INDEX(Movimientos!$M$5:$M$2001,MATCH(A55&amp;"ENTRADA",Movimientos!$R$5:$R$2001,0))=0,"S/D",INDEX(Movimientos!$M$5:$M$2001,MATCH(A55&amp;"ENTRADA",Movimientos!$R$5:$R$2001,0))),"S/D")</f>
        <v>S/D</v>
      </c>
      <c r="I55" s="16" t="str">
        <f t="shared" ca="1" si="2"/>
        <v>S/D</v>
      </c>
      <c r="J55" s="6">
        <f>IF(A55="","",SUMIFS(Movimientos!$K:$K,Movimientos!$H:$H,A55))</f>
        <v>0</v>
      </c>
      <c r="K55" s="14" t="str">
        <f t="shared" ca="1" si="3"/>
        <v>OK</v>
      </c>
    </row>
    <row r="56" spans="1:11">
      <c r="A56" s="18" t="s">
        <v>2129</v>
      </c>
      <c r="B56" s="3" t="str">
        <f>IFERROR(INDEX(Movimientos!$C$5:$C$2001,MATCH(A56&amp;"ENTRADA",Movimientos!$R$5:$R$2001,0)),"-")</f>
        <v>-</v>
      </c>
      <c r="C56" s="3" t="str">
        <f>IFERROR(INDEX(Movimientos!$D$5:$D$2001,MATCH(A56&amp;"ENTRADA",Movimientos!$R$5:$R$2001,0)),"-")</f>
        <v>-</v>
      </c>
      <c r="D56" s="3" t="str">
        <f>IFERROR(INDEX(Movimientos!$E$5:$E$2001,MATCH(A56&amp;"ENTRADA",Movimientos!$R$5:$R$2001,0)),"-")</f>
        <v>-</v>
      </c>
      <c r="E56" s="3" t="str">
        <f>IFERROR(INDEX(Movimientos!$F$5:$F$2001,MATCH(A56&amp;"ENTRADA",Movimientos!$R$5:$R$2001,0)),"-")</f>
        <v>-</v>
      </c>
      <c r="F56" s="3" t="str">
        <f>IFERROR(INDEX(Movimientos!$G$5:$G$2001,MATCH(A56&amp;"ENTRADA",Movimientos!$R$5:$R$2001,0)),"-")</f>
        <v>-</v>
      </c>
      <c r="G56" s="3" t="str">
        <f>IFERROR(INDEX(Movimientos!$L$5:$L$2001,MATCH(A56&amp;"ENTRADA",Movimientos!$R$5:$R$2001,0)),"-")</f>
        <v>-</v>
      </c>
      <c r="H56" s="19" t="str">
        <f>IFERROR(IF(INDEX(Movimientos!$M$5:$M$2001,MATCH(A56&amp;"ENTRADA",Movimientos!$R$5:$R$2001,0))=0,"S/D",INDEX(Movimientos!$M$5:$M$2001,MATCH(A56&amp;"ENTRADA",Movimientos!$R$5:$R$2001,0))),"S/D")</f>
        <v>S/D</v>
      </c>
      <c r="I56" s="16" t="str">
        <f t="shared" ca="1" si="2"/>
        <v>S/D</v>
      </c>
      <c r="J56" s="6">
        <f>IF(A56="","",SUMIFS(Movimientos!$K:$K,Movimientos!$H:$H,A56))</f>
        <v>0</v>
      </c>
      <c r="K56" s="14" t="str">
        <f t="shared" ca="1" si="3"/>
        <v>OK</v>
      </c>
    </row>
    <row r="57" spans="1:11">
      <c r="A57" s="18" t="s">
        <v>2130</v>
      </c>
      <c r="B57" s="3" t="str">
        <f>IFERROR(INDEX(Movimientos!$C$5:$C$2001,MATCH(A57&amp;"ENTRADA",Movimientos!$R$5:$R$2001,0)),"-")</f>
        <v>-</v>
      </c>
      <c r="C57" s="3" t="str">
        <f>IFERROR(INDEX(Movimientos!$D$5:$D$2001,MATCH(A57&amp;"ENTRADA",Movimientos!$R$5:$R$2001,0)),"-")</f>
        <v>-</v>
      </c>
      <c r="D57" s="3" t="str">
        <f>IFERROR(INDEX(Movimientos!$E$5:$E$2001,MATCH(A57&amp;"ENTRADA",Movimientos!$R$5:$R$2001,0)),"-")</f>
        <v>-</v>
      </c>
      <c r="E57" s="3" t="str">
        <f>IFERROR(INDEX(Movimientos!$F$5:$F$2001,MATCH(A57&amp;"ENTRADA",Movimientos!$R$5:$R$2001,0)),"-")</f>
        <v>-</v>
      </c>
      <c r="F57" s="3" t="str">
        <f>IFERROR(INDEX(Movimientos!$G$5:$G$2001,MATCH(A57&amp;"ENTRADA",Movimientos!$R$5:$R$2001,0)),"-")</f>
        <v>-</v>
      </c>
      <c r="G57" s="3" t="str">
        <f>IFERROR(INDEX(Movimientos!$L$5:$L$2001,MATCH(A57&amp;"ENTRADA",Movimientos!$R$5:$R$2001,0)),"-")</f>
        <v>-</v>
      </c>
      <c r="H57" s="19" t="str">
        <f>IFERROR(IF(INDEX(Movimientos!$M$5:$M$2001,MATCH(A57&amp;"ENTRADA",Movimientos!$R$5:$R$2001,0))=0,"S/D",INDEX(Movimientos!$M$5:$M$2001,MATCH(A57&amp;"ENTRADA",Movimientos!$R$5:$R$2001,0))),"S/D")</f>
        <v>S/D</v>
      </c>
      <c r="I57" s="16" t="str">
        <f t="shared" ca="1" si="2"/>
        <v>S/D</v>
      </c>
      <c r="J57" s="6">
        <f>IF(A57="","",SUMIFS(Movimientos!$K:$K,Movimientos!$H:$H,A57))</f>
        <v>0</v>
      </c>
      <c r="K57" s="14" t="str">
        <f t="shared" ca="1" si="3"/>
        <v>OK</v>
      </c>
    </row>
    <row r="58" spans="1:11">
      <c r="A58" s="18" t="s">
        <v>2131</v>
      </c>
      <c r="B58" s="3" t="str">
        <f>IFERROR(INDEX(Movimientos!$C$5:$C$2001,MATCH(A58&amp;"ENTRADA",Movimientos!$R$5:$R$2001,0)),"-")</f>
        <v>-</v>
      </c>
      <c r="C58" s="3" t="str">
        <f>IFERROR(INDEX(Movimientos!$D$5:$D$2001,MATCH(A58&amp;"ENTRADA",Movimientos!$R$5:$R$2001,0)),"-")</f>
        <v>-</v>
      </c>
      <c r="D58" s="3" t="str">
        <f>IFERROR(INDEX(Movimientos!$E$5:$E$2001,MATCH(A58&amp;"ENTRADA",Movimientos!$R$5:$R$2001,0)),"-")</f>
        <v>-</v>
      </c>
      <c r="E58" s="3" t="str">
        <f>IFERROR(INDEX(Movimientos!$F$5:$F$2001,MATCH(A58&amp;"ENTRADA",Movimientos!$R$5:$R$2001,0)),"-")</f>
        <v>-</v>
      </c>
      <c r="F58" s="3" t="str">
        <f>IFERROR(INDEX(Movimientos!$G$5:$G$2001,MATCH(A58&amp;"ENTRADA",Movimientos!$R$5:$R$2001,0)),"-")</f>
        <v>-</v>
      </c>
      <c r="G58" s="3" t="str">
        <f>IFERROR(INDEX(Movimientos!$L$5:$L$2001,MATCH(A58&amp;"ENTRADA",Movimientos!$R$5:$R$2001,0)),"-")</f>
        <v>-</v>
      </c>
      <c r="H58" s="19" t="str">
        <f>IFERROR(IF(INDEX(Movimientos!$M$5:$M$2001,MATCH(A58&amp;"ENTRADA",Movimientos!$R$5:$R$2001,0))=0,"S/D",INDEX(Movimientos!$M$5:$M$2001,MATCH(A58&amp;"ENTRADA",Movimientos!$R$5:$R$2001,0))),"S/D")</f>
        <v>S/D</v>
      </c>
      <c r="I58" s="16" t="str">
        <f t="shared" ca="1" si="2"/>
        <v>S/D</v>
      </c>
      <c r="J58" s="6">
        <f>IF(A58="","",SUMIFS(Movimientos!$K:$K,Movimientos!$H:$H,A58))</f>
        <v>0</v>
      </c>
      <c r="K58" s="14" t="str">
        <f t="shared" ca="1" si="3"/>
        <v>OK</v>
      </c>
    </row>
    <row r="59" spans="1:11">
      <c r="A59" s="18" t="s">
        <v>2132</v>
      </c>
      <c r="B59" s="3" t="str">
        <f>IFERROR(INDEX(Movimientos!$C$5:$C$2001,MATCH(A59&amp;"ENTRADA",Movimientos!$R$5:$R$2001,0)),"-")</f>
        <v>-</v>
      </c>
      <c r="C59" s="3" t="str">
        <f>IFERROR(INDEX(Movimientos!$D$5:$D$2001,MATCH(A59&amp;"ENTRADA",Movimientos!$R$5:$R$2001,0)),"-")</f>
        <v>-</v>
      </c>
      <c r="D59" s="3" t="str">
        <f>IFERROR(INDEX(Movimientos!$E$5:$E$2001,MATCH(A59&amp;"ENTRADA",Movimientos!$R$5:$R$2001,0)),"-")</f>
        <v>-</v>
      </c>
      <c r="E59" s="3" t="str">
        <f>IFERROR(INDEX(Movimientos!$F$5:$F$2001,MATCH(A59&amp;"ENTRADA",Movimientos!$R$5:$R$2001,0)),"-")</f>
        <v>-</v>
      </c>
      <c r="F59" s="3" t="str">
        <f>IFERROR(INDEX(Movimientos!$G$5:$G$2001,MATCH(A59&amp;"ENTRADA",Movimientos!$R$5:$R$2001,0)),"-")</f>
        <v>-</v>
      </c>
      <c r="G59" s="3" t="str">
        <f>IFERROR(INDEX(Movimientos!$L$5:$L$2001,MATCH(A59&amp;"ENTRADA",Movimientos!$R$5:$R$2001,0)),"-")</f>
        <v>-</v>
      </c>
      <c r="H59" s="19" t="str">
        <f>IFERROR(IF(INDEX(Movimientos!$M$5:$M$2001,MATCH(A59&amp;"ENTRADA",Movimientos!$R$5:$R$2001,0))=0,"S/D",INDEX(Movimientos!$M$5:$M$2001,MATCH(A59&amp;"ENTRADA",Movimientos!$R$5:$R$2001,0))),"S/D")</f>
        <v>S/D</v>
      </c>
      <c r="I59" s="16" t="str">
        <f t="shared" ca="1" si="2"/>
        <v>S/D</v>
      </c>
      <c r="J59" s="6">
        <f>IF(A59="","",SUMIFS(Movimientos!$K:$K,Movimientos!$H:$H,A59))</f>
        <v>0</v>
      </c>
      <c r="K59" s="14" t="str">
        <f t="shared" ca="1" si="3"/>
        <v>OK</v>
      </c>
    </row>
    <row r="60" spans="1:11">
      <c r="A60" s="18" t="s">
        <v>2133</v>
      </c>
      <c r="B60" s="3" t="str">
        <f>IFERROR(INDEX(Movimientos!$C$5:$C$2001,MATCH(A60&amp;"ENTRADA",Movimientos!$R$5:$R$2001,0)),"-")</f>
        <v>-</v>
      </c>
      <c r="C60" s="3" t="str">
        <f>IFERROR(INDEX(Movimientos!$D$5:$D$2001,MATCH(A60&amp;"ENTRADA",Movimientos!$R$5:$R$2001,0)),"-")</f>
        <v>-</v>
      </c>
      <c r="D60" s="3" t="str">
        <f>IFERROR(INDEX(Movimientos!$E$5:$E$2001,MATCH(A60&amp;"ENTRADA",Movimientos!$R$5:$R$2001,0)),"-")</f>
        <v>-</v>
      </c>
      <c r="E60" s="3" t="str">
        <f>IFERROR(INDEX(Movimientos!$F$5:$F$2001,MATCH(A60&amp;"ENTRADA",Movimientos!$R$5:$R$2001,0)),"-")</f>
        <v>-</v>
      </c>
      <c r="F60" s="3" t="str">
        <f>IFERROR(INDEX(Movimientos!$G$5:$G$2001,MATCH(A60&amp;"ENTRADA",Movimientos!$R$5:$R$2001,0)),"-")</f>
        <v>-</v>
      </c>
      <c r="G60" s="3" t="str">
        <f>IFERROR(INDEX(Movimientos!$L$5:$L$2001,MATCH(A60&amp;"ENTRADA",Movimientos!$R$5:$R$2001,0)),"-")</f>
        <v>-</v>
      </c>
      <c r="H60" s="19" t="str">
        <f>IFERROR(IF(INDEX(Movimientos!$M$5:$M$2001,MATCH(A60&amp;"ENTRADA",Movimientos!$R$5:$R$2001,0))=0,"S/D",INDEX(Movimientos!$M$5:$M$2001,MATCH(A60&amp;"ENTRADA",Movimientos!$R$5:$R$2001,0))),"S/D")</f>
        <v>S/D</v>
      </c>
      <c r="I60" s="16" t="str">
        <f t="shared" ca="1" si="2"/>
        <v>S/D</v>
      </c>
      <c r="J60" s="6">
        <f>IF(A60="","",SUMIFS(Movimientos!$K:$K,Movimientos!$H:$H,A60))</f>
        <v>0</v>
      </c>
      <c r="K60" s="14" t="str">
        <f t="shared" ca="1" si="3"/>
        <v>OK</v>
      </c>
    </row>
    <row r="61" spans="1:11">
      <c r="A61" s="18" t="s">
        <v>2134</v>
      </c>
      <c r="B61" s="3" t="str">
        <f>IFERROR(INDEX(Movimientos!$C$5:$C$2001,MATCH(A61&amp;"ENTRADA",Movimientos!$R$5:$R$2001,0)),"-")</f>
        <v>-</v>
      </c>
      <c r="C61" s="3" t="str">
        <f>IFERROR(INDEX(Movimientos!$D$5:$D$2001,MATCH(A61&amp;"ENTRADA",Movimientos!$R$5:$R$2001,0)),"-")</f>
        <v>-</v>
      </c>
      <c r="D61" s="3" t="str">
        <f>IFERROR(INDEX(Movimientos!$E$5:$E$2001,MATCH(A61&amp;"ENTRADA",Movimientos!$R$5:$R$2001,0)),"-")</f>
        <v>-</v>
      </c>
      <c r="E61" s="3" t="str">
        <f>IFERROR(INDEX(Movimientos!$F$5:$F$2001,MATCH(A61&amp;"ENTRADA",Movimientos!$R$5:$R$2001,0)),"-")</f>
        <v>-</v>
      </c>
      <c r="F61" s="3" t="str">
        <f>IFERROR(INDEX(Movimientos!$G$5:$G$2001,MATCH(A61&amp;"ENTRADA",Movimientos!$R$5:$R$2001,0)),"-")</f>
        <v>-</v>
      </c>
      <c r="G61" s="3" t="str">
        <f>IFERROR(INDEX(Movimientos!$L$5:$L$2001,MATCH(A61&amp;"ENTRADA",Movimientos!$R$5:$R$2001,0)),"-")</f>
        <v>-</v>
      </c>
      <c r="H61" s="19" t="str">
        <f>IFERROR(IF(INDEX(Movimientos!$M$5:$M$2001,MATCH(A61&amp;"ENTRADA",Movimientos!$R$5:$R$2001,0))=0,"S/D",INDEX(Movimientos!$M$5:$M$2001,MATCH(A61&amp;"ENTRADA",Movimientos!$R$5:$R$2001,0))),"S/D")</f>
        <v>S/D</v>
      </c>
      <c r="I61" s="16" t="str">
        <f t="shared" ca="1" si="2"/>
        <v>S/D</v>
      </c>
      <c r="J61" s="6">
        <f>IF(A61="","",SUMIFS(Movimientos!$K:$K,Movimientos!$H:$H,A61))</f>
        <v>0</v>
      </c>
      <c r="K61" s="14" t="str">
        <f t="shared" ca="1" si="3"/>
        <v>OK</v>
      </c>
    </row>
    <row r="62" spans="1:11">
      <c r="A62" s="18" t="s">
        <v>2135</v>
      </c>
      <c r="B62" s="3" t="str">
        <f>IFERROR(INDEX(Movimientos!$C$5:$C$2001,MATCH(A62&amp;"ENTRADA",Movimientos!$R$5:$R$2001,0)),"-")</f>
        <v>-</v>
      </c>
      <c r="C62" s="3" t="str">
        <f>IFERROR(INDEX(Movimientos!$D$5:$D$2001,MATCH(A62&amp;"ENTRADA",Movimientos!$R$5:$R$2001,0)),"-")</f>
        <v>-</v>
      </c>
      <c r="D62" s="3" t="str">
        <f>IFERROR(INDEX(Movimientos!$E$5:$E$2001,MATCH(A62&amp;"ENTRADA",Movimientos!$R$5:$R$2001,0)),"-")</f>
        <v>-</v>
      </c>
      <c r="E62" s="3" t="str">
        <f>IFERROR(INDEX(Movimientos!$F$5:$F$2001,MATCH(A62&amp;"ENTRADA",Movimientos!$R$5:$R$2001,0)),"-")</f>
        <v>-</v>
      </c>
      <c r="F62" s="3" t="str">
        <f>IFERROR(INDEX(Movimientos!$G$5:$G$2001,MATCH(A62&amp;"ENTRADA",Movimientos!$R$5:$R$2001,0)),"-")</f>
        <v>-</v>
      </c>
      <c r="G62" s="3" t="str">
        <f>IFERROR(INDEX(Movimientos!$L$5:$L$2001,MATCH(A62&amp;"ENTRADA",Movimientos!$R$5:$R$2001,0)),"-")</f>
        <v>-</v>
      </c>
      <c r="H62" s="19" t="str">
        <f>IFERROR(IF(INDEX(Movimientos!$M$5:$M$2001,MATCH(A62&amp;"ENTRADA",Movimientos!$R$5:$R$2001,0))=0,"S/D",INDEX(Movimientos!$M$5:$M$2001,MATCH(A62&amp;"ENTRADA",Movimientos!$R$5:$R$2001,0))),"S/D")</f>
        <v>S/D</v>
      </c>
      <c r="I62" s="16" t="str">
        <f t="shared" ca="1" si="2"/>
        <v>S/D</v>
      </c>
      <c r="J62" s="6">
        <f>IF(A62="","",SUMIFS(Movimientos!$K:$K,Movimientos!$H:$H,A62))</f>
        <v>0</v>
      </c>
      <c r="K62" s="14" t="str">
        <f t="shared" ca="1" si="3"/>
        <v>OK</v>
      </c>
    </row>
    <row r="63" spans="1:11">
      <c r="A63" s="18" t="s">
        <v>2136</v>
      </c>
      <c r="B63" s="3" t="str">
        <f>IFERROR(INDEX(Movimientos!$C$5:$C$2001,MATCH(A63&amp;"ENTRADA",Movimientos!$R$5:$R$2001,0)),"-")</f>
        <v>-</v>
      </c>
      <c r="C63" s="3" t="str">
        <f>IFERROR(INDEX(Movimientos!$D$5:$D$2001,MATCH(A63&amp;"ENTRADA",Movimientos!$R$5:$R$2001,0)),"-")</f>
        <v>-</v>
      </c>
      <c r="D63" s="3" t="str">
        <f>IFERROR(INDEX(Movimientos!$E$5:$E$2001,MATCH(A63&amp;"ENTRADA",Movimientos!$R$5:$R$2001,0)),"-")</f>
        <v>-</v>
      </c>
      <c r="E63" s="3" t="str">
        <f>IFERROR(INDEX(Movimientos!$F$5:$F$2001,MATCH(A63&amp;"ENTRADA",Movimientos!$R$5:$R$2001,0)),"-")</f>
        <v>-</v>
      </c>
      <c r="F63" s="3" t="str">
        <f>IFERROR(INDEX(Movimientos!$G$5:$G$2001,MATCH(A63&amp;"ENTRADA",Movimientos!$R$5:$R$2001,0)),"-")</f>
        <v>-</v>
      </c>
      <c r="G63" s="3" t="str">
        <f>IFERROR(INDEX(Movimientos!$L$5:$L$2001,MATCH(A63&amp;"ENTRADA",Movimientos!$R$5:$R$2001,0)),"-")</f>
        <v>-</v>
      </c>
      <c r="H63" s="19" t="str">
        <f>IFERROR(IF(INDEX(Movimientos!$M$5:$M$2001,MATCH(A63&amp;"ENTRADA",Movimientos!$R$5:$R$2001,0))=0,"S/D",INDEX(Movimientos!$M$5:$M$2001,MATCH(A63&amp;"ENTRADA",Movimientos!$R$5:$R$2001,0))),"S/D")</f>
        <v>S/D</v>
      </c>
      <c r="I63" s="16" t="str">
        <f t="shared" ca="1" si="2"/>
        <v>S/D</v>
      </c>
      <c r="J63" s="6">
        <f>IF(A63="","",SUMIFS(Movimientos!$K:$K,Movimientos!$H:$H,A63))</f>
        <v>0</v>
      </c>
      <c r="K63" s="14" t="str">
        <f t="shared" ca="1" si="3"/>
        <v>OK</v>
      </c>
    </row>
    <row r="64" spans="1:11">
      <c r="A64" s="18" t="s">
        <v>2137</v>
      </c>
      <c r="B64" s="3" t="str">
        <f>IFERROR(INDEX(Movimientos!$C$5:$C$2001,MATCH(A64&amp;"ENTRADA",Movimientos!$R$5:$R$2001,0)),"-")</f>
        <v>-</v>
      </c>
      <c r="C64" s="3" t="str">
        <f>IFERROR(INDEX(Movimientos!$D$5:$D$2001,MATCH(A64&amp;"ENTRADA",Movimientos!$R$5:$R$2001,0)),"-")</f>
        <v>-</v>
      </c>
      <c r="D64" s="3" t="str">
        <f>IFERROR(INDEX(Movimientos!$E$5:$E$2001,MATCH(A64&amp;"ENTRADA",Movimientos!$R$5:$R$2001,0)),"-")</f>
        <v>-</v>
      </c>
      <c r="E64" s="3" t="str">
        <f>IFERROR(INDEX(Movimientos!$F$5:$F$2001,MATCH(A64&amp;"ENTRADA",Movimientos!$R$5:$R$2001,0)),"-")</f>
        <v>-</v>
      </c>
      <c r="F64" s="3" t="str">
        <f>IFERROR(INDEX(Movimientos!$G$5:$G$2001,MATCH(A64&amp;"ENTRADA",Movimientos!$R$5:$R$2001,0)),"-")</f>
        <v>-</v>
      </c>
      <c r="G64" s="3" t="str">
        <f>IFERROR(INDEX(Movimientos!$L$5:$L$2001,MATCH(A64&amp;"ENTRADA",Movimientos!$R$5:$R$2001,0)),"-")</f>
        <v>-</v>
      </c>
      <c r="H64" s="19" t="str">
        <f>IFERROR(IF(INDEX(Movimientos!$M$5:$M$2001,MATCH(A64&amp;"ENTRADA",Movimientos!$R$5:$R$2001,0))=0,"S/D",INDEX(Movimientos!$M$5:$M$2001,MATCH(A64&amp;"ENTRADA",Movimientos!$R$5:$R$2001,0))),"S/D")</f>
        <v>S/D</v>
      </c>
      <c r="I64" s="16" t="str">
        <f t="shared" ca="1" si="2"/>
        <v>S/D</v>
      </c>
      <c r="J64" s="6">
        <f>IF(A64="","",SUMIFS(Movimientos!$K:$K,Movimientos!$H:$H,A64))</f>
        <v>0</v>
      </c>
      <c r="K64" s="14" t="str">
        <f t="shared" ca="1" si="3"/>
        <v>OK</v>
      </c>
    </row>
    <row r="65" spans="1:11">
      <c r="A65" s="18" t="s">
        <v>2138</v>
      </c>
      <c r="B65" s="3" t="str">
        <f>IFERROR(INDEX(Movimientos!$C$5:$C$2001,MATCH(A65&amp;"ENTRADA",Movimientos!$R$5:$R$2001,0)),"-")</f>
        <v>-</v>
      </c>
      <c r="C65" s="3" t="str">
        <f>IFERROR(INDEX(Movimientos!$D$5:$D$2001,MATCH(A65&amp;"ENTRADA",Movimientos!$R$5:$R$2001,0)),"-")</f>
        <v>-</v>
      </c>
      <c r="D65" s="3" t="str">
        <f>IFERROR(INDEX(Movimientos!$E$5:$E$2001,MATCH(A65&amp;"ENTRADA",Movimientos!$R$5:$R$2001,0)),"-")</f>
        <v>-</v>
      </c>
      <c r="E65" s="3" t="str">
        <f>IFERROR(INDEX(Movimientos!$F$5:$F$2001,MATCH(A65&amp;"ENTRADA",Movimientos!$R$5:$R$2001,0)),"-")</f>
        <v>-</v>
      </c>
      <c r="F65" s="3" t="str">
        <f>IFERROR(INDEX(Movimientos!$G$5:$G$2001,MATCH(A65&amp;"ENTRADA",Movimientos!$R$5:$R$2001,0)),"-")</f>
        <v>-</v>
      </c>
      <c r="G65" s="3" t="str">
        <f>IFERROR(INDEX(Movimientos!$L$5:$L$2001,MATCH(A65&amp;"ENTRADA",Movimientos!$R$5:$R$2001,0)),"-")</f>
        <v>-</v>
      </c>
      <c r="H65" s="19" t="str">
        <f>IFERROR(IF(INDEX(Movimientos!$M$5:$M$2001,MATCH(A65&amp;"ENTRADA",Movimientos!$R$5:$R$2001,0))=0,"S/D",INDEX(Movimientos!$M$5:$M$2001,MATCH(A65&amp;"ENTRADA",Movimientos!$R$5:$R$2001,0))),"S/D")</f>
        <v>S/D</v>
      </c>
      <c r="I65" s="16" t="str">
        <f t="shared" ca="1" si="2"/>
        <v>S/D</v>
      </c>
      <c r="J65" s="6">
        <f>IF(A65="","",SUMIFS(Movimientos!$K:$K,Movimientos!$H:$H,A65))</f>
        <v>0</v>
      </c>
      <c r="K65" s="14" t="str">
        <f t="shared" ca="1" si="3"/>
        <v>OK</v>
      </c>
    </row>
    <row r="66" spans="1:11">
      <c r="A66" s="18" t="s">
        <v>2139</v>
      </c>
      <c r="B66" s="3" t="str">
        <f>IFERROR(INDEX(Movimientos!$C$5:$C$2001,MATCH(A66&amp;"ENTRADA",Movimientos!$R$5:$R$2001,0)),"-")</f>
        <v>-</v>
      </c>
      <c r="C66" s="3" t="str">
        <f>IFERROR(INDEX(Movimientos!$D$5:$D$2001,MATCH(A66&amp;"ENTRADA",Movimientos!$R$5:$R$2001,0)),"-")</f>
        <v>-</v>
      </c>
      <c r="D66" s="3" t="str">
        <f>IFERROR(INDEX(Movimientos!$E$5:$E$2001,MATCH(A66&amp;"ENTRADA",Movimientos!$R$5:$R$2001,0)),"-")</f>
        <v>-</v>
      </c>
      <c r="E66" s="3" t="str">
        <f>IFERROR(INDEX(Movimientos!$F$5:$F$2001,MATCH(A66&amp;"ENTRADA",Movimientos!$R$5:$R$2001,0)),"-")</f>
        <v>-</v>
      </c>
      <c r="F66" s="3" t="str">
        <f>IFERROR(INDEX(Movimientos!$G$5:$G$2001,MATCH(A66&amp;"ENTRADA",Movimientos!$R$5:$R$2001,0)),"-")</f>
        <v>-</v>
      </c>
      <c r="G66" s="3" t="str">
        <f>IFERROR(INDEX(Movimientos!$L$5:$L$2001,MATCH(A66&amp;"ENTRADA",Movimientos!$R$5:$R$2001,0)),"-")</f>
        <v>-</v>
      </c>
      <c r="H66" s="19" t="str">
        <f>IFERROR(IF(INDEX(Movimientos!$M$5:$M$2001,MATCH(A66&amp;"ENTRADA",Movimientos!$R$5:$R$2001,0))=0,"S/D",INDEX(Movimientos!$M$5:$M$2001,MATCH(A66&amp;"ENTRADA",Movimientos!$R$5:$R$2001,0))),"S/D")</f>
        <v>S/D</v>
      </c>
      <c r="I66" s="16" t="str">
        <f t="shared" ca="1" si="2"/>
        <v>S/D</v>
      </c>
      <c r="J66" s="6">
        <f>IF(A66="","",SUMIFS(Movimientos!$K:$K,Movimientos!$H:$H,A66))</f>
        <v>0</v>
      </c>
      <c r="K66" s="14" t="str">
        <f t="shared" ca="1" si="3"/>
        <v>OK</v>
      </c>
    </row>
    <row r="67" spans="1:11">
      <c r="A67" s="18" t="s">
        <v>2140</v>
      </c>
      <c r="B67" s="3" t="str">
        <f>IFERROR(INDEX(Movimientos!$C$5:$C$2001,MATCH(A67&amp;"ENTRADA",Movimientos!$R$5:$R$2001,0)),"-")</f>
        <v>-</v>
      </c>
      <c r="C67" s="3" t="str">
        <f>IFERROR(INDEX(Movimientos!$D$5:$D$2001,MATCH(A67&amp;"ENTRADA",Movimientos!$R$5:$R$2001,0)),"-")</f>
        <v>-</v>
      </c>
      <c r="D67" s="3" t="str">
        <f>IFERROR(INDEX(Movimientos!$E$5:$E$2001,MATCH(A67&amp;"ENTRADA",Movimientos!$R$5:$R$2001,0)),"-")</f>
        <v>-</v>
      </c>
      <c r="E67" s="3" t="str">
        <f>IFERROR(INDEX(Movimientos!$F$5:$F$2001,MATCH(A67&amp;"ENTRADA",Movimientos!$R$5:$R$2001,0)),"-")</f>
        <v>-</v>
      </c>
      <c r="F67" s="3" t="str">
        <f>IFERROR(INDEX(Movimientos!$G$5:$G$2001,MATCH(A67&amp;"ENTRADA",Movimientos!$R$5:$R$2001,0)),"-")</f>
        <v>-</v>
      </c>
      <c r="G67" s="3" t="str">
        <f>IFERROR(INDEX(Movimientos!$L$5:$L$2001,MATCH(A67&amp;"ENTRADA",Movimientos!$R$5:$R$2001,0)),"-")</f>
        <v>-</v>
      </c>
      <c r="H67" s="19" t="str">
        <f>IFERROR(IF(INDEX(Movimientos!$M$5:$M$2001,MATCH(A67&amp;"ENTRADA",Movimientos!$R$5:$R$2001,0))=0,"S/D",INDEX(Movimientos!$M$5:$M$2001,MATCH(A67&amp;"ENTRADA",Movimientos!$R$5:$R$2001,0))),"S/D")</f>
        <v>S/D</v>
      </c>
      <c r="I67" s="16" t="str">
        <f t="shared" ca="1" si="2"/>
        <v>S/D</v>
      </c>
      <c r="J67" s="6">
        <f>IF(A67="","",SUMIFS(Movimientos!$K:$K,Movimientos!$H:$H,A67))</f>
        <v>0</v>
      </c>
      <c r="K67" s="14" t="str">
        <f t="shared" ca="1" si="3"/>
        <v>OK</v>
      </c>
    </row>
    <row r="68" spans="1:11">
      <c r="A68" s="18" t="s">
        <v>2141</v>
      </c>
      <c r="B68" s="3" t="str">
        <f>IFERROR(INDEX(Movimientos!$C$5:$C$2001,MATCH(A68&amp;"ENTRADA",Movimientos!$R$5:$R$2001,0)),"-")</f>
        <v>-</v>
      </c>
      <c r="C68" s="3" t="str">
        <f>IFERROR(INDEX(Movimientos!$D$5:$D$2001,MATCH(A68&amp;"ENTRADA",Movimientos!$R$5:$R$2001,0)),"-")</f>
        <v>-</v>
      </c>
      <c r="D68" s="3" t="str">
        <f>IFERROR(INDEX(Movimientos!$E$5:$E$2001,MATCH(A68&amp;"ENTRADA",Movimientos!$R$5:$R$2001,0)),"-")</f>
        <v>-</v>
      </c>
      <c r="E68" s="3" t="str">
        <f>IFERROR(INDEX(Movimientos!$F$5:$F$2001,MATCH(A68&amp;"ENTRADA",Movimientos!$R$5:$R$2001,0)),"-")</f>
        <v>-</v>
      </c>
      <c r="F68" s="3" t="str">
        <f>IFERROR(INDEX(Movimientos!$G$5:$G$2001,MATCH(A68&amp;"ENTRADA",Movimientos!$R$5:$R$2001,0)),"-")</f>
        <v>-</v>
      </c>
      <c r="G68" s="3" t="str">
        <f>IFERROR(INDEX(Movimientos!$L$5:$L$2001,MATCH(A68&amp;"ENTRADA",Movimientos!$R$5:$R$2001,0)),"-")</f>
        <v>-</v>
      </c>
      <c r="H68" s="19" t="str">
        <f>IFERROR(IF(INDEX(Movimientos!$M$5:$M$2001,MATCH(A68&amp;"ENTRADA",Movimientos!$R$5:$R$2001,0))=0,"S/D",INDEX(Movimientos!$M$5:$M$2001,MATCH(A68&amp;"ENTRADA",Movimientos!$R$5:$R$2001,0))),"S/D")</f>
        <v>S/D</v>
      </c>
      <c r="I68" s="16" t="str">
        <f t="shared" ca="1" si="2"/>
        <v>S/D</v>
      </c>
      <c r="J68" s="6">
        <f>IF(A68="","",SUMIFS(Movimientos!$K:$K,Movimientos!$H:$H,A68))</f>
        <v>0</v>
      </c>
      <c r="K68" s="14" t="str">
        <f t="shared" ca="1" si="3"/>
        <v>OK</v>
      </c>
    </row>
    <row r="69" spans="1:11">
      <c r="A69" s="18" t="s">
        <v>2142</v>
      </c>
      <c r="B69" s="3" t="str">
        <f>IFERROR(INDEX(Movimientos!$C$5:$C$2001,MATCH(A69&amp;"ENTRADA",Movimientos!$R$5:$R$2001,0)),"-")</f>
        <v>-</v>
      </c>
      <c r="C69" s="3" t="str">
        <f>IFERROR(INDEX(Movimientos!$D$5:$D$2001,MATCH(A69&amp;"ENTRADA",Movimientos!$R$5:$R$2001,0)),"-")</f>
        <v>-</v>
      </c>
      <c r="D69" s="3" t="str">
        <f>IFERROR(INDEX(Movimientos!$E$5:$E$2001,MATCH(A69&amp;"ENTRADA",Movimientos!$R$5:$R$2001,0)),"-")</f>
        <v>-</v>
      </c>
      <c r="E69" s="3" t="str">
        <f>IFERROR(INDEX(Movimientos!$F$5:$F$2001,MATCH(A69&amp;"ENTRADA",Movimientos!$R$5:$R$2001,0)),"-")</f>
        <v>-</v>
      </c>
      <c r="F69" s="3" t="str">
        <f>IFERROR(INDEX(Movimientos!$G$5:$G$2001,MATCH(A69&amp;"ENTRADA",Movimientos!$R$5:$R$2001,0)),"-")</f>
        <v>-</v>
      </c>
      <c r="G69" s="3" t="str">
        <f>IFERROR(INDEX(Movimientos!$L$5:$L$2001,MATCH(A69&amp;"ENTRADA",Movimientos!$R$5:$R$2001,0)),"-")</f>
        <v>-</v>
      </c>
      <c r="H69" s="19" t="str">
        <f>IFERROR(IF(INDEX(Movimientos!$M$5:$M$2001,MATCH(A69&amp;"ENTRADA",Movimientos!$R$5:$R$2001,0))=0,"S/D",INDEX(Movimientos!$M$5:$M$2001,MATCH(A69&amp;"ENTRADA",Movimientos!$R$5:$R$2001,0))),"S/D")</f>
        <v>S/D</v>
      </c>
      <c r="I69" s="16" t="str">
        <f t="shared" ca="1" si="2"/>
        <v>S/D</v>
      </c>
      <c r="J69" s="6">
        <f>IF(A69="","",SUMIFS(Movimientos!$K:$K,Movimientos!$H:$H,A69))</f>
        <v>0</v>
      </c>
      <c r="K69" s="14" t="str">
        <f t="shared" ca="1" si="3"/>
        <v>OK</v>
      </c>
    </row>
    <row r="70" spans="1:11">
      <c r="A70" s="18" t="s">
        <v>2143</v>
      </c>
      <c r="B70" s="3" t="str">
        <f>IFERROR(INDEX(Movimientos!$C$5:$C$2001,MATCH(A70&amp;"ENTRADA",Movimientos!$R$5:$R$2001,0)),"-")</f>
        <v>-</v>
      </c>
      <c r="C70" s="3" t="str">
        <f>IFERROR(INDEX(Movimientos!$D$5:$D$2001,MATCH(A70&amp;"ENTRADA",Movimientos!$R$5:$R$2001,0)),"-")</f>
        <v>-</v>
      </c>
      <c r="D70" s="3" t="str">
        <f>IFERROR(INDEX(Movimientos!$E$5:$E$2001,MATCH(A70&amp;"ENTRADA",Movimientos!$R$5:$R$2001,0)),"-")</f>
        <v>-</v>
      </c>
      <c r="E70" s="3" t="str">
        <f>IFERROR(INDEX(Movimientos!$F$5:$F$2001,MATCH(A70&amp;"ENTRADA",Movimientos!$R$5:$R$2001,0)),"-")</f>
        <v>-</v>
      </c>
      <c r="F70" s="3" t="str">
        <f>IFERROR(INDEX(Movimientos!$G$5:$G$2001,MATCH(A70&amp;"ENTRADA",Movimientos!$R$5:$R$2001,0)),"-")</f>
        <v>-</v>
      </c>
      <c r="G70" s="3" t="str">
        <f>IFERROR(INDEX(Movimientos!$L$5:$L$2001,MATCH(A70&amp;"ENTRADA",Movimientos!$R$5:$R$2001,0)),"-")</f>
        <v>-</v>
      </c>
      <c r="H70" s="19" t="str">
        <f>IFERROR(IF(INDEX(Movimientos!$M$5:$M$2001,MATCH(A70&amp;"ENTRADA",Movimientos!$R$5:$R$2001,0))=0,"S/D",INDEX(Movimientos!$M$5:$M$2001,MATCH(A70&amp;"ENTRADA",Movimientos!$R$5:$R$2001,0))),"S/D")</f>
        <v>S/D</v>
      </c>
      <c r="I70" s="16" t="str">
        <f t="shared" ca="1" si="2"/>
        <v>S/D</v>
      </c>
      <c r="J70" s="6">
        <f>IF(A70="","",SUMIFS(Movimientos!$K:$K,Movimientos!$H:$H,A70))</f>
        <v>0</v>
      </c>
      <c r="K70" s="14" t="str">
        <f t="shared" ca="1" si="3"/>
        <v>OK</v>
      </c>
    </row>
    <row r="71" spans="1:11">
      <c r="A71" s="18" t="s">
        <v>2144</v>
      </c>
      <c r="B71" s="3" t="str">
        <f>IFERROR(INDEX(Movimientos!$C$5:$C$2001,MATCH(A71&amp;"ENTRADA",Movimientos!$R$5:$R$2001,0)),"-")</f>
        <v>-</v>
      </c>
      <c r="C71" s="3" t="str">
        <f>IFERROR(INDEX(Movimientos!$D$5:$D$2001,MATCH(A71&amp;"ENTRADA",Movimientos!$R$5:$R$2001,0)),"-")</f>
        <v>-</v>
      </c>
      <c r="D71" s="3" t="str">
        <f>IFERROR(INDEX(Movimientos!$E$5:$E$2001,MATCH(A71&amp;"ENTRADA",Movimientos!$R$5:$R$2001,0)),"-")</f>
        <v>-</v>
      </c>
      <c r="E71" s="3" t="str">
        <f>IFERROR(INDEX(Movimientos!$F$5:$F$2001,MATCH(A71&amp;"ENTRADA",Movimientos!$R$5:$R$2001,0)),"-")</f>
        <v>-</v>
      </c>
      <c r="F71" s="3" t="str">
        <f>IFERROR(INDEX(Movimientos!$G$5:$G$2001,MATCH(A71&amp;"ENTRADA",Movimientos!$R$5:$R$2001,0)),"-")</f>
        <v>-</v>
      </c>
      <c r="G71" s="3" t="str">
        <f>IFERROR(INDEX(Movimientos!$L$5:$L$2001,MATCH(A71&amp;"ENTRADA",Movimientos!$R$5:$R$2001,0)),"-")</f>
        <v>-</v>
      </c>
      <c r="H71" s="19" t="str">
        <f>IFERROR(IF(INDEX(Movimientos!$M$5:$M$2001,MATCH(A71&amp;"ENTRADA",Movimientos!$R$5:$R$2001,0))=0,"S/D",INDEX(Movimientos!$M$5:$M$2001,MATCH(A71&amp;"ENTRADA",Movimientos!$R$5:$R$2001,0))),"S/D")</f>
        <v>S/D</v>
      </c>
      <c r="I71" s="16" t="str">
        <f t="shared" ca="1" si="2"/>
        <v>S/D</v>
      </c>
      <c r="J71" s="6">
        <f>IF(A71="","",SUMIFS(Movimientos!$K:$K,Movimientos!$H:$H,A71))</f>
        <v>0</v>
      </c>
      <c r="K71" s="14" t="str">
        <f t="shared" ca="1" si="3"/>
        <v>OK</v>
      </c>
    </row>
    <row r="72" spans="1:11">
      <c r="A72" s="18" t="s">
        <v>2145</v>
      </c>
      <c r="B72" s="3" t="str">
        <f>IFERROR(INDEX(Movimientos!$C$5:$C$2001,MATCH(A72&amp;"ENTRADA",Movimientos!$R$5:$R$2001,0)),"-")</f>
        <v>-</v>
      </c>
      <c r="C72" s="3" t="str">
        <f>IFERROR(INDEX(Movimientos!$D$5:$D$2001,MATCH(A72&amp;"ENTRADA",Movimientos!$R$5:$R$2001,0)),"-")</f>
        <v>-</v>
      </c>
      <c r="D72" s="3" t="str">
        <f>IFERROR(INDEX(Movimientos!$E$5:$E$2001,MATCH(A72&amp;"ENTRADA",Movimientos!$R$5:$R$2001,0)),"-")</f>
        <v>-</v>
      </c>
      <c r="E72" s="3" t="str">
        <f>IFERROR(INDEX(Movimientos!$F$5:$F$2001,MATCH(A72&amp;"ENTRADA",Movimientos!$R$5:$R$2001,0)),"-")</f>
        <v>-</v>
      </c>
      <c r="F72" s="3" t="str">
        <f>IFERROR(INDEX(Movimientos!$G$5:$G$2001,MATCH(A72&amp;"ENTRADA",Movimientos!$R$5:$R$2001,0)),"-")</f>
        <v>-</v>
      </c>
      <c r="G72" s="3" t="str">
        <f>IFERROR(INDEX(Movimientos!$L$5:$L$2001,MATCH(A72&amp;"ENTRADA",Movimientos!$R$5:$R$2001,0)),"-")</f>
        <v>-</v>
      </c>
      <c r="H72" s="19" t="str">
        <f>IFERROR(IF(INDEX(Movimientos!$M$5:$M$2001,MATCH(A72&amp;"ENTRADA",Movimientos!$R$5:$R$2001,0))=0,"S/D",INDEX(Movimientos!$M$5:$M$2001,MATCH(A72&amp;"ENTRADA",Movimientos!$R$5:$R$2001,0))),"S/D")</f>
        <v>S/D</v>
      </c>
      <c r="I72" s="16" t="str">
        <f t="shared" ca="1" si="2"/>
        <v>S/D</v>
      </c>
      <c r="J72" s="6">
        <f>IF(A72="","",SUMIFS(Movimientos!$K:$K,Movimientos!$H:$H,A72))</f>
        <v>0</v>
      </c>
      <c r="K72" s="14" t="str">
        <f t="shared" ca="1" si="3"/>
        <v>OK</v>
      </c>
    </row>
    <row r="73" spans="1:11">
      <c r="A73" s="18" t="s">
        <v>2146</v>
      </c>
      <c r="B73" s="3" t="str">
        <f>IFERROR(INDEX(Movimientos!$C$5:$C$2001,MATCH(A73&amp;"ENTRADA",Movimientos!$R$5:$R$2001,0)),"-")</f>
        <v>-</v>
      </c>
      <c r="C73" s="3" t="str">
        <f>IFERROR(INDEX(Movimientos!$D$5:$D$2001,MATCH(A73&amp;"ENTRADA",Movimientos!$R$5:$R$2001,0)),"-")</f>
        <v>-</v>
      </c>
      <c r="D73" s="3" t="str">
        <f>IFERROR(INDEX(Movimientos!$E$5:$E$2001,MATCH(A73&amp;"ENTRADA",Movimientos!$R$5:$R$2001,0)),"-")</f>
        <v>-</v>
      </c>
      <c r="E73" s="3" t="str">
        <f>IFERROR(INDEX(Movimientos!$F$5:$F$2001,MATCH(A73&amp;"ENTRADA",Movimientos!$R$5:$R$2001,0)),"-")</f>
        <v>-</v>
      </c>
      <c r="F73" s="3" t="str">
        <f>IFERROR(INDEX(Movimientos!$G$5:$G$2001,MATCH(A73&amp;"ENTRADA",Movimientos!$R$5:$R$2001,0)),"-")</f>
        <v>-</v>
      </c>
      <c r="G73" s="3" t="str">
        <f>IFERROR(INDEX(Movimientos!$L$5:$L$2001,MATCH(A73&amp;"ENTRADA",Movimientos!$R$5:$R$2001,0)),"-")</f>
        <v>-</v>
      </c>
      <c r="H73" s="19" t="str">
        <f>IFERROR(IF(INDEX(Movimientos!$M$5:$M$2001,MATCH(A73&amp;"ENTRADA",Movimientos!$R$5:$R$2001,0))=0,"S/D",INDEX(Movimientos!$M$5:$M$2001,MATCH(A73&amp;"ENTRADA",Movimientos!$R$5:$R$2001,0))),"S/D")</f>
        <v>S/D</v>
      </c>
      <c r="I73" s="16" t="str">
        <f t="shared" ca="1" si="2"/>
        <v>S/D</v>
      </c>
      <c r="J73" s="6">
        <f>IF(A73="","",SUMIFS(Movimientos!$K:$K,Movimientos!$H:$H,A73))</f>
        <v>0</v>
      </c>
      <c r="K73" s="14" t="str">
        <f t="shared" ca="1" si="3"/>
        <v>OK</v>
      </c>
    </row>
    <row r="74" spans="1:11">
      <c r="A74" s="18" t="s">
        <v>2147</v>
      </c>
      <c r="B74" s="3" t="str">
        <f>IFERROR(INDEX(Movimientos!$C$5:$C$2001,MATCH(A74&amp;"ENTRADA",Movimientos!$R$5:$R$2001,0)),"-")</f>
        <v>-</v>
      </c>
      <c r="C74" s="3" t="str">
        <f>IFERROR(INDEX(Movimientos!$D$5:$D$2001,MATCH(A74&amp;"ENTRADA",Movimientos!$R$5:$R$2001,0)),"-")</f>
        <v>-</v>
      </c>
      <c r="D74" s="3" t="str">
        <f>IFERROR(INDEX(Movimientos!$E$5:$E$2001,MATCH(A74&amp;"ENTRADA",Movimientos!$R$5:$R$2001,0)),"-")</f>
        <v>-</v>
      </c>
      <c r="E74" s="3" t="str">
        <f>IFERROR(INDEX(Movimientos!$F$5:$F$2001,MATCH(A74&amp;"ENTRADA",Movimientos!$R$5:$R$2001,0)),"-")</f>
        <v>-</v>
      </c>
      <c r="F74" s="3" t="str">
        <f>IFERROR(INDEX(Movimientos!$G$5:$G$2001,MATCH(A74&amp;"ENTRADA",Movimientos!$R$5:$R$2001,0)),"-")</f>
        <v>-</v>
      </c>
      <c r="G74" s="3" t="str">
        <f>IFERROR(INDEX(Movimientos!$L$5:$L$2001,MATCH(A74&amp;"ENTRADA",Movimientos!$R$5:$R$2001,0)),"-")</f>
        <v>-</v>
      </c>
      <c r="H74" s="19" t="str">
        <f>IFERROR(IF(INDEX(Movimientos!$M$5:$M$2001,MATCH(A74&amp;"ENTRADA",Movimientos!$R$5:$R$2001,0))=0,"S/D",INDEX(Movimientos!$M$5:$M$2001,MATCH(A74&amp;"ENTRADA",Movimientos!$R$5:$R$2001,0))),"S/D")</f>
        <v>S/D</v>
      </c>
      <c r="I74" s="16" t="str">
        <f t="shared" ca="1" si="2"/>
        <v>S/D</v>
      </c>
      <c r="J74" s="6">
        <f>IF(A74="","",SUMIFS(Movimientos!$K:$K,Movimientos!$H:$H,A74))</f>
        <v>0</v>
      </c>
      <c r="K74" s="14" t="str">
        <f t="shared" ca="1" si="3"/>
        <v>OK</v>
      </c>
    </row>
    <row r="75" spans="1:11">
      <c r="A75" s="18" t="s">
        <v>2148</v>
      </c>
      <c r="B75" s="3" t="str">
        <f>IFERROR(INDEX(Movimientos!$C$5:$C$2001,MATCH(A75&amp;"ENTRADA",Movimientos!$R$5:$R$2001,0)),"-")</f>
        <v>-</v>
      </c>
      <c r="C75" s="3" t="str">
        <f>IFERROR(INDEX(Movimientos!$D$5:$D$2001,MATCH(A75&amp;"ENTRADA",Movimientos!$R$5:$R$2001,0)),"-")</f>
        <v>-</v>
      </c>
      <c r="D75" s="3" t="str">
        <f>IFERROR(INDEX(Movimientos!$E$5:$E$2001,MATCH(A75&amp;"ENTRADA",Movimientos!$R$5:$R$2001,0)),"-")</f>
        <v>-</v>
      </c>
      <c r="E75" s="3" t="str">
        <f>IFERROR(INDEX(Movimientos!$F$5:$F$2001,MATCH(A75&amp;"ENTRADA",Movimientos!$R$5:$R$2001,0)),"-")</f>
        <v>-</v>
      </c>
      <c r="F75" s="3" t="str">
        <f>IFERROR(INDEX(Movimientos!$G$5:$G$2001,MATCH(A75&amp;"ENTRADA",Movimientos!$R$5:$R$2001,0)),"-")</f>
        <v>-</v>
      </c>
      <c r="G75" s="3" t="str">
        <f>IFERROR(INDEX(Movimientos!$L$5:$L$2001,MATCH(A75&amp;"ENTRADA",Movimientos!$R$5:$R$2001,0)),"-")</f>
        <v>-</v>
      </c>
      <c r="H75" s="19" t="str">
        <f>IFERROR(IF(INDEX(Movimientos!$M$5:$M$2001,MATCH(A75&amp;"ENTRADA",Movimientos!$R$5:$R$2001,0))=0,"S/D",INDEX(Movimientos!$M$5:$M$2001,MATCH(A75&amp;"ENTRADA",Movimientos!$R$5:$R$2001,0))),"S/D")</f>
        <v>S/D</v>
      </c>
      <c r="I75" s="16" t="str">
        <f t="shared" ref="I75:I138" ca="1" si="4">IF(OR(A75="",H75="S/D"),"S/D",H75-TODAY())</f>
        <v>S/D</v>
      </c>
      <c r="J75" s="6">
        <f>IF(A75="","",SUMIFS(Movimientos!$K:$K,Movimientos!$H:$H,A75))</f>
        <v>0</v>
      </c>
      <c r="K75" s="14" t="str">
        <f t="shared" ref="K75:K138" ca="1" si="5">IF(A75="","",IF(H75="S/D","OK",IF(H75&lt;TODAY(),"VENCIDO",IF(J75&lt;=0,"SIN STOCK",IF(I75&gt;=180,"OK","PRÓXIMO A VENCER")))))</f>
        <v>OK</v>
      </c>
    </row>
    <row r="76" spans="1:11">
      <c r="A76" s="18" t="s">
        <v>2149</v>
      </c>
      <c r="B76" s="3" t="str">
        <f>IFERROR(INDEX(Movimientos!$C$5:$C$2001,MATCH(A76&amp;"ENTRADA",Movimientos!$R$5:$R$2001,0)),"-")</f>
        <v>-</v>
      </c>
      <c r="C76" s="3" t="str">
        <f>IFERROR(INDEX(Movimientos!$D$5:$D$2001,MATCH(A76&amp;"ENTRADA",Movimientos!$R$5:$R$2001,0)),"-")</f>
        <v>-</v>
      </c>
      <c r="D76" s="3" t="str">
        <f>IFERROR(INDEX(Movimientos!$E$5:$E$2001,MATCH(A76&amp;"ENTRADA",Movimientos!$R$5:$R$2001,0)),"-")</f>
        <v>-</v>
      </c>
      <c r="E76" s="3" t="str">
        <f>IFERROR(INDEX(Movimientos!$F$5:$F$2001,MATCH(A76&amp;"ENTRADA",Movimientos!$R$5:$R$2001,0)),"-")</f>
        <v>-</v>
      </c>
      <c r="F76" s="3" t="str">
        <f>IFERROR(INDEX(Movimientos!$G$5:$G$2001,MATCH(A76&amp;"ENTRADA",Movimientos!$R$5:$R$2001,0)),"-")</f>
        <v>-</v>
      </c>
      <c r="G76" s="3" t="str">
        <f>IFERROR(INDEX(Movimientos!$L$5:$L$2001,MATCH(A76&amp;"ENTRADA",Movimientos!$R$5:$R$2001,0)),"-")</f>
        <v>-</v>
      </c>
      <c r="H76" s="19" t="str">
        <f>IFERROR(IF(INDEX(Movimientos!$M$5:$M$2001,MATCH(A76&amp;"ENTRADA",Movimientos!$R$5:$R$2001,0))=0,"S/D",INDEX(Movimientos!$M$5:$M$2001,MATCH(A76&amp;"ENTRADA",Movimientos!$R$5:$R$2001,0))),"S/D")</f>
        <v>S/D</v>
      </c>
      <c r="I76" s="16" t="str">
        <f t="shared" ca="1" si="4"/>
        <v>S/D</v>
      </c>
      <c r="J76" s="6">
        <f>IF(A76="","",SUMIFS(Movimientos!$K:$K,Movimientos!$H:$H,A76))</f>
        <v>0</v>
      </c>
      <c r="K76" s="14" t="str">
        <f t="shared" ca="1" si="5"/>
        <v>OK</v>
      </c>
    </row>
    <row r="77" spans="1:11">
      <c r="A77" s="18" t="s">
        <v>2150</v>
      </c>
      <c r="B77" s="3" t="str">
        <f>IFERROR(INDEX(Movimientos!$C$5:$C$2001,MATCH(A77&amp;"ENTRADA",Movimientos!$R$5:$R$2001,0)),"-")</f>
        <v>-</v>
      </c>
      <c r="C77" s="3" t="str">
        <f>IFERROR(INDEX(Movimientos!$D$5:$D$2001,MATCH(A77&amp;"ENTRADA",Movimientos!$R$5:$R$2001,0)),"-")</f>
        <v>-</v>
      </c>
      <c r="D77" s="3" t="str">
        <f>IFERROR(INDEX(Movimientos!$E$5:$E$2001,MATCH(A77&amp;"ENTRADA",Movimientos!$R$5:$R$2001,0)),"-")</f>
        <v>-</v>
      </c>
      <c r="E77" s="3" t="str">
        <f>IFERROR(INDEX(Movimientos!$F$5:$F$2001,MATCH(A77&amp;"ENTRADA",Movimientos!$R$5:$R$2001,0)),"-")</f>
        <v>-</v>
      </c>
      <c r="F77" s="3" t="str">
        <f>IFERROR(INDEX(Movimientos!$G$5:$G$2001,MATCH(A77&amp;"ENTRADA",Movimientos!$R$5:$R$2001,0)),"-")</f>
        <v>-</v>
      </c>
      <c r="G77" s="3" t="str">
        <f>IFERROR(INDEX(Movimientos!$L$5:$L$2001,MATCH(A77&amp;"ENTRADA",Movimientos!$R$5:$R$2001,0)),"-")</f>
        <v>-</v>
      </c>
      <c r="H77" s="19" t="str">
        <f>IFERROR(IF(INDEX(Movimientos!$M$5:$M$2001,MATCH(A77&amp;"ENTRADA",Movimientos!$R$5:$R$2001,0))=0,"S/D",INDEX(Movimientos!$M$5:$M$2001,MATCH(A77&amp;"ENTRADA",Movimientos!$R$5:$R$2001,0))),"S/D")</f>
        <v>S/D</v>
      </c>
      <c r="I77" s="16" t="str">
        <f t="shared" ca="1" si="4"/>
        <v>S/D</v>
      </c>
      <c r="J77" s="6">
        <f>IF(A77="","",SUMIFS(Movimientos!$K:$K,Movimientos!$H:$H,A77))</f>
        <v>0</v>
      </c>
      <c r="K77" s="14" t="str">
        <f t="shared" ca="1" si="5"/>
        <v>OK</v>
      </c>
    </row>
    <row r="78" spans="1:11">
      <c r="A78" s="18" t="s">
        <v>2151</v>
      </c>
      <c r="B78" s="3" t="str">
        <f>IFERROR(INDEX(Movimientos!$C$5:$C$2001,MATCH(A78&amp;"ENTRADA",Movimientos!$R$5:$R$2001,0)),"-")</f>
        <v>-</v>
      </c>
      <c r="C78" s="3" t="str">
        <f>IFERROR(INDEX(Movimientos!$D$5:$D$2001,MATCH(A78&amp;"ENTRADA",Movimientos!$R$5:$R$2001,0)),"-")</f>
        <v>-</v>
      </c>
      <c r="D78" s="3" t="str">
        <f>IFERROR(INDEX(Movimientos!$E$5:$E$2001,MATCH(A78&amp;"ENTRADA",Movimientos!$R$5:$R$2001,0)),"-")</f>
        <v>-</v>
      </c>
      <c r="E78" s="3" t="str">
        <f>IFERROR(INDEX(Movimientos!$F$5:$F$2001,MATCH(A78&amp;"ENTRADA",Movimientos!$R$5:$R$2001,0)),"-")</f>
        <v>-</v>
      </c>
      <c r="F78" s="3" t="str">
        <f>IFERROR(INDEX(Movimientos!$G$5:$G$2001,MATCH(A78&amp;"ENTRADA",Movimientos!$R$5:$R$2001,0)),"-")</f>
        <v>-</v>
      </c>
      <c r="G78" s="3" t="str">
        <f>IFERROR(INDEX(Movimientos!$L$5:$L$2001,MATCH(A78&amp;"ENTRADA",Movimientos!$R$5:$R$2001,0)),"-")</f>
        <v>-</v>
      </c>
      <c r="H78" s="19" t="str">
        <f>IFERROR(IF(INDEX(Movimientos!$M$5:$M$2001,MATCH(A78&amp;"ENTRADA",Movimientos!$R$5:$R$2001,0))=0,"S/D",INDEX(Movimientos!$M$5:$M$2001,MATCH(A78&amp;"ENTRADA",Movimientos!$R$5:$R$2001,0))),"S/D")</f>
        <v>S/D</v>
      </c>
      <c r="I78" s="16" t="str">
        <f t="shared" ca="1" si="4"/>
        <v>S/D</v>
      </c>
      <c r="J78" s="6">
        <f>IF(A78="","",SUMIFS(Movimientos!$K:$K,Movimientos!$H:$H,A78))</f>
        <v>0</v>
      </c>
      <c r="K78" s="14" t="str">
        <f t="shared" ca="1" si="5"/>
        <v>OK</v>
      </c>
    </row>
    <row r="79" spans="1:11">
      <c r="A79" s="18" t="s">
        <v>2152</v>
      </c>
      <c r="B79" s="3" t="str">
        <f>IFERROR(INDEX(Movimientos!$C$5:$C$2001,MATCH(A79&amp;"ENTRADA",Movimientos!$R$5:$R$2001,0)),"-")</f>
        <v>-</v>
      </c>
      <c r="C79" s="3" t="str">
        <f>IFERROR(INDEX(Movimientos!$D$5:$D$2001,MATCH(A79&amp;"ENTRADA",Movimientos!$R$5:$R$2001,0)),"-")</f>
        <v>-</v>
      </c>
      <c r="D79" s="3" t="str">
        <f>IFERROR(INDEX(Movimientos!$E$5:$E$2001,MATCH(A79&amp;"ENTRADA",Movimientos!$R$5:$R$2001,0)),"-")</f>
        <v>-</v>
      </c>
      <c r="E79" s="3" t="str">
        <f>IFERROR(INDEX(Movimientos!$F$5:$F$2001,MATCH(A79&amp;"ENTRADA",Movimientos!$R$5:$R$2001,0)),"-")</f>
        <v>-</v>
      </c>
      <c r="F79" s="3" t="str">
        <f>IFERROR(INDEX(Movimientos!$G$5:$G$2001,MATCH(A79&amp;"ENTRADA",Movimientos!$R$5:$R$2001,0)),"-")</f>
        <v>-</v>
      </c>
      <c r="G79" s="3" t="str">
        <f>IFERROR(INDEX(Movimientos!$L$5:$L$2001,MATCH(A79&amp;"ENTRADA",Movimientos!$R$5:$R$2001,0)),"-")</f>
        <v>-</v>
      </c>
      <c r="H79" s="19" t="str">
        <f>IFERROR(IF(INDEX(Movimientos!$M$5:$M$2001,MATCH(A79&amp;"ENTRADA",Movimientos!$R$5:$R$2001,0))=0,"S/D",INDEX(Movimientos!$M$5:$M$2001,MATCH(A79&amp;"ENTRADA",Movimientos!$R$5:$R$2001,0))),"S/D")</f>
        <v>S/D</v>
      </c>
      <c r="I79" s="16" t="str">
        <f t="shared" ca="1" si="4"/>
        <v>S/D</v>
      </c>
      <c r="J79" s="6">
        <f>IF(A79="","",SUMIFS(Movimientos!$K:$K,Movimientos!$H:$H,A79))</f>
        <v>0</v>
      </c>
      <c r="K79" s="14" t="str">
        <f t="shared" ca="1" si="5"/>
        <v>OK</v>
      </c>
    </row>
    <row r="80" spans="1:11">
      <c r="A80" s="18" t="s">
        <v>2153</v>
      </c>
      <c r="B80" s="3" t="str">
        <f>IFERROR(INDEX(Movimientos!$C$5:$C$2001,MATCH(A80&amp;"ENTRADA",Movimientos!$R$5:$R$2001,0)),"-")</f>
        <v>-</v>
      </c>
      <c r="C80" s="3" t="str">
        <f>IFERROR(INDEX(Movimientos!$D$5:$D$2001,MATCH(A80&amp;"ENTRADA",Movimientos!$R$5:$R$2001,0)),"-")</f>
        <v>-</v>
      </c>
      <c r="D80" s="3" t="str">
        <f>IFERROR(INDEX(Movimientos!$E$5:$E$2001,MATCH(A80&amp;"ENTRADA",Movimientos!$R$5:$R$2001,0)),"-")</f>
        <v>-</v>
      </c>
      <c r="E80" s="3" t="str">
        <f>IFERROR(INDEX(Movimientos!$F$5:$F$2001,MATCH(A80&amp;"ENTRADA",Movimientos!$R$5:$R$2001,0)),"-")</f>
        <v>-</v>
      </c>
      <c r="F80" s="3" t="str">
        <f>IFERROR(INDEX(Movimientos!$G$5:$G$2001,MATCH(A80&amp;"ENTRADA",Movimientos!$R$5:$R$2001,0)),"-")</f>
        <v>-</v>
      </c>
      <c r="G80" s="3" t="str">
        <f>IFERROR(INDEX(Movimientos!$L$5:$L$2001,MATCH(A80&amp;"ENTRADA",Movimientos!$R$5:$R$2001,0)),"-")</f>
        <v>-</v>
      </c>
      <c r="H80" s="19" t="str">
        <f>IFERROR(IF(INDEX(Movimientos!$M$5:$M$2001,MATCH(A80&amp;"ENTRADA",Movimientos!$R$5:$R$2001,0))=0,"S/D",INDEX(Movimientos!$M$5:$M$2001,MATCH(A80&amp;"ENTRADA",Movimientos!$R$5:$R$2001,0))),"S/D")</f>
        <v>S/D</v>
      </c>
      <c r="I80" s="16" t="str">
        <f t="shared" ca="1" si="4"/>
        <v>S/D</v>
      </c>
      <c r="J80" s="6">
        <f>IF(A80="","",SUMIFS(Movimientos!$K:$K,Movimientos!$H:$H,A80))</f>
        <v>0</v>
      </c>
      <c r="K80" s="14" t="str">
        <f t="shared" ca="1" si="5"/>
        <v>OK</v>
      </c>
    </row>
    <row r="81" spans="1:11">
      <c r="A81" s="18" t="s">
        <v>2154</v>
      </c>
      <c r="B81" s="3" t="str">
        <f>IFERROR(INDEX(Movimientos!$C$5:$C$2001,MATCH(A81&amp;"ENTRADA",Movimientos!$R$5:$R$2001,0)),"-")</f>
        <v>-</v>
      </c>
      <c r="C81" s="3" t="str">
        <f>IFERROR(INDEX(Movimientos!$D$5:$D$2001,MATCH(A81&amp;"ENTRADA",Movimientos!$R$5:$R$2001,0)),"-")</f>
        <v>-</v>
      </c>
      <c r="D81" s="3" t="str">
        <f>IFERROR(INDEX(Movimientos!$E$5:$E$2001,MATCH(A81&amp;"ENTRADA",Movimientos!$R$5:$R$2001,0)),"-")</f>
        <v>-</v>
      </c>
      <c r="E81" s="3" t="str">
        <f>IFERROR(INDEX(Movimientos!$F$5:$F$2001,MATCH(A81&amp;"ENTRADA",Movimientos!$R$5:$R$2001,0)),"-")</f>
        <v>-</v>
      </c>
      <c r="F81" s="3" t="str">
        <f>IFERROR(INDEX(Movimientos!$G$5:$G$2001,MATCH(A81&amp;"ENTRADA",Movimientos!$R$5:$R$2001,0)),"-")</f>
        <v>-</v>
      </c>
      <c r="G81" s="3" t="str">
        <f>IFERROR(INDEX(Movimientos!$L$5:$L$2001,MATCH(A81&amp;"ENTRADA",Movimientos!$R$5:$R$2001,0)),"-")</f>
        <v>-</v>
      </c>
      <c r="H81" s="19" t="str">
        <f>IFERROR(IF(INDEX(Movimientos!$M$5:$M$2001,MATCH(A81&amp;"ENTRADA",Movimientos!$R$5:$R$2001,0))=0,"S/D",INDEX(Movimientos!$M$5:$M$2001,MATCH(A81&amp;"ENTRADA",Movimientos!$R$5:$R$2001,0))),"S/D")</f>
        <v>S/D</v>
      </c>
      <c r="I81" s="16" t="str">
        <f t="shared" ca="1" si="4"/>
        <v>S/D</v>
      </c>
      <c r="J81" s="6">
        <f>IF(A81="","",SUMIFS(Movimientos!$K:$K,Movimientos!$H:$H,A81))</f>
        <v>0</v>
      </c>
      <c r="K81" s="14" t="str">
        <f t="shared" ca="1" si="5"/>
        <v>OK</v>
      </c>
    </row>
    <row r="82" spans="1:11">
      <c r="A82" s="18" t="s">
        <v>2155</v>
      </c>
      <c r="B82" s="3" t="str">
        <f>IFERROR(INDEX(Movimientos!$C$5:$C$2001,MATCH(A82&amp;"ENTRADA",Movimientos!$R$5:$R$2001,0)),"-")</f>
        <v>-</v>
      </c>
      <c r="C82" s="3" t="str">
        <f>IFERROR(INDEX(Movimientos!$D$5:$D$2001,MATCH(A82&amp;"ENTRADA",Movimientos!$R$5:$R$2001,0)),"-")</f>
        <v>-</v>
      </c>
      <c r="D82" s="3" t="str">
        <f>IFERROR(INDEX(Movimientos!$E$5:$E$2001,MATCH(A82&amp;"ENTRADA",Movimientos!$R$5:$R$2001,0)),"-")</f>
        <v>-</v>
      </c>
      <c r="E82" s="3" t="str">
        <f>IFERROR(INDEX(Movimientos!$F$5:$F$2001,MATCH(A82&amp;"ENTRADA",Movimientos!$R$5:$R$2001,0)),"-")</f>
        <v>-</v>
      </c>
      <c r="F82" s="3" t="str">
        <f>IFERROR(INDEX(Movimientos!$G$5:$G$2001,MATCH(A82&amp;"ENTRADA",Movimientos!$R$5:$R$2001,0)),"-")</f>
        <v>-</v>
      </c>
      <c r="G82" s="3" t="str">
        <f>IFERROR(INDEX(Movimientos!$L$5:$L$2001,MATCH(A82&amp;"ENTRADA",Movimientos!$R$5:$R$2001,0)),"-")</f>
        <v>-</v>
      </c>
      <c r="H82" s="19" t="str">
        <f>IFERROR(IF(INDEX(Movimientos!$M$5:$M$2001,MATCH(A82&amp;"ENTRADA",Movimientos!$R$5:$R$2001,0))=0,"S/D",INDEX(Movimientos!$M$5:$M$2001,MATCH(A82&amp;"ENTRADA",Movimientos!$R$5:$R$2001,0))),"S/D")</f>
        <v>S/D</v>
      </c>
      <c r="I82" s="16" t="str">
        <f t="shared" ca="1" si="4"/>
        <v>S/D</v>
      </c>
      <c r="J82" s="6">
        <f>IF(A82="","",SUMIFS(Movimientos!$K:$K,Movimientos!$H:$H,A82))</f>
        <v>0</v>
      </c>
      <c r="K82" s="14" t="str">
        <f t="shared" ca="1" si="5"/>
        <v>OK</v>
      </c>
    </row>
    <row r="83" spans="1:11">
      <c r="A83" s="18" t="s">
        <v>2156</v>
      </c>
      <c r="B83" s="3" t="str">
        <f>IFERROR(INDEX(Movimientos!$C$5:$C$2001,MATCH(A83&amp;"ENTRADA",Movimientos!$R$5:$R$2001,0)),"-")</f>
        <v>-</v>
      </c>
      <c r="C83" s="3" t="str">
        <f>IFERROR(INDEX(Movimientos!$D$5:$D$2001,MATCH(A83&amp;"ENTRADA",Movimientos!$R$5:$R$2001,0)),"-")</f>
        <v>-</v>
      </c>
      <c r="D83" s="3" t="str">
        <f>IFERROR(INDEX(Movimientos!$E$5:$E$2001,MATCH(A83&amp;"ENTRADA",Movimientos!$R$5:$R$2001,0)),"-")</f>
        <v>-</v>
      </c>
      <c r="E83" s="3" t="str">
        <f>IFERROR(INDEX(Movimientos!$F$5:$F$2001,MATCH(A83&amp;"ENTRADA",Movimientos!$R$5:$R$2001,0)),"-")</f>
        <v>-</v>
      </c>
      <c r="F83" s="3" t="str">
        <f>IFERROR(INDEX(Movimientos!$G$5:$G$2001,MATCH(A83&amp;"ENTRADA",Movimientos!$R$5:$R$2001,0)),"-")</f>
        <v>-</v>
      </c>
      <c r="G83" s="3" t="str">
        <f>IFERROR(INDEX(Movimientos!$L$5:$L$2001,MATCH(A83&amp;"ENTRADA",Movimientos!$R$5:$R$2001,0)),"-")</f>
        <v>-</v>
      </c>
      <c r="H83" s="19" t="str">
        <f>IFERROR(IF(INDEX(Movimientos!$M$5:$M$2001,MATCH(A83&amp;"ENTRADA",Movimientos!$R$5:$R$2001,0))=0,"S/D",INDEX(Movimientos!$M$5:$M$2001,MATCH(A83&amp;"ENTRADA",Movimientos!$R$5:$R$2001,0))),"S/D")</f>
        <v>S/D</v>
      </c>
      <c r="I83" s="16" t="str">
        <f t="shared" ca="1" si="4"/>
        <v>S/D</v>
      </c>
      <c r="J83" s="6">
        <f>IF(A83="","",SUMIFS(Movimientos!$K:$K,Movimientos!$H:$H,A83))</f>
        <v>0</v>
      </c>
      <c r="K83" s="14" t="str">
        <f t="shared" ca="1" si="5"/>
        <v>OK</v>
      </c>
    </row>
    <row r="84" spans="1:11">
      <c r="A84" s="18" t="s">
        <v>2157</v>
      </c>
      <c r="B84" s="3" t="str">
        <f>IFERROR(INDEX(Movimientos!$C$5:$C$2001,MATCH(A84&amp;"ENTRADA",Movimientos!$R$5:$R$2001,0)),"-")</f>
        <v>-</v>
      </c>
      <c r="C84" s="3" t="str">
        <f>IFERROR(INDEX(Movimientos!$D$5:$D$2001,MATCH(A84&amp;"ENTRADA",Movimientos!$R$5:$R$2001,0)),"-")</f>
        <v>-</v>
      </c>
      <c r="D84" s="3" t="str">
        <f>IFERROR(INDEX(Movimientos!$E$5:$E$2001,MATCH(A84&amp;"ENTRADA",Movimientos!$R$5:$R$2001,0)),"-")</f>
        <v>-</v>
      </c>
      <c r="E84" s="3" t="str">
        <f>IFERROR(INDEX(Movimientos!$F$5:$F$2001,MATCH(A84&amp;"ENTRADA",Movimientos!$R$5:$R$2001,0)),"-")</f>
        <v>-</v>
      </c>
      <c r="F84" s="3" t="str">
        <f>IFERROR(INDEX(Movimientos!$G$5:$G$2001,MATCH(A84&amp;"ENTRADA",Movimientos!$R$5:$R$2001,0)),"-")</f>
        <v>-</v>
      </c>
      <c r="G84" s="3" t="str">
        <f>IFERROR(INDEX(Movimientos!$L$5:$L$2001,MATCH(A84&amp;"ENTRADA",Movimientos!$R$5:$R$2001,0)),"-")</f>
        <v>-</v>
      </c>
      <c r="H84" s="19" t="str">
        <f>IFERROR(IF(INDEX(Movimientos!$M$5:$M$2001,MATCH(A84&amp;"ENTRADA",Movimientos!$R$5:$R$2001,0))=0,"S/D",INDEX(Movimientos!$M$5:$M$2001,MATCH(A84&amp;"ENTRADA",Movimientos!$R$5:$R$2001,0))),"S/D")</f>
        <v>S/D</v>
      </c>
      <c r="I84" s="16" t="str">
        <f t="shared" ca="1" si="4"/>
        <v>S/D</v>
      </c>
      <c r="J84" s="6">
        <f>IF(A84="","",SUMIFS(Movimientos!$K:$K,Movimientos!$H:$H,A84))</f>
        <v>0</v>
      </c>
      <c r="K84" s="14" t="str">
        <f t="shared" ca="1" si="5"/>
        <v>OK</v>
      </c>
    </row>
    <row r="85" spans="1:11">
      <c r="A85" s="18" t="s">
        <v>2158</v>
      </c>
      <c r="B85" s="3" t="str">
        <f>IFERROR(INDEX(Movimientos!$C$5:$C$2001,MATCH(A85&amp;"ENTRADA",Movimientos!$R$5:$R$2001,0)),"-")</f>
        <v>-</v>
      </c>
      <c r="C85" s="3" t="str">
        <f>IFERROR(INDEX(Movimientos!$D$5:$D$2001,MATCH(A85&amp;"ENTRADA",Movimientos!$R$5:$R$2001,0)),"-")</f>
        <v>-</v>
      </c>
      <c r="D85" s="3" t="str">
        <f>IFERROR(INDEX(Movimientos!$E$5:$E$2001,MATCH(A85&amp;"ENTRADA",Movimientos!$R$5:$R$2001,0)),"-")</f>
        <v>-</v>
      </c>
      <c r="E85" s="3" t="str">
        <f>IFERROR(INDEX(Movimientos!$F$5:$F$2001,MATCH(A85&amp;"ENTRADA",Movimientos!$R$5:$R$2001,0)),"-")</f>
        <v>-</v>
      </c>
      <c r="F85" s="3" t="str">
        <f>IFERROR(INDEX(Movimientos!$G$5:$G$2001,MATCH(A85&amp;"ENTRADA",Movimientos!$R$5:$R$2001,0)),"-")</f>
        <v>-</v>
      </c>
      <c r="G85" s="3" t="str">
        <f>IFERROR(INDEX(Movimientos!$L$5:$L$2001,MATCH(A85&amp;"ENTRADA",Movimientos!$R$5:$R$2001,0)),"-")</f>
        <v>-</v>
      </c>
      <c r="H85" s="19" t="str">
        <f>IFERROR(IF(INDEX(Movimientos!$M$5:$M$2001,MATCH(A85&amp;"ENTRADA",Movimientos!$R$5:$R$2001,0))=0,"S/D",INDEX(Movimientos!$M$5:$M$2001,MATCH(A85&amp;"ENTRADA",Movimientos!$R$5:$R$2001,0))),"S/D")</f>
        <v>S/D</v>
      </c>
      <c r="I85" s="16" t="str">
        <f t="shared" ca="1" si="4"/>
        <v>S/D</v>
      </c>
      <c r="J85" s="6">
        <f>IF(A85="","",SUMIFS(Movimientos!$K:$K,Movimientos!$H:$H,A85))</f>
        <v>0</v>
      </c>
      <c r="K85" s="14" t="str">
        <f t="shared" ca="1" si="5"/>
        <v>OK</v>
      </c>
    </row>
    <row r="86" spans="1:11">
      <c r="A86" s="18" t="s">
        <v>2159</v>
      </c>
      <c r="B86" s="3" t="str">
        <f>IFERROR(INDEX(Movimientos!$C$5:$C$2001,MATCH(A86&amp;"ENTRADA",Movimientos!$R$5:$R$2001,0)),"-")</f>
        <v>-</v>
      </c>
      <c r="C86" s="3" t="str">
        <f>IFERROR(INDEX(Movimientos!$D$5:$D$2001,MATCH(A86&amp;"ENTRADA",Movimientos!$R$5:$R$2001,0)),"-")</f>
        <v>-</v>
      </c>
      <c r="D86" s="3" t="str">
        <f>IFERROR(INDEX(Movimientos!$E$5:$E$2001,MATCH(A86&amp;"ENTRADA",Movimientos!$R$5:$R$2001,0)),"-")</f>
        <v>-</v>
      </c>
      <c r="E86" s="3" t="str">
        <f>IFERROR(INDEX(Movimientos!$F$5:$F$2001,MATCH(A86&amp;"ENTRADA",Movimientos!$R$5:$R$2001,0)),"-")</f>
        <v>-</v>
      </c>
      <c r="F86" s="3" t="str">
        <f>IFERROR(INDEX(Movimientos!$G$5:$G$2001,MATCH(A86&amp;"ENTRADA",Movimientos!$R$5:$R$2001,0)),"-")</f>
        <v>-</v>
      </c>
      <c r="G86" s="3" t="str">
        <f>IFERROR(INDEX(Movimientos!$L$5:$L$2001,MATCH(A86&amp;"ENTRADA",Movimientos!$R$5:$R$2001,0)),"-")</f>
        <v>-</v>
      </c>
      <c r="H86" s="19" t="str">
        <f>IFERROR(IF(INDEX(Movimientos!$M$5:$M$2001,MATCH(A86&amp;"ENTRADA",Movimientos!$R$5:$R$2001,0))=0,"S/D",INDEX(Movimientos!$M$5:$M$2001,MATCH(A86&amp;"ENTRADA",Movimientos!$R$5:$R$2001,0))),"S/D")</f>
        <v>S/D</v>
      </c>
      <c r="I86" s="16" t="str">
        <f t="shared" ca="1" si="4"/>
        <v>S/D</v>
      </c>
      <c r="J86" s="6">
        <f>IF(A86="","",SUMIFS(Movimientos!$K:$K,Movimientos!$H:$H,A86))</f>
        <v>0</v>
      </c>
      <c r="K86" s="14" t="str">
        <f t="shared" ca="1" si="5"/>
        <v>OK</v>
      </c>
    </row>
    <row r="87" spans="1:11">
      <c r="A87" s="18" t="s">
        <v>2160</v>
      </c>
      <c r="B87" s="3" t="str">
        <f>IFERROR(INDEX(Movimientos!$C$5:$C$2001,MATCH(A87&amp;"ENTRADA",Movimientos!$R$5:$R$2001,0)),"-")</f>
        <v>-</v>
      </c>
      <c r="C87" s="3" t="str">
        <f>IFERROR(INDEX(Movimientos!$D$5:$D$2001,MATCH(A87&amp;"ENTRADA",Movimientos!$R$5:$R$2001,0)),"-")</f>
        <v>-</v>
      </c>
      <c r="D87" s="3" t="str">
        <f>IFERROR(INDEX(Movimientos!$E$5:$E$2001,MATCH(A87&amp;"ENTRADA",Movimientos!$R$5:$R$2001,0)),"-")</f>
        <v>-</v>
      </c>
      <c r="E87" s="3" t="str">
        <f>IFERROR(INDEX(Movimientos!$F$5:$F$2001,MATCH(A87&amp;"ENTRADA",Movimientos!$R$5:$R$2001,0)),"-")</f>
        <v>-</v>
      </c>
      <c r="F87" s="3" t="str">
        <f>IFERROR(INDEX(Movimientos!$G$5:$G$2001,MATCH(A87&amp;"ENTRADA",Movimientos!$R$5:$R$2001,0)),"-")</f>
        <v>-</v>
      </c>
      <c r="G87" s="3" t="str">
        <f>IFERROR(INDEX(Movimientos!$L$5:$L$2001,MATCH(A87&amp;"ENTRADA",Movimientos!$R$5:$R$2001,0)),"-")</f>
        <v>-</v>
      </c>
      <c r="H87" s="19" t="str">
        <f>IFERROR(IF(INDEX(Movimientos!$M$5:$M$2001,MATCH(A87&amp;"ENTRADA",Movimientos!$R$5:$R$2001,0))=0,"S/D",INDEX(Movimientos!$M$5:$M$2001,MATCH(A87&amp;"ENTRADA",Movimientos!$R$5:$R$2001,0))),"S/D")</f>
        <v>S/D</v>
      </c>
      <c r="I87" s="16" t="str">
        <f t="shared" ca="1" si="4"/>
        <v>S/D</v>
      </c>
      <c r="J87" s="6">
        <f>IF(A87="","",SUMIFS(Movimientos!$K:$K,Movimientos!$H:$H,A87))</f>
        <v>0</v>
      </c>
      <c r="K87" s="14" t="str">
        <f t="shared" ca="1" si="5"/>
        <v>OK</v>
      </c>
    </row>
    <row r="88" spans="1:11">
      <c r="A88" s="18" t="s">
        <v>2161</v>
      </c>
      <c r="B88" s="3" t="str">
        <f>IFERROR(INDEX(Movimientos!$C$5:$C$2001,MATCH(A88&amp;"ENTRADA",Movimientos!$R$5:$R$2001,0)),"-")</f>
        <v>-</v>
      </c>
      <c r="C88" s="3" t="str">
        <f>IFERROR(INDEX(Movimientos!$D$5:$D$2001,MATCH(A88&amp;"ENTRADA",Movimientos!$R$5:$R$2001,0)),"-")</f>
        <v>-</v>
      </c>
      <c r="D88" s="3" t="str">
        <f>IFERROR(INDEX(Movimientos!$E$5:$E$2001,MATCH(A88&amp;"ENTRADA",Movimientos!$R$5:$R$2001,0)),"-")</f>
        <v>-</v>
      </c>
      <c r="E88" s="3" t="str">
        <f>IFERROR(INDEX(Movimientos!$F$5:$F$2001,MATCH(A88&amp;"ENTRADA",Movimientos!$R$5:$R$2001,0)),"-")</f>
        <v>-</v>
      </c>
      <c r="F88" s="3" t="str">
        <f>IFERROR(INDEX(Movimientos!$G$5:$G$2001,MATCH(A88&amp;"ENTRADA",Movimientos!$R$5:$R$2001,0)),"-")</f>
        <v>-</v>
      </c>
      <c r="G88" s="3" t="str">
        <f>IFERROR(INDEX(Movimientos!$L$5:$L$2001,MATCH(A88&amp;"ENTRADA",Movimientos!$R$5:$R$2001,0)),"-")</f>
        <v>-</v>
      </c>
      <c r="H88" s="19" t="str">
        <f>IFERROR(IF(INDEX(Movimientos!$M$5:$M$2001,MATCH(A88&amp;"ENTRADA",Movimientos!$R$5:$R$2001,0))=0,"S/D",INDEX(Movimientos!$M$5:$M$2001,MATCH(A88&amp;"ENTRADA",Movimientos!$R$5:$R$2001,0))),"S/D")</f>
        <v>S/D</v>
      </c>
      <c r="I88" s="16" t="str">
        <f t="shared" ca="1" si="4"/>
        <v>S/D</v>
      </c>
      <c r="J88" s="6">
        <f>IF(A88="","",SUMIFS(Movimientos!$K:$K,Movimientos!$H:$H,A88))</f>
        <v>0</v>
      </c>
      <c r="K88" s="14" t="str">
        <f t="shared" ca="1" si="5"/>
        <v>OK</v>
      </c>
    </row>
    <row r="89" spans="1:11">
      <c r="A89" s="18" t="s">
        <v>2162</v>
      </c>
      <c r="B89" s="3" t="str">
        <f>IFERROR(INDEX(Movimientos!$C$5:$C$2001,MATCH(A89&amp;"ENTRADA",Movimientos!$R$5:$R$2001,0)),"-")</f>
        <v>-</v>
      </c>
      <c r="C89" s="3" t="str">
        <f>IFERROR(INDEX(Movimientos!$D$5:$D$2001,MATCH(A89&amp;"ENTRADA",Movimientos!$R$5:$R$2001,0)),"-")</f>
        <v>-</v>
      </c>
      <c r="D89" s="3" t="str">
        <f>IFERROR(INDEX(Movimientos!$E$5:$E$2001,MATCH(A89&amp;"ENTRADA",Movimientos!$R$5:$R$2001,0)),"-")</f>
        <v>-</v>
      </c>
      <c r="E89" s="3" t="str">
        <f>IFERROR(INDEX(Movimientos!$F$5:$F$2001,MATCH(A89&amp;"ENTRADA",Movimientos!$R$5:$R$2001,0)),"-")</f>
        <v>-</v>
      </c>
      <c r="F89" s="3" t="str">
        <f>IFERROR(INDEX(Movimientos!$G$5:$G$2001,MATCH(A89&amp;"ENTRADA",Movimientos!$R$5:$R$2001,0)),"-")</f>
        <v>-</v>
      </c>
      <c r="G89" s="3" t="str">
        <f>IFERROR(INDEX(Movimientos!$L$5:$L$2001,MATCH(A89&amp;"ENTRADA",Movimientos!$R$5:$R$2001,0)),"-")</f>
        <v>-</v>
      </c>
      <c r="H89" s="19" t="str">
        <f>IFERROR(IF(INDEX(Movimientos!$M$5:$M$2001,MATCH(A89&amp;"ENTRADA",Movimientos!$R$5:$R$2001,0))=0,"S/D",INDEX(Movimientos!$M$5:$M$2001,MATCH(A89&amp;"ENTRADA",Movimientos!$R$5:$R$2001,0))),"S/D")</f>
        <v>S/D</v>
      </c>
      <c r="I89" s="16" t="str">
        <f t="shared" ca="1" si="4"/>
        <v>S/D</v>
      </c>
      <c r="J89" s="6">
        <f>IF(A89="","",SUMIFS(Movimientos!$K:$K,Movimientos!$H:$H,A89))</f>
        <v>0</v>
      </c>
      <c r="K89" s="14" t="str">
        <f t="shared" ca="1" si="5"/>
        <v>OK</v>
      </c>
    </row>
    <row r="90" spans="1:11">
      <c r="A90" s="18" t="s">
        <v>2163</v>
      </c>
      <c r="B90" s="3" t="str">
        <f>IFERROR(INDEX(Movimientos!$C$5:$C$2001,MATCH(A90&amp;"ENTRADA",Movimientos!$R$5:$R$2001,0)),"-")</f>
        <v>-</v>
      </c>
      <c r="C90" s="3" t="str">
        <f>IFERROR(INDEX(Movimientos!$D$5:$D$2001,MATCH(A90&amp;"ENTRADA",Movimientos!$R$5:$R$2001,0)),"-")</f>
        <v>-</v>
      </c>
      <c r="D90" s="3" t="str">
        <f>IFERROR(INDEX(Movimientos!$E$5:$E$2001,MATCH(A90&amp;"ENTRADA",Movimientos!$R$5:$R$2001,0)),"-")</f>
        <v>-</v>
      </c>
      <c r="E90" s="3" t="str">
        <f>IFERROR(INDEX(Movimientos!$F$5:$F$2001,MATCH(A90&amp;"ENTRADA",Movimientos!$R$5:$R$2001,0)),"-")</f>
        <v>-</v>
      </c>
      <c r="F90" s="3" t="str">
        <f>IFERROR(INDEX(Movimientos!$G$5:$G$2001,MATCH(A90&amp;"ENTRADA",Movimientos!$R$5:$R$2001,0)),"-")</f>
        <v>-</v>
      </c>
      <c r="G90" s="3" t="str">
        <f>IFERROR(INDEX(Movimientos!$L$5:$L$2001,MATCH(A90&amp;"ENTRADA",Movimientos!$R$5:$R$2001,0)),"-")</f>
        <v>-</v>
      </c>
      <c r="H90" s="19" t="str">
        <f>IFERROR(IF(INDEX(Movimientos!$M$5:$M$2001,MATCH(A90&amp;"ENTRADA",Movimientos!$R$5:$R$2001,0))=0,"S/D",INDEX(Movimientos!$M$5:$M$2001,MATCH(A90&amp;"ENTRADA",Movimientos!$R$5:$R$2001,0))),"S/D")</f>
        <v>S/D</v>
      </c>
      <c r="I90" s="16" t="str">
        <f t="shared" ca="1" si="4"/>
        <v>S/D</v>
      </c>
      <c r="J90" s="6">
        <f>IF(A90="","",SUMIFS(Movimientos!$K:$K,Movimientos!$H:$H,A90))</f>
        <v>0</v>
      </c>
      <c r="K90" s="14" t="str">
        <f t="shared" ca="1" si="5"/>
        <v>OK</v>
      </c>
    </row>
    <row r="91" spans="1:11">
      <c r="A91" s="18" t="s">
        <v>2164</v>
      </c>
      <c r="B91" s="3" t="str">
        <f>IFERROR(INDEX(Movimientos!$C$5:$C$2001,MATCH(A91&amp;"ENTRADA",Movimientos!$R$5:$R$2001,0)),"-")</f>
        <v>-</v>
      </c>
      <c r="C91" s="3" t="str">
        <f>IFERROR(INDEX(Movimientos!$D$5:$D$2001,MATCH(A91&amp;"ENTRADA",Movimientos!$R$5:$R$2001,0)),"-")</f>
        <v>-</v>
      </c>
      <c r="D91" s="3" t="str">
        <f>IFERROR(INDEX(Movimientos!$E$5:$E$2001,MATCH(A91&amp;"ENTRADA",Movimientos!$R$5:$R$2001,0)),"-")</f>
        <v>-</v>
      </c>
      <c r="E91" s="3" t="str">
        <f>IFERROR(INDEX(Movimientos!$F$5:$F$2001,MATCH(A91&amp;"ENTRADA",Movimientos!$R$5:$R$2001,0)),"-")</f>
        <v>-</v>
      </c>
      <c r="F91" s="3" t="str">
        <f>IFERROR(INDEX(Movimientos!$G$5:$G$2001,MATCH(A91&amp;"ENTRADA",Movimientos!$R$5:$R$2001,0)),"-")</f>
        <v>-</v>
      </c>
      <c r="G91" s="3" t="str">
        <f>IFERROR(INDEX(Movimientos!$L$5:$L$2001,MATCH(A91&amp;"ENTRADA",Movimientos!$R$5:$R$2001,0)),"-")</f>
        <v>-</v>
      </c>
      <c r="H91" s="19" t="str">
        <f>IFERROR(IF(INDEX(Movimientos!$M$5:$M$2001,MATCH(A91&amp;"ENTRADA",Movimientos!$R$5:$R$2001,0))=0,"S/D",INDEX(Movimientos!$M$5:$M$2001,MATCH(A91&amp;"ENTRADA",Movimientos!$R$5:$R$2001,0))),"S/D")</f>
        <v>S/D</v>
      </c>
      <c r="I91" s="16" t="str">
        <f t="shared" ca="1" si="4"/>
        <v>S/D</v>
      </c>
      <c r="J91" s="6">
        <f>IF(A91="","",SUMIFS(Movimientos!$K:$K,Movimientos!$H:$H,A91))</f>
        <v>0</v>
      </c>
      <c r="K91" s="14" t="str">
        <f t="shared" ca="1" si="5"/>
        <v>OK</v>
      </c>
    </row>
    <row r="92" spans="1:11">
      <c r="A92" s="18" t="s">
        <v>2165</v>
      </c>
      <c r="B92" s="3" t="str">
        <f>IFERROR(INDEX(Movimientos!$C$5:$C$2001,MATCH(A92&amp;"ENTRADA",Movimientos!$R$5:$R$2001,0)),"-")</f>
        <v>-</v>
      </c>
      <c r="C92" s="3" t="str">
        <f>IFERROR(INDEX(Movimientos!$D$5:$D$2001,MATCH(A92&amp;"ENTRADA",Movimientos!$R$5:$R$2001,0)),"-")</f>
        <v>-</v>
      </c>
      <c r="D92" s="3" t="str">
        <f>IFERROR(INDEX(Movimientos!$E$5:$E$2001,MATCH(A92&amp;"ENTRADA",Movimientos!$R$5:$R$2001,0)),"-")</f>
        <v>-</v>
      </c>
      <c r="E92" s="3" t="str">
        <f>IFERROR(INDEX(Movimientos!$F$5:$F$2001,MATCH(A92&amp;"ENTRADA",Movimientos!$R$5:$R$2001,0)),"-")</f>
        <v>-</v>
      </c>
      <c r="F92" s="3" t="str">
        <f>IFERROR(INDEX(Movimientos!$G$5:$G$2001,MATCH(A92&amp;"ENTRADA",Movimientos!$R$5:$R$2001,0)),"-")</f>
        <v>-</v>
      </c>
      <c r="G92" s="3" t="str">
        <f>IFERROR(INDEX(Movimientos!$L$5:$L$2001,MATCH(A92&amp;"ENTRADA",Movimientos!$R$5:$R$2001,0)),"-")</f>
        <v>-</v>
      </c>
      <c r="H92" s="19" t="str">
        <f>IFERROR(IF(INDEX(Movimientos!$M$5:$M$2001,MATCH(A92&amp;"ENTRADA",Movimientos!$R$5:$R$2001,0))=0,"S/D",INDEX(Movimientos!$M$5:$M$2001,MATCH(A92&amp;"ENTRADA",Movimientos!$R$5:$R$2001,0))),"S/D")</f>
        <v>S/D</v>
      </c>
      <c r="I92" s="16" t="str">
        <f t="shared" ca="1" si="4"/>
        <v>S/D</v>
      </c>
      <c r="J92" s="6">
        <f>IF(A92="","",SUMIFS(Movimientos!$K:$K,Movimientos!$H:$H,A92))</f>
        <v>0</v>
      </c>
      <c r="K92" s="14" t="str">
        <f t="shared" ca="1" si="5"/>
        <v>OK</v>
      </c>
    </row>
    <row r="93" spans="1:11">
      <c r="A93" s="18" t="s">
        <v>2166</v>
      </c>
      <c r="B93" s="3" t="str">
        <f>IFERROR(INDEX(Movimientos!$C$5:$C$2001,MATCH(A93&amp;"ENTRADA",Movimientos!$R$5:$R$2001,0)),"-")</f>
        <v>-</v>
      </c>
      <c r="C93" s="3" t="str">
        <f>IFERROR(INDEX(Movimientos!$D$5:$D$2001,MATCH(A93&amp;"ENTRADA",Movimientos!$R$5:$R$2001,0)),"-")</f>
        <v>-</v>
      </c>
      <c r="D93" s="3" t="str">
        <f>IFERROR(INDEX(Movimientos!$E$5:$E$2001,MATCH(A93&amp;"ENTRADA",Movimientos!$R$5:$R$2001,0)),"-")</f>
        <v>-</v>
      </c>
      <c r="E93" s="3" t="str">
        <f>IFERROR(INDEX(Movimientos!$F$5:$F$2001,MATCH(A93&amp;"ENTRADA",Movimientos!$R$5:$R$2001,0)),"-")</f>
        <v>-</v>
      </c>
      <c r="F93" s="3" t="str">
        <f>IFERROR(INDEX(Movimientos!$G$5:$G$2001,MATCH(A93&amp;"ENTRADA",Movimientos!$R$5:$R$2001,0)),"-")</f>
        <v>-</v>
      </c>
      <c r="G93" s="3" t="str">
        <f>IFERROR(INDEX(Movimientos!$L$5:$L$2001,MATCH(A93&amp;"ENTRADA",Movimientos!$R$5:$R$2001,0)),"-")</f>
        <v>-</v>
      </c>
      <c r="H93" s="19" t="str">
        <f>IFERROR(IF(INDEX(Movimientos!$M$5:$M$2001,MATCH(A93&amp;"ENTRADA",Movimientos!$R$5:$R$2001,0))=0,"S/D",INDEX(Movimientos!$M$5:$M$2001,MATCH(A93&amp;"ENTRADA",Movimientos!$R$5:$R$2001,0))),"S/D")</f>
        <v>S/D</v>
      </c>
      <c r="I93" s="16" t="str">
        <f t="shared" ca="1" si="4"/>
        <v>S/D</v>
      </c>
      <c r="J93" s="6">
        <f>IF(A93="","",SUMIFS(Movimientos!$K:$K,Movimientos!$H:$H,A93))</f>
        <v>0</v>
      </c>
      <c r="K93" s="14" t="str">
        <f t="shared" ca="1" si="5"/>
        <v>OK</v>
      </c>
    </row>
    <row r="94" spans="1:11">
      <c r="A94" s="18" t="s">
        <v>2167</v>
      </c>
      <c r="B94" s="3" t="str">
        <f>IFERROR(INDEX(Movimientos!$C$5:$C$2001,MATCH(A94&amp;"ENTRADA",Movimientos!$R$5:$R$2001,0)),"-")</f>
        <v>-</v>
      </c>
      <c r="C94" s="3" t="str">
        <f>IFERROR(INDEX(Movimientos!$D$5:$D$2001,MATCH(A94&amp;"ENTRADA",Movimientos!$R$5:$R$2001,0)),"-")</f>
        <v>-</v>
      </c>
      <c r="D94" s="3" t="str">
        <f>IFERROR(INDEX(Movimientos!$E$5:$E$2001,MATCH(A94&amp;"ENTRADA",Movimientos!$R$5:$R$2001,0)),"-")</f>
        <v>-</v>
      </c>
      <c r="E94" s="3" t="str">
        <f>IFERROR(INDEX(Movimientos!$F$5:$F$2001,MATCH(A94&amp;"ENTRADA",Movimientos!$R$5:$R$2001,0)),"-")</f>
        <v>-</v>
      </c>
      <c r="F94" s="3" t="str">
        <f>IFERROR(INDEX(Movimientos!$G$5:$G$2001,MATCH(A94&amp;"ENTRADA",Movimientos!$R$5:$R$2001,0)),"-")</f>
        <v>-</v>
      </c>
      <c r="G94" s="3" t="str">
        <f>IFERROR(INDEX(Movimientos!$L$5:$L$2001,MATCH(A94&amp;"ENTRADA",Movimientos!$R$5:$R$2001,0)),"-")</f>
        <v>-</v>
      </c>
      <c r="H94" s="19" t="str">
        <f>IFERROR(IF(INDEX(Movimientos!$M$5:$M$2001,MATCH(A94&amp;"ENTRADA",Movimientos!$R$5:$R$2001,0))=0,"S/D",INDEX(Movimientos!$M$5:$M$2001,MATCH(A94&amp;"ENTRADA",Movimientos!$R$5:$R$2001,0))),"S/D")</f>
        <v>S/D</v>
      </c>
      <c r="I94" s="16" t="str">
        <f t="shared" ca="1" si="4"/>
        <v>S/D</v>
      </c>
      <c r="J94" s="6">
        <f>IF(A94="","",SUMIFS(Movimientos!$K:$K,Movimientos!$H:$H,A94))</f>
        <v>0</v>
      </c>
      <c r="K94" s="14" t="str">
        <f t="shared" ca="1" si="5"/>
        <v>OK</v>
      </c>
    </row>
    <row r="95" spans="1:11">
      <c r="A95" s="18" t="s">
        <v>2168</v>
      </c>
      <c r="B95" s="3" t="str">
        <f>IFERROR(INDEX(Movimientos!$C$5:$C$2001,MATCH(A95&amp;"ENTRADA",Movimientos!$R$5:$R$2001,0)),"-")</f>
        <v>-</v>
      </c>
      <c r="C95" s="3" t="str">
        <f>IFERROR(INDEX(Movimientos!$D$5:$D$2001,MATCH(A95&amp;"ENTRADA",Movimientos!$R$5:$R$2001,0)),"-")</f>
        <v>-</v>
      </c>
      <c r="D95" s="3" t="str">
        <f>IFERROR(INDEX(Movimientos!$E$5:$E$2001,MATCH(A95&amp;"ENTRADA",Movimientos!$R$5:$R$2001,0)),"-")</f>
        <v>-</v>
      </c>
      <c r="E95" s="3" t="str">
        <f>IFERROR(INDEX(Movimientos!$F$5:$F$2001,MATCH(A95&amp;"ENTRADA",Movimientos!$R$5:$R$2001,0)),"-")</f>
        <v>-</v>
      </c>
      <c r="F95" s="3" t="str">
        <f>IFERROR(INDEX(Movimientos!$G$5:$G$2001,MATCH(A95&amp;"ENTRADA",Movimientos!$R$5:$R$2001,0)),"-")</f>
        <v>-</v>
      </c>
      <c r="G95" s="3" t="str">
        <f>IFERROR(INDEX(Movimientos!$L$5:$L$2001,MATCH(A95&amp;"ENTRADA",Movimientos!$R$5:$R$2001,0)),"-")</f>
        <v>-</v>
      </c>
      <c r="H95" s="19" t="str">
        <f>IFERROR(IF(INDEX(Movimientos!$M$5:$M$2001,MATCH(A95&amp;"ENTRADA",Movimientos!$R$5:$R$2001,0))=0,"S/D",INDEX(Movimientos!$M$5:$M$2001,MATCH(A95&amp;"ENTRADA",Movimientos!$R$5:$R$2001,0))),"S/D")</f>
        <v>S/D</v>
      </c>
      <c r="I95" s="16" t="str">
        <f t="shared" ca="1" si="4"/>
        <v>S/D</v>
      </c>
      <c r="J95" s="6">
        <f>IF(A95="","",SUMIFS(Movimientos!$K:$K,Movimientos!$H:$H,A95))</f>
        <v>0</v>
      </c>
      <c r="K95" s="14" t="str">
        <f t="shared" ca="1" si="5"/>
        <v>OK</v>
      </c>
    </row>
    <row r="96" spans="1:11">
      <c r="A96" s="18" t="s">
        <v>2169</v>
      </c>
      <c r="B96" s="3" t="str">
        <f>IFERROR(INDEX(Movimientos!$C$5:$C$2001,MATCH(A96&amp;"ENTRADA",Movimientos!$R$5:$R$2001,0)),"-")</f>
        <v>-</v>
      </c>
      <c r="C96" s="3" t="str">
        <f>IFERROR(INDEX(Movimientos!$D$5:$D$2001,MATCH(A96&amp;"ENTRADA",Movimientos!$R$5:$R$2001,0)),"-")</f>
        <v>-</v>
      </c>
      <c r="D96" s="3" t="str">
        <f>IFERROR(INDEX(Movimientos!$E$5:$E$2001,MATCH(A96&amp;"ENTRADA",Movimientos!$R$5:$R$2001,0)),"-")</f>
        <v>-</v>
      </c>
      <c r="E96" s="3" t="str">
        <f>IFERROR(INDEX(Movimientos!$F$5:$F$2001,MATCH(A96&amp;"ENTRADA",Movimientos!$R$5:$R$2001,0)),"-")</f>
        <v>-</v>
      </c>
      <c r="F96" s="3" t="str">
        <f>IFERROR(INDEX(Movimientos!$G$5:$G$2001,MATCH(A96&amp;"ENTRADA",Movimientos!$R$5:$R$2001,0)),"-")</f>
        <v>-</v>
      </c>
      <c r="G96" s="3" t="str">
        <f>IFERROR(INDEX(Movimientos!$L$5:$L$2001,MATCH(A96&amp;"ENTRADA",Movimientos!$R$5:$R$2001,0)),"-")</f>
        <v>-</v>
      </c>
      <c r="H96" s="19" t="str">
        <f>IFERROR(IF(INDEX(Movimientos!$M$5:$M$2001,MATCH(A96&amp;"ENTRADA",Movimientos!$R$5:$R$2001,0))=0,"S/D",INDEX(Movimientos!$M$5:$M$2001,MATCH(A96&amp;"ENTRADA",Movimientos!$R$5:$R$2001,0))),"S/D")</f>
        <v>S/D</v>
      </c>
      <c r="I96" s="16" t="str">
        <f t="shared" ca="1" si="4"/>
        <v>S/D</v>
      </c>
      <c r="J96" s="6">
        <f>IF(A96="","",SUMIFS(Movimientos!$K:$K,Movimientos!$H:$H,A96))</f>
        <v>0</v>
      </c>
      <c r="K96" s="14" t="str">
        <f t="shared" ca="1" si="5"/>
        <v>OK</v>
      </c>
    </row>
    <row r="97" spans="1:11">
      <c r="A97" s="18" t="s">
        <v>2170</v>
      </c>
      <c r="B97" s="3" t="str">
        <f>IFERROR(INDEX(Movimientos!$C$5:$C$2001,MATCH(A97&amp;"ENTRADA",Movimientos!$R$5:$R$2001,0)),"-")</f>
        <v>-</v>
      </c>
      <c r="C97" s="3" t="str">
        <f>IFERROR(INDEX(Movimientos!$D$5:$D$2001,MATCH(A97&amp;"ENTRADA",Movimientos!$R$5:$R$2001,0)),"-")</f>
        <v>-</v>
      </c>
      <c r="D97" s="3" t="str">
        <f>IFERROR(INDEX(Movimientos!$E$5:$E$2001,MATCH(A97&amp;"ENTRADA",Movimientos!$R$5:$R$2001,0)),"-")</f>
        <v>-</v>
      </c>
      <c r="E97" s="3" t="str">
        <f>IFERROR(INDEX(Movimientos!$F$5:$F$2001,MATCH(A97&amp;"ENTRADA",Movimientos!$R$5:$R$2001,0)),"-")</f>
        <v>-</v>
      </c>
      <c r="F97" s="3" t="str">
        <f>IFERROR(INDEX(Movimientos!$G$5:$G$2001,MATCH(A97&amp;"ENTRADA",Movimientos!$R$5:$R$2001,0)),"-")</f>
        <v>-</v>
      </c>
      <c r="G97" s="3" t="str">
        <f>IFERROR(INDEX(Movimientos!$L$5:$L$2001,MATCH(A97&amp;"ENTRADA",Movimientos!$R$5:$R$2001,0)),"-")</f>
        <v>-</v>
      </c>
      <c r="H97" s="19" t="str">
        <f>IFERROR(IF(INDEX(Movimientos!$M$5:$M$2001,MATCH(A97&amp;"ENTRADA",Movimientos!$R$5:$R$2001,0))=0,"S/D",INDEX(Movimientos!$M$5:$M$2001,MATCH(A97&amp;"ENTRADA",Movimientos!$R$5:$R$2001,0))),"S/D")</f>
        <v>S/D</v>
      </c>
      <c r="I97" s="16" t="str">
        <f t="shared" ca="1" si="4"/>
        <v>S/D</v>
      </c>
      <c r="J97" s="6">
        <f>IF(A97="","",SUMIFS(Movimientos!$K:$K,Movimientos!$H:$H,A97))</f>
        <v>0</v>
      </c>
      <c r="K97" s="14" t="str">
        <f t="shared" ca="1" si="5"/>
        <v>OK</v>
      </c>
    </row>
    <row r="98" spans="1:11">
      <c r="A98" s="18" t="s">
        <v>2171</v>
      </c>
      <c r="B98" s="3" t="str">
        <f>IFERROR(INDEX(Movimientos!$C$5:$C$2001,MATCH(A98&amp;"ENTRADA",Movimientos!$R$5:$R$2001,0)),"-")</f>
        <v>-</v>
      </c>
      <c r="C98" s="3" t="str">
        <f>IFERROR(INDEX(Movimientos!$D$5:$D$2001,MATCH(A98&amp;"ENTRADA",Movimientos!$R$5:$R$2001,0)),"-")</f>
        <v>-</v>
      </c>
      <c r="D98" s="3" t="str">
        <f>IFERROR(INDEX(Movimientos!$E$5:$E$2001,MATCH(A98&amp;"ENTRADA",Movimientos!$R$5:$R$2001,0)),"-")</f>
        <v>-</v>
      </c>
      <c r="E98" s="3" t="str">
        <f>IFERROR(INDEX(Movimientos!$F$5:$F$2001,MATCH(A98&amp;"ENTRADA",Movimientos!$R$5:$R$2001,0)),"-")</f>
        <v>-</v>
      </c>
      <c r="F98" s="3" t="str">
        <f>IFERROR(INDEX(Movimientos!$G$5:$G$2001,MATCH(A98&amp;"ENTRADA",Movimientos!$R$5:$R$2001,0)),"-")</f>
        <v>-</v>
      </c>
      <c r="G98" s="3" t="str">
        <f>IFERROR(INDEX(Movimientos!$L$5:$L$2001,MATCH(A98&amp;"ENTRADA",Movimientos!$R$5:$R$2001,0)),"-")</f>
        <v>-</v>
      </c>
      <c r="H98" s="19" t="str">
        <f>IFERROR(IF(INDEX(Movimientos!$M$5:$M$2001,MATCH(A98&amp;"ENTRADA",Movimientos!$R$5:$R$2001,0))=0,"S/D",INDEX(Movimientos!$M$5:$M$2001,MATCH(A98&amp;"ENTRADA",Movimientos!$R$5:$R$2001,0))),"S/D")</f>
        <v>S/D</v>
      </c>
      <c r="I98" s="16" t="str">
        <f t="shared" ca="1" si="4"/>
        <v>S/D</v>
      </c>
      <c r="J98" s="6">
        <f>IF(A98="","",SUMIFS(Movimientos!$K:$K,Movimientos!$H:$H,A98))</f>
        <v>0</v>
      </c>
      <c r="K98" s="14" t="str">
        <f t="shared" ca="1" si="5"/>
        <v>OK</v>
      </c>
    </row>
    <row r="99" spans="1:11">
      <c r="A99" s="18" t="s">
        <v>2172</v>
      </c>
      <c r="B99" s="3" t="str">
        <f>IFERROR(INDEX(Movimientos!$C$5:$C$2001,MATCH(A99&amp;"ENTRADA",Movimientos!$R$5:$R$2001,0)),"-")</f>
        <v>-</v>
      </c>
      <c r="C99" s="3" t="str">
        <f>IFERROR(INDEX(Movimientos!$D$5:$D$2001,MATCH(A99&amp;"ENTRADA",Movimientos!$R$5:$R$2001,0)),"-")</f>
        <v>-</v>
      </c>
      <c r="D99" s="3" t="str">
        <f>IFERROR(INDEX(Movimientos!$E$5:$E$2001,MATCH(A99&amp;"ENTRADA",Movimientos!$R$5:$R$2001,0)),"-")</f>
        <v>-</v>
      </c>
      <c r="E99" s="3" t="str">
        <f>IFERROR(INDEX(Movimientos!$F$5:$F$2001,MATCH(A99&amp;"ENTRADA",Movimientos!$R$5:$R$2001,0)),"-")</f>
        <v>-</v>
      </c>
      <c r="F99" s="3" t="str">
        <f>IFERROR(INDEX(Movimientos!$G$5:$G$2001,MATCH(A99&amp;"ENTRADA",Movimientos!$R$5:$R$2001,0)),"-")</f>
        <v>-</v>
      </c>
      <c r="G99" s="3" t="str">
        <f>IFERROR(INDEX(Movimientos!$L$5:$L$2001,MATCH(A99&amp;"ENTRADA",Movimientos!$R$5:$R$2001,0)),"-")</f>
        <v>-</v>
      </c>
      <c r="H99" s="19" t="str">
        <f>IFERROR(IF(INDEX(Movimientos!$M$5:$M$2001,MATCH(A99&amp;"ENTRADA",Movimientos!$R$5:$R$2001,0))=0,"S/D",INDEX(Movimientos!$M$5:$M$2001,MATCH(A99&amp;"ENTRADA",Movimientos!$R$5:$R$2001,0))),"S/D")</f>
        <v>S/D</v>
      </c>
      <c r="I99" s="16" t="str">
        <f t="shared" ca="1" si="4"/>
        <v>S/D</v>
      </c>
      <c r="J99" s="6">
        <f>IF(A99="","",SUMIFS(Movimientos!$K:$K,Movimientos!$H:$H,A99))</f>
        <v>0</v>
      </c>
      <c r="K99" s="14" t="str">
        <f t="shared" ca="1" si="5"/>
        <v>OK</v>
      </c>
    </row>
    <row r="100" spans="1:11">
      <c r="A100" s="18" t="s">
        <v>2173</v>
      </c>
      <c r="B100" s="3" t="str">
        <f>IFERROR(INDEX(Movimientos!$C$5:$C$2001,MATCH(A100&amp;"ENTRADA",Movimientos!$R$5:$R$2001,0)),"-")</f>
        <v>-</v>
      </c>
      <c r="C100" s="3" t="str">
        <f>IFERROR(INDEX(Movimientos!$D$5:$D$2001,MATCH(A100&amp;"ENTRADA",Movimientos!$R$5:$R$2001,0)),"-")</f>
        <v>-</v>
      </c>
      <c r="D100" s="3" t="str">
        <f>IFERROR(INDEX(Movimientos!$E$5:$E$2001,MATCH(A100&amp;"ENTRADA",Movimientos!$R$5:$R$2001,0)),"-")</f>
        <v>-</v>
      </c>
      <c r="E100" s="3" t="str">
        <f>IFERROR(INDEX(Movimientos!$F$5:$F$2001,MATCH(A100&amp;"ENTRADA",Movimientos!$R$5:$R$2001,0)),"-")</f>
        <v>-</v>
      </c>
      <c r="F100" s="3" t="str">
        <f>IFERROR(INDEX(Movimientos!$G$5:$G$2001,MATCH(A100&amp;"ENTRADA",Movimientos!$R$5:$R$2001,0)),"-")</f>
        <v>-</v>
      </c>
      <c r="G100" s="3" t="str">
        <f>IFERROR(INDEX(Movimientos!$L$5:$L$2001,MATCH(A100&amp;"ENTRADA",Movimientos!$R$5:$R$2001,0)),"-")</f>
        <v>-</v>
      </c>
      <c r="H100" s="19" t="str">
        <f>IFERROR(IF(INDEX(Movimientos!$M$5:$M$2001,MATCH(A100&amp;"ENTRADA",Movimientos!$R$5:$R$2001,0))=0,"S/D",INDEX(Movimientos!$M$5:$M$2001,MATCH(A100&amp;"ENTRADA",Movimientos!$R$5:$R$2001,0))),"S/D")</f>
        <v>S/D</v>
      </c>
      <c r="I100" s="16" t="str">
        <f t="shared" ca="1" si="4"/>
        <v>S/D</v>
      </c>
      <c r="J100" s="6">
        <f>IF(A100="","",SUMIFS(Movimientos!$K:$K,Movimientos!$H:$H,A100))</f>
        <v>0</v>
      </c>
      <c r="K100" s="14" t="str">
        <f t="shared" ca="1" si="5"/>
        <v>OK</v>
      </c>
    </row>
    <row r="101" spans="1:11">
      <c r="A101" s="18" t="s">
        <v>2174</v>
      </c>
      <c r="B101" s="3" t="str">
        <f>IFERROR(INDEX(Movimientos!$C$5:$C$2001,MATCH(A101&amp;"ENTRADA",Movimientos!$R$5:$R$2001,0)),"-")</f>
        <v>-</v>
      </c>
      <c r="C101" s="3" t="str">
        <f>IFERROR(INDEX(Movimientos!$D$5:$D$2001,MATCH(A101&amp;"ENTRADA",Movimientos!$R$5:$R$2001,0)),"-")</f>
        <v>-</v>
      </c>
      <c r="D101" s="3" t="str">
        <f>IFERROR(INDEX(Movimientos!$E$5:$E$2001,MATCH(A101&amp;"ENTRADA",Movimientos!$R$5:$R$2001,0)),"-")</f>
        <v>-</v>
      </c>
      <c r="E101" s="3" t="str">
        <f>IFERROR(INDEX(Movimientos!$F$5:$F$2001,MATCH(A101&amp;"ENTRADA",Movimientos!$R$5:$R$2001,0)),"-")</f>
        <v>-</v>
      </c>
      <c r="F101" s="3" t="str">
        <f>IFERROR(INDEX(Movimientos!$G$5:$G$2001,MATCH(A101&amp;"ENTRADA",Movimientos!$R$5:$R$2001,0)),"-")</f>
        <v>-</v>
      </c>
      <c r="G101" s="3" t="str">
        <f>IFERROR(INDEX(Movimientos!$L$5:$L$2001,MATCH(A101&amp;"ENTRADA",Movimientos!$R$5:$R$2001,0)),"-")</f>
        <v>-</v>
      </c>
      <c r="H101" s="19" t="str">
        <f>IFERROR(IF(INDEX(Movimientos!$M$5:$M$2001,MATCH(A101&amp;"ENTRADA",Movimientos!$R$5:$R$2001,0))=0,"S/D",INDEX(Movimientos!$M$5:$M$2001,MATCH(A101&amp;"ENTRADA",Movimientos!$R$5:$R$2001,0))),"S/D")</f>
        <v>S/D</v>
      </c>
      <c r="I101" s="16" t="str">
        <f t="shared" ca="1" si="4"/>
        <v>S/D</v>
      </c>
      <c r="J101" s="6">
        <f>IF(A101="","",SUMIFS(Movimientos!$K:$K,Movimientos!$H:$H,A101))</f>
        <v>0</v>
      </c>
      <c r="K101" s="14" t="str">
        <f t="shared" ca="1" si="5"/>
        <v>OK</v>
      </c>
    </row>
    <row r="102" spans="1:11">
      <c r="A102" s="18" t="s">
        <v>2175</v>
      </c>
      <c r="B102" s="3" t="str">
        <f>IFERROR(INDEX(Movimientos!$C$5:$C$2001,MATCH(A102&amp;"ENTRADA",Movimientos!$R$5:$R$2001,0)),"-")</f>
        <v>-</v>
      </c>
      <c r="C102" s="3" t="str">
        <f>IFERROR(INDEX(Movimientos!$D$5:$D$2001,MATCH(A102&amp;"ENTRADA",Movimientos!$R$5:$R$2001,0)),"-")</f>
        <v>-</v>
      </c>
      <c r="D102" s="3" t="str">
        <f>IFERROR(INDEX(Movimientos!$E$5:$E$2001,MATCH(A102&amp;"ENTRADA",Movimientos!$R$5:$R$2001,0)),"-")</f>
        <v>-</v>
      </c>
      <c r="E102" s="3" t="str">
        <f>IFERROR(INDEX(Movimientos!$F$5:$F$2001,MATCH(A102&amp;"ENTRADA",Movimientos!$R$5:$R$2001,0)),"-")</f>
        <v>-</v>
      </c>
      <c r="F102" s="3" t="str">
        <f>IFERROR(INDEX(Movimientos!$G$5:$G$2001,MATCH(A102&amp;"ENTRADA",Movimientos!$R$5:$R$2001,0)),"-")</f>
        <v>-</v>
      </c>
      <c r="G102" s="3" t="str">
        <f>IFERROR(INDEX(Movimientos!$L$5:$L$2001,MATCH(A102&amp;"ENTRADA",Movimientos!$R$5:$R$2001,0)),"-")</f>
        <v>-</v>
      </c>
      <c r="H102" s="19" t="str">
        <f>IFERROR(IF(INDEX(Movimientos!$M$5:$M$2001,MATCH(A102&amp;"ENTRADA",Movimientos!$R$5:$R$2001,0))=0,"S/D",INDEX(Movimientos!$M$5:$M$2001,MATCH(A102&amp;"ENTRADA",Movimientos!$R$5:$R$2001,0))),"S/D")</f>
        <v>S/D</v>
      </c>
      <c r="I102" s="16" t="str">
        <f t="shared" ca="1" si="4"/>
        <v>S/D</v>
      </c>
      <c r="J102" s="6">
        <f>IF(A102="","",SUMIFS(Movimientos!$K:$K,Movimientos!$H:$H,A102))</f>
        <v>0</v>
      </c>
      <c r="K102" s="14" t="str">
        <f t="shared" ca="1" si="5"/>
        <v>OK</v>
      </c>
    </row>
    <row r="103" spans="1:11">
      <c r="A103" s="18" t="s">
        <v>2176</v>
      </c>
      <c r="B103" s="3" t="str">
        <f>IFERROR(INDEX(Movimientos!$C$5:$C$2001,MATCH(A103&amp;"ENTRADA",Movimientos!$R$5:$R$2001,0)),"-")</f>
        <v>-</v>
      </c>
      <c r="C103" s="3" t="str">
        <f>IFERROR(INDEX(Movimientos!$D$5:$D$2001,MATCH(A103&amp;"ENTRADA",Movimientos!$R$5:$R$2001,0)),"-")</f>
        <v>-</v>
      </c>
      <c r="D103" s="3" t="str">
        <f>IFERROR(INDEX(Movimientos!$E$5:$E$2001,MATCH(A103&amp;"ENTRADA",Movimientos!$R$5:$R$2001,0)),"-")</f>
        <v>-</v>
      </c>
      <c r="E103" s="3" t="str">
        <f>IFERROR(INDEX(Movimientos!$F$5:$F$2001,MATCH(A103&amp;"ENTRADA",Movimientos!$R$5:$R$2001,0)),"-")</f>
        <v>-</v>
      </c>
      <c r="F103" s="3" t="str">
        <f>IFERROR(INDEX(Movimientos!$G$5:$G$2001,MATCH(A103&amp;"ENTRADA",Movimientos!$R$5:$R$2001,0)),"-")</f>
        <v>-</v>
      </c>
      <c r="G103" s="3" t="str">
        <f>IFERROR(INDEX(Movimientos!$L$5:$L$2001,MATCH(A103&amp;"ENTRADA",Movimientos!$R$5:$R$2001,0)),"-")</f>
        <v>-</v>
      </c>
      <c r="H103" s="19" t="str">
        <f>IFERROR(IF(INDEX(Movimientos!$M$5:$M$2001,MATCH(A103&amp;"ENTRADA",Movimientos!$R$5:$R$2001,0))=0,"S/D",INDEX(Movimientos!$M$5:$M$2001,MATCH(A103&amp;"ENTRADA",Movimientos!$R$5:$R$2001,0))),"S/D")</f>
        <v>S/D</v>
      </c>
      <c r="I103" s="16" t="str">
        <f t="shared" ca="1" si="4"/>
        <v>S/D</v>
      </c>
      <c r="J103" s="6">
        <f>IF(A103="","",SUMIFS(Movimientos!$K:$K,Movimientos!$H:$H,A103))</f>
        <v>0</v>
      </c>
      <c r="K103" s="14" t="str">
        <f t="shared" ca="1" si="5"/>
        <v>OK</v>
      </c>
    </row>
    <row r="104" spans="1:11">
      <c r="A104" s="18" t="s">
        <v>2177</v>
      </c>
      <c r="B104" s="3" t="str">
        <f>IFERROR(INDEX(Movimientos!$C$5:$C$2001,MATCH(A104&amp;"ENTRADA",Movimientos!$R$5:$R$2001,0)),"-")</f>
        <v>-</v>
      </c>
      <c r="C104" s="3" t="str">
        <f>IFERROR(INDEX(Movimientos!$D$5:$D$2001,MATCH(A104&amp;"ENTRADA",Movimientos!$R$5:$R$2001,0)),"-")</f>
        <v>-</v>
      </c>
      <c r="D104" s="3" t="str">
        <f>IFERROR(INDEX(Movimientos!$E$5:$E$2001,MATCH(A104&amp;"ENTRADA",Movimientos!$R$5:$R$2001,0)),"-")</f>
        <v>-</v>
      </c>
      <c r="E104" s="3" t="str">
        <f>IFERROR(INDEX(Movimientos!$F$5:$F$2001,MATCH(A104&amp;"ENTRADA",Movimientos!$R$5:$R$2001,0)),"-")</f>
        <v>-</v>
      </c>
      <c r="F104" s="3" t="str">
        <f>IFERROR(INDEX(Movimientos!$G$5:$G$2001,MATCH(A104&amp;"ENTRADA",Movimientos!$R$5:$R$2001,0)),"-")</f>
        <v>-</v>
      </c>
      <c r="G104" s="3" t="str">
        <f>IFERROR(INDEX(Movimientos!$L$5:$L$2001,MATCH(A104&amp;"ENTRADA",Movimientos!$R$5:$R$2001,0)),"-")</f>
        <v>-</v>
      </c>
      <c r="H104" s="19" t="str">
        <f>IFERROR(IF(INDEX(Movimientos!$M$5:$M$2001,MATCH(A104&amp;"ENTRADA",Movimientos!$R$5:$R$2001,0))=0,"S/D",INDEX(Movimientos!$M$5:$M$2001,MATCH(A104&amp;"ENTRADA",Movimientos!$R$5:$R$2001,0))),"S/D")</f>
        <v>S/D</v>
      </c>
      <c r="I104" s="16" t="str">
        <f t="shared" ca="1" si="4"/>
        <v>S/D</v>
      </c>
      <c r="J104" s="6">
        <f>IF(A104="","",SUMIFS(Movimientos!$K:$K,Movimientos!$H:$H,A104))</f>
        <v>0</v>
      </c>
      <c r="K104" s="14" t="str">
        <f t="shared" ca="1" si="5"/>
        <v>OK</v>
      </c>
    </row>
    <row r="105" spans="1:11">
      <c r="A105" s="18" t="s">
        <v>2178</v>
      </c>
      <c r="B105" s="3" t="str">
        <f>IFERROR(INDEX(Movimientos!$C$5:$C$2001,MATCH(A105&amp;"ENTRADA",Movimientos!$R$5:$R$2001,0)),"-")</f>
        <v>-</v>
      </c>
      <c r="C105" s="3" t="str">
        <f>IFERROR(INDEX(Movimientos!$D$5:$D$2001,MATCH(A105&amp;"ENTRADA",Movimientos!$R$5:$R$2001,0)),"-")</f>
        <v>-</v>
      </c>
      <c r="D105" s="3" t="str">
        <f>IFERROR(INDEX(Movimientos!$E$5:$E$2001,MATCH(A105&amp;"ENTRADA",Movimientos!$R$5:$R$2001,0)),"-")</f>
        <v>-</v>
      </c>
      <c r="E105" s="3" t="str">
        <f>IFERROR(INDEX(Movimientos!$F$5:$F$2001,MATCH(A105&amp;"ENTRADA",Movimientos!$R$5:$R$2001,0)),"-")</f>
        <v>-</v>
      </c>
      <c r="F105" s="3" t="str">
        <f>IFERROR(INDEX(Movimientos!$G$5:$G$2001,MATCH(A105&amp;"ENTRADA",Movimientos!$R$5:$R$2001,0)),"-")</f>
        <v>-</v>
      </c>
      <c r="G105" s="3" t="str">
        <f>IFERROR(INDEX(Movimientos!$L$5:$L$2001,MATCH(A105&amp;"ENTRADA",Movimientos!$R$5:$R$2001,0)),"-")</f>
        <v>-</v>
      </c>
      <c r="H105" s="19" t="str">
        <f>IFERROR(IF(INDEX(Movimientos!$M$5:$M$2001,MATCH(A105&amp;"ENTRADA",Movimientos!$R$5:$R$2001,0))=0,"S/D",INDEX(Movimientos!$M$5:$M$2001,MATCH(A105&amp;"ENTRADA",Movimientos!$R$5:$R$2001,0))),"S/D")</f>
        <v>S/D</v>
      </c>
      <c r="I105" s="16" t="str">
        <f t="shared" ca="1" si="4"/>
        <v>S/D</v>
      </c>
      <c r="J105" s="6">
        <f>IF(A105="","",SUMIFS(Movimientos!$K:$K,Movimientos!$H:$H,A105))</f>
        <v>0</v>
      </c>
      <c r="K105" s="14" t="str">
        <f t="shared" ca="1" si="5"/>
        <v>OK</v>
      </c>
    </row>
    <row r="106" spans="1:11">
      <c r="A106" s="18" t="s">
        <v>2179</v>
      </c>
      <c r="B106" s="3" t="str">
        <f>IFERROR(INDEX(Movimientos!$C$5:$C$2001,MATCH(A106&amp;"ENTRADA",Movimientos!$R$5:$R$2001,0)),"-")</f>
        <v>-</v>
      </c>
      <c r="C106" s="3" t="str">
        <f>IFERROR(INDEX(Movimientos!$D$5:$D$2001,MATCH(A106&amp;"ENTRADA",Movimientos!$R$5:$R$2001,0)),"-")</f>
        <v>-</v>
      </c>
      <c r="D106" s="3" t="str">
        <f>IFERROR(INDEX(Movimientos!$E$5:$E$2001,MATCH(A106&amp;"ENTRADA",Movimientos!$R$5:$R$2001,0)),"-")</f>
        <v>-</v>
      </c>
      <c r="E106" s="3" t="str">
        <f>IFERROR(INDEX(Movimientos!$F$5:$F$2001,MATCH(A106&amp;"ENTRADA",Movimientos!$R$5:$R$2001,0)),"-")</f>
        <v>-</v>
      </c>
      <c r="F106" s="3" t="str">
        <f>IFERROR(INDEX(Movimientos!$G$5:$G$2001,MATCH(A106&amp;"ENTRADA",Movimientos!$R$5:$R$2001,0)),"-")</f>
        <v>-</v>
      </c>
      <c r="G106" s="3" t="str">
        <f>IFERROR(INDEX(Movimientos!$L$5:$L$2001,MATCH(A106&amp;"ENTRADA",Movimientos!$R$5:$R$2001,0)),"-")</f>
        <v>-</v>
      </c>
      <c r="H106" s="19" t="str">
        <f>IFERROR(IF(INDEX(Movimientos!$M$5:$M$2001,MATCH(A106&amp;"ENTRADA",Movimientos!$R$5:$R$2001,0))=0,"S/D",INDEX(Movimientos!$M$5:$M$2001,MATCH(A106&amp;"ENTRADA",Movimientos!$R$5:$R$2001,0))),"S/D")</f>
        <v>S/D</v>
      </c>
      <c r="I106" s="16" t="str">
        <f t="shared" ca="1" si="4"/>
        <v>S/D</v>
      </c>
      <c r="J106" s="6">
        <f>IF(A106="","",SUMIFS(Movimientos!$K:$K,Movimientos!$H:$H,A106))</f>
        <v>0</v>
      </c>
      <c r="K106" s="14" t="str">
        <f t="shared" ca="1" si="5"/>
        <v>OK</v>
      </c>
    </row>
    <row r="107" spans="1:11">
      <c r="A107" s="18" t="s">
        <v>2180</v>
      </c>
      <c r="B107" s="3" t="str">
        <f>IFERROR(INDEX(Movimientos!$C$5:$C$2001,MATCH(A107&amp;"ENTRADA",Movimientos!$R$5:$R$2001,0)),"-")</f>
        <v>-</v>
      </c>
      <c r="C107" s="3" t="str">
        <f>IFERROR(INDEX(Movimientos!$D$5:$D$2001,MATCH(A107&amp;"ENTRADA",Movimientos!$R$5:$R$2001,0)),"-")</f>
        <v>-</v>
      </c>
      <c r="D107" s="3" t="str">
        <f>IFERROR(INDEX(Movimientos!$E$5:$E$2001,MATCH(A107&amp;"ENTRADA",Movimientos!$R$5:$R$2001,0)),"-")</f>
        <v>-</v>
      </c>
      <c r="E107" s="3" t="str">
        <f>IFERROR(INDEX(Movimientos!$F$5:$F$2001,MATCH(A107&amp;"ENTRADA",Movimientos!$R$5:$R$2001,0)),"-")</f>
        <v>-</v>
      </c>
      <c r="F107" s="3" t="str">
        <f>IFERROR(INDEX(Movimientos!$G$5:$G$2001,MATCH(A107&amp;"ENTRADA",Movimientos!$R$5:$R$2001,0)),"-")</f>
        <v>-</v>
      </c>
      <c r="G107" s="3" t="str">
        <f>IFERROR(INDEX(Movimientos!$L$5:$L$2001,MATCH(A107&amp;"ENTRADA",Movimientos!$R$5:$R$2001,0)),"-")</f>
        <v>-</v>
      </c>
      <c r="H107" s="19" t="str">
        <f>IFERROR(IF(INDEX(Movimientos!$M$5:$M$2001,MATCH(A107&amp;"ENTRADA",Movimientos!$R$5:$R$2001,0))=0,"S/D",INDEX(Movimientos!$M$5:$M$2001,MATCH(A107&amp;"ENTRADA",Movimientos!$R$5:$R$2001,0))),"S/D")</f>
        <v>S/D</v>
      </c>
      <c r="I107" s="16" t="str">
        <f t="shared" ca="1" si="4"/>
        <v>S/D</v>
      </c>
      <c r="J107" s="6">
        <f>IF(A107="","",SUMIFS(Movimientos!$K:$K,Movimientos!$H:$H,A107))</f>
        <v>0</v>
      </c>
      <c r="K107" s="14" t="str">
        <f t="shared" ca="1" si="5"/>
        <v>OK</v>
      </c>
    </row>
    <row r="108" spans="1:11">
      <c r="A108" s="18" t="s">
        <v>2181</v>
      </c>
      <c r="B108" s="3" t="str">
        <f>IFERROR(INDEX(Movimientos!$C$5:$C$2001,MATCH(A108&amp;"ENTRADA",Movimientos!$R$5:$R$2001,0)),"-")</f>
        <v>-</v>
      </c>
      <c r="C108" s="3" t="str">
        <f>IFERROR(INDEX(Movimientos!$D$5:$D$2001,MATCH(A108&amp;"ENTRADA",Movimientos!$R$5:$R$2001,0)),"-")</f>
        <v>-</v>
      </c>
      <c r="D108" s="3" t="str">
        <f>IFERROR(INDEX(Movimientos!$E$5:$E$2001,MATCH(A108&amp;"ENTRADA",Movimientos!$R$5:$R$2001,0)),"-")</f>
        <v>-</v>
      </c>
      <c r="E108" s="3" t="str">
        <f>IFERROR(INDEX(Movimientos!$F$5:$F$2001,MATCH(A108&amp;"ENTRADA",Movimientos!$R$5:$R$2001,0)),"-")</f>
        <v>-</v>
      </c>
      <c r="F108" s="3" t="str">
        <f>IFERROR(INDEX(Movimientos!$G$5:$G$2001,MATCH(A108&amp;"ENTRADA",Movimientos!$R$5:$R$2001,0)),"-")</f>
        <v>-</v>
      </c>
      <c r="G108" s="3" t="str">
        <f>IFERROR(INDEX(Movimientos!$L$5:$L$2001,MATCH(A108&amp;"ENTRADA",Movimientos!$R$5:$R$2001,0)),"-")</f>
        <v>-</v>
      </c>
      <c r="H108" s="19" t="str">
        <f>IFERROR(IF(INDEX(Movimientos!$M$5:$M$2001,MATCH(A108&amp;"ENTRADA",Movimientos!$R$5:$R$2001,0))=0,"S/D",INDEX(Movimientos!$M$5:$M$2001,MATCH(A108&amp;"ENTRADA",Movimientos!$R$5:$R$2001,0))),"S/D")</f>
        <v>S/D</v>
      </c>
      <c r="I108" s="16" t="str">
        <f t="shared" ca="1" si="4"/>
        <v>S/D</v>
      </c>
      <c r="J108" s="6">
        <f>IF(A108="","",SUMIFS(Movimientos!$K:$K,Movimientos!$H:$H,A108))</f>
        <v>0</v>
      </c>
      <c r="K108" s="14" t="str">
        <f t="shared" ca="1" si="5"/>
        <v>OK</v>
      </c>
    </row>
    <row r="109" spans="1:11">
      <c r="A109" s="18" t="s">
        <v>2182</v>
      </c>
      <c r="B109" s="3" t="str">
        <f>IFERROR(INDEX(Movimientos!$C$5:$C$2001,MATCH(A109&amp;"ENTRADA",Movimientos!$R$5:$R$2001,0)),"-")</f>
        <v>-</v>
      </c>
      <c r="C109" s="3" t="str">
        <f>IFERROR(INDEX(Movimientos!$D$5:$D$2001,MATCH(A109&amp;"ENTRADA",Movimientos!$R$5:$R$2001,0)),"-")</f>
        <v>-</v>
      </c>
      <c r="D109" s="3" t="str">
        <f>IFERROR(INDEX(Movimientos!$E$5:$E$2001,MATCH(A109&amp;"ENTRADA",Movimientos!$R$5:$R$2001,0)),"-")</f>
        <v>-</v>
      </c>
      <c r="E109" s="3" t="str">
        <f>IFERROR(INDEX(Movimientos!$F$5:$F$2001,MATCH(A109&amp;"ENTRADA",Movimientos!$R$5:$R$2001,0)),"-")</f>
        <v>-</v>
      </c>
      <c r="F109" s="3" t="str">
        <f>IFERROR(INDEX(Movimientos!$G$5:$G$2001,MATCH(A109&amp;"ENTRADA",Movimientos!$R$5:$R$2001,0)),"-")</f>
        <v>-</v>
      </c>
      <c r="G109" s="3" t="str">
        <f>IFERROR(INDEX(Movimientos!$L$5:$L$2001,MATCH(A109&amp;"ENTRADA",Movimientos!$R$5:$R$2001,0)),"-")</f>
        <v>-</v>
      </c>
      <c r="H109" s="19" t="str">
        <f>IFERROR(IF(INDEX(Movimientos!$M$5:$M$2001,MATCH(A109&amp;"ENTRADA",Movimientos!$R$5:$R$2001,0))=0,"S/D",INDEX(Movimientos!$M$5:$M$2001,MATCH(A109&amp;"ENTRADA",Movimientos!$R$5:$R$2001,0))),"S/D")</f>
        <v>S/D</v>
      </c>
      <c r="I109" s="16" t="str">
        <f t="shared" ca="1" si="4"/>
        <v>S/D</v>
      </c>
      <c r="J109" s="6">
        <f>IF(A109="","",SUMIFS(Movimientos!$K:$K,Movimientos!$H:$H,A109))</f>
        <v>0</v>
      </c>
      <c r="K109" s="14" t="str">
        <f t="shared" ca="1" si="5"/>
        <v>OK</v>
      </c>
    </row>
    <row r="110" spans="1:11">
      <c r="A110" s="18" t="s">
        <v>2183</v>
      </c>
      <c r="B110" s="3" t="str">
        <f>IFERROR(INDEX(Movimientos!$C$5:$C$2001,MATCH(A110&amp;"ENTRADA",Movimientos!$R$5:$R$2001,0)),"-")</f>
        <v>-</v>
      </c>
      <c r="C110" s="3" t="str">
        <f>IFERROR(INDEX(Movimientos!$D$5:$D$2001,MATCH(A110&amp;"ENTRADA",Movimientos!$R$5:$R$2001,0)),"-")</f>
        <v>-</v>
      </c>
      <c r="D110" s="3" t="str">
        <f>IFERROR(INDEX(Movimientos!$E$5:$E$2001,MATCH(A110&amp;"ENTRADA",Movimientos!$R$5:$R$2001,0)),"-")</f>
        <v>-</v>
      </c>
      <c r="E110" s="3" t="str">
        <f>IFERROR(INDEX(Movimientos!$F$5:$F$2001,MATCH(A110&amp;"ENTRADA",Movimientos!$R$5:$R$2001,0)),"-")</f>
        <v>-</v>
      </c>
      <c r="F110" s="3" t="str">
        <f>IFERROR(INDEX(Movimientos!$G$5:$G$2001,MATCH(A110&amp;"ENTRADA",Movimientos!$R$5:$R$2001,0)),"-")</f>
        <v>-</v>
      </c>
      <c r="G110" s="3" t="str">
        <f>IFERROR(INDEX(Movimientos!$L$5:$L$2001,MATCH(A110&amp;"ENTRADA",Movimientos!$R$5:$R$2001,0)),"-")</f>
        <v>-</v>
      </c>
      <c r="H110" s="19" t="str">
        <f>IFERROR(IF(INDEX(Movimientos!$M$5:$M$2001,MATCH(A110&amp;"ENTRADA",Movimientos!$R$5:$R$2001,0))=0,"S/D",INDEX(Movimientos!$M$5:$M$2001,MATCH(A110&amp;"ENTRADA",Movimientos!$R$5:$R$2001,0))),"S/D")</f>
        <v>S/D</v>
      </c>
      <c r="I110" s="16" t="str">
        <f t="shared" ca="1" si="4"/>
        <v>S/D</v>
      </c>
      <c r="J110" s="6">
        <f>IF(A110="","",SUMIFS(Movimientos!$K:$K,Movimientos!$H:$H,A110))</f>
        <v>0</v>
      </c>
      <c r="K110" s="14" t="str">
        <f t="shared" ca="1" si="5"/>
        <v>OK</v>
      </c>
    </row>
    <row r="111" spans="1:11">
      <c r="A111" s="18" t="s">
        <v>2184</v>
      </c>
      <c r="B111" s="3" t="str">
        <f>IFERROR(INDEX(Movimientos!$C$5:$C$2001,MATCH(A111&amp;"ENTRADA",Movimientos!$R$5:$R$2001,0)),"-")</f>
        <v>-</v>
      </c>
      <c r="C111" s="3" t="str">
        <f>IFERROR(INDEX(Movimientos!$D$5:$D$2001,MATCH(A111&amp;"ENTRADA",Movimientos!$R$5:$R$2001,0)),"-")</f>
        <v>-</v>
      </c>
      <c r="D111" s="3" t="str">
        <f>IFERROR(INDEX(Movimientos!$E$5:$E$2001,MATCH(A111&amp;"ENTRADA",Movimientos!$R$5:$R$2001,0)),"-")</f>
        <v>-</v>
      </c>
      <c r="E111" s="3" t="str">
        <f>IFERROR(INDEX(Movimientos!$F$5:$F$2001,MATCH(A111&amp;"ENTRADA",Movimientos!$R$5:$R$2001,0)),"-")</f>
        <v>-</v>
      </c>
      <c r="F111" s="3" t="str">
        <f>IFERROR(INDEX(Movimientos!$G$5:$G$2001,MATCH(A111&amp;"ENTRADA",Movimientos!$R$5:$R$2001,0)),"-")</f>
        <v>-</v>
      </c>
      <c r="G111" s="3" t="str">
        <f>IFERROR(INDEX(Movimientos!$L$5:$L$2001,MATCH(A111&amp;"ENTRADA",Movimientos!$R$5:$R$2001,0)),"-")</f>
        <v>-</v>
      </c>
      <c r="H111" s="19" t="str">
        <f>IFERROR(IF(INDEX(Movimientos!$M$5:$M$2001,MATCH(A111&amp;"ENTRADA",Movimientos!$R$5:$R$2001,0))=0,"S/D",INDEX(Movimientos!$M$5:$M$2001,MATCH(A111&amp;"ENTRADA",Movimientos!$R$5:$R$2001,0))),"S/D")</f>
        <v>S/D</v>
      </c>
      <c r="I111" s="16" t="str">
        <f t="shared" ca="1" si="4"/>
        <v>S/D</v>
      </c>
      <c r="J111" s="6">
        <f>IF(A111="","",SUMIFS(Movimientos!$K:$K,Movimientos!$H:$H,A111))</f>
        <v>0</v>
      </c>
      <c r="K111" s="14" t="str">
        <f t="shared" ca="1" si="5"/>
        <v>OK</v>
      </c>
    </row>
    <row r="112" spans="1:11">
      <c r="A112" s="18" t="s">
        <v>2185</v>
      </c>
      <c r="B112" s="3" t="str">
        <f>IFERROR(INDEX(Movimientos!$C$5:$C$2001,MATCH(A112&amp;"ENTRADA",Movimientos!$R$5:$R$2001,0)),"-")</f>
        <v>-</v>
      </c>
      <c r="C112" s="3" t="str">
        <f>IFERROR(INDEX(Movimientos!$D$5:$D$2001,MATCH(A112&amp;"ENTRADA",Movimientos!$R$5:$R$2001,0)),"-")</f>
        <v>-</v>
      </c>
      <c r="D112" s="3" t="str">
        <f>IFERROR(INDEX(Movimientos!$E$5:$E$2001,MATCH(A112&amp;"ENTRADA",Movimientos!$R$5:$R$2001,0)),"-")</f>
        <v>-</v>
      </c>
      <c r="E112" s="3" t="str">
        <f>IFERROR(INDEX(Movimientos!$F$5:$F$2001,MATCH(A112&amp;"ENTRADA",Movimientos!$R$5:$R$2001,0)),"-")</f>
        <v>-</v>
      </c>
      <c r="F112" s="3" t="str">
        <f>IFERROR(INDEX(Movimientos!$G$5:$G$2001,MATCH(A112&amp;"ENTRADA",Movimientos!$R$5:$R$2001,0)),"-")</f>
        <v>-</v>
      </c>
      <c r="G112" s="3" t="str">
        <f>IFERROR(INDEX(Movimientos!$L$5:$L$2001,MATCH(A112&amp;"ENTRADA",Movimientos!$R$5:$R$2001,0)),"-")</f>
        <v>-</v>
      </c>
      <c r="H112" s="19" t="str">
        <f>IFERROR(IF(INDEX(Movimientos!$M$5:$M$2001,MATCH(A112&amp;"ENTRADA",Movimientos!$R$5:$R$2001,0))=0,"S/D",INDEX(Movimientos!$M$5:$M$2001,MATCH(A112&amp;"ENTRADA",Movimientos!$R$5:$R$2001,0))),"S/D")</f>
        <v>S/D</v>
      </c>
      <c r="I112" s="16" t="str">
        <f t="shared" ca="1" si="4"/>
        <v>S/D</v>
      </c>
      <c r="J112" s="6">
        <f>IF(A112="","",SUMIFS(Movimientos!$K:$K,Movimientos!$H:$H,A112))</f>
        <v>0</v>
      </c>
      <c r="K112" s="14" t="str">
        <f t="shared" ca="1" si="5"/>
        <v>OK</v>
      </c>
    </row>
    <row r="113" spans="1:11">
      <c r="A113" s="18" t="s">
        <v>2186</v>
      </c>
      <c r="B113" s="3" t="str">
        <f>IFERROR(INDEX(Movimientos!$C$5:$C$2001,MATCH(A113&amp;"ENTRADA",Movimientos!$R$5:$R$2001,0)),"-")</f>
        <v>-</v>
      </c>
      <c r="C113" s="3" t="str">
        <f>IFERROR(INDEX(Movimientos!$D$5:$D$2001,MATCH(A113&amp;"ENTRADA",Movimientos!$R$5:$R$2001,0)),"-")</f>
        <v>-</v>
      </c>
      <c r="D113" s="3" t="str">
        <f>IFERROR(INDEX(Movimientos!$E$5:$E$2001,MATCH(A113&amp;"ENTRADA",Movimientos!$R$5:$R$2001,0)),"-")</f>
        <v>-</v>
      </c>
      <c r="E113" s="3" t="str">
        <f>IFERROR(INDEX(Movimientos!$F$5:$F$2001,MATCH(A113&amp;"ENTRADA",Movimientos!$R$5:$R$2001,0)),"-")</f>
        <v>-</v>
      </c>
      <c r="F113" s="3" t="str">
        <f>IFERROR(INDEX(Movimientos!$G$5:$G$2001,MATCH(A113&amp;"ENTRADA",Movimientos!$R$5:$R$2001,0)),"-")</f>
        <v>-</v>
      </c>
      <c r="G113" s="3" t="str">
        <f>IFERROR(INDEX(Movimientos!$L$5:$L$2001,MATCH(A113&amp;"ENTRADA",Movimientos!$R$5:$R$2001,0)),"-")</f>
        <v>-</v>
      </c>
      <c r="H113" s="19" t="str">
        <f>IFERROR(IF(INDEX(Movimientos!$M$5:$M$2001,MATCH(A113&amp;"ENTRADA",Movimientos!$R$5:$R$2001,0))=0,"S/D",INDEX(Movimientos!$M$5:$M$2001,MATCH(A113&amp;"ENTRADA",Movimientos!$R$5:$R$2001,0))),"S/D")</f>
        <v>S/D</v>
      </c>
      <c r="I113" s="16" t="str">
        <f t="shared" ca="1" si="4"/>
        <v>S/D</v>
      </c>
      <c r="J113" s="6">
        <f>IF(A113="","",SUMIFS(Movimientos!$K:$K,Movimientos!$H:$H,A113))</f>
        <v>0</v>
      </c>
      <c r="K113" s="14" t="str">
        <f t="shared" ca="1" si="5"/>
        <v>OK</v>
      </c>
    </row>
    <row r="114" spans="1:11">
      <c r="A114" s="18" t="s">
        <v>2187</v>
      </c>
      <c r="B114" s="3" t="str">
        <f>IFERROR(INDEX(Movimientos!$C$5:$C$2001,MATCH(A114&amp;"ENTRADA",Movimientos!$R$5:$R$2001,0)),"-")</f>
        <v>-</v>
      </c>
      <c r="C114" s="3" t="str">
        <f>IFERROR(INDEX(Movimientos!$D$5:$D$2001,MATCH(A114&amp;"ENTRADA",Movimientos!$R$5:$R$2001,0)),"-")</f>
        <v>-</v>
      </c>
      <c r="D114" s="3" t="str">
        <f>IFERROR(INDEX(Movimientos!$E$5:$E$2001,MATCH(A114&amp;"ENTRADA",Movimientos!$R$5:$R$2001,0)),"-")</f>
        <v>-</v>
      </c>
      <c r="E114" s="3" t="str">
        <f>IFERROR(INDEX(Movimientos!$F$5:$F$2001,MATCH(A114&amp;"ENTRADA",Movimientos!$R$5:$R$2001,0)),"-")</f>
        <v>-</v>
      </c>
      <c r="F114" s="3" t="str">
        <f>IFERROR(INDEX(Movimientos!$G$5:$G$2001,MATCH(A114&amp;"ENTRADA",Movimientos!$R$5:$R$2001,0)),"-")</f>
        <v>-</v>
      </c>
      <c r="G114" s="3" t="str">
        <f>IFERROR(INDEX(Movimientos!$L$5:$L$2001,MATCH(A114&amp;"ENTRADA",Movimientos!$R$5:$R$2001,0)),"-")</f>
        <v>-</v>
      </c>
      <c r="H114" s="19" t="str">
        <f>IFERROR(IF(INDEX(Movimientos!$M$5:$M$2001,MATCH(A114&amp;"ENTRADA",Movimientos!$R$5:$R$2001,0))=0,"S/D",INDEX(Movimientos!$M$5:$M$2001,MATCH(A114&amp;"ENTRADA",Movimientos!$R$5:$R$2001,0))),"S/D")</f>
        <v>S/D</v>
      </c>
      <c r="I114" s="16" t="str">
        <f t="shared" ca="1" si="4"/>
        <v>S/D</v>
      </c>
      <c r="J114" s="6">
        <f>IF(A114="","",SUMIFS(Movimientos!$K:$K,Movimientos!$H:$H,A114))</f>
        <v>0</v>
      </c>
      <c r="K114" s="14" t="str">
        <f t="shared" ca="1" si="5"/>
        <v>OK</v>
      </c>
    </row>
    <row r="115" spans="1:11">
      <c r="A115" s="18" t="s">
        <v>2188</v>
      </c>
      <c r="B115" s="3" t="str">
        <f>IFERROR(INDEX(Movimientos!$C$5:$C$2001,MATCH(A115&amp;"ENTRADA",Movimientos!$R$5:$R$2001,0)),"-")</f>
        <v>-</v>
      </c>
      <c r="C115" s="3" t="str">
        <f>IFERROR(INDEX(Movimientos!$D$5:$D$2001,MATCH(A115&amp;"ENTRADA",Movimientos!$R$5:$R$2001,0)),"-")</f>
        <v>-</v>
      </c>
      <c r="D115" s="3" t="str">
        <f>IFERROR(INDEX(Movimientos!$E$5:$E$2001,MATCH(A115&amp;"ENTRADA",Movimientos!$R$5:$R$2001,0)),"-")</f>
        <v>-</v>
      </c>
      <c r="E115" s="3" t="str">
        <f>IFERROR(INDEX(Movimientos!$F$5:$F$2001,MATCH(A115&amp;"ENTRADA",Movimientos!$R$5:$R$2001,0)),"-")</f>
        <v>-</v>
      </c>
      <c r="F115" s="3" t="str">
        <f>IFERROR(INDEX(Movimientos!$G$5:$G$2001,MATCH(A115&amp;"ENTRADA",Movimientos!$R$5:$R$2001,0)),"-")</f>
        <v>-</v>
      </c>
      <c r="G115" s="3" t="str">
        <f>IFERROR(INDEX(Movimientos!$L$5:$L$2001,MATCH(A115&amp;"ENTRADA",Movimientos!$R$5:$R$2001,0)),"-")</f>
        <v>-</v>
      </c>
      <c r="H115" s="19" t="str">
        <f>IFERROR(IF(INDEX(Movimientos!$M$5:$M$2001,MATCH(A115&amp;"ENTRADA",Movimientos!$R$5:$R$2001,0))=0,"S/D",INDEX(Movimientos!$M$5:$M$2001,MATCH(A115&amp;"ENTRADA",Movimientos!$R$5:$R$2001,0))),"S/D")</f>
        <v>S/D</v>
      </c>
      <c r="I115" s="16" t="str">
        <f t="shared" ca="1" si="4"/>
        <v>S/D</v>
      </c>
      <c r="J115" s="6">
        <f>IF(A115="","",SUMIFS(Movimientos!$K:$K,Movimientos!$H:$H,A115))</f>
        <v>0</v>
      </c>
      <c r="K115" s="14" t="str">
        <f t="shared" ca="1" si="5"/>
        <v>OK</v>
      </c>
    </row>
    <row r="116" spans="1:11">
      <c r="A116" s="18" t="s">
        <v>2189</v>
      </c>
      <c r="B116" s="3" t="str">
        <f>IFERROR(INDEX(Movimientos!$C$5:$C$2001,MATCH(A116&amp;"ENTRADA",Movimientos!$R$5:$R$2001,0)),"-")</f>
        <v>-</v>
      </c>
      <c r="C116" s="3" t="str">
        <f>IFERROR(INDEX(Movimientos!$D$5:$D$2001,MATCH(A116&amp;"ENTRADA",Movimientos!$R$5:$R$2001,0)),"-")</f>
        <v>-</v>
      </c>
      <c r="D116" s="3" t="str">
        <f>IFERROR(INDEX(Movimientos!$E$5:$E$2001,MATCH(A116&amp;"ENTRADA",Movimientos!$R$5:$R$2001,0)),"-")</f>
        <v>-</v>
      </c>
      <c r="E116" s="3" t="str">
        <f>IFERROR(INDEX(Movimientos!$F$5:$F$2001,MATCH(A116&amp;"ENTRADA",Movimientos!$R$5:$R$2001,0)),"-")</f>
        <v>-</v>
      </c>
      <c r="F116" s="3" t="str">
        <f>IFERROR(INDEX(Movimientos!$G$5:$G$2001,MATCH(A116&amp;"ENTRADA",Movimientos!$R$5:$R$2001,0)),"-")</f>
        <v>-</v>
      </c>
      <c r="G116" s="3" t="str">
        <f>IFERROR(INDEX(Movimientos!$L$5:$L$2001,MATCH(A116&amp;"ENTRADA",Movimientos!$R$5:$R$2001,0)),"-")</f>
        <v>-</v>
      </c>
      <c r="H116" s="19" t="str">
        <f>IFERROR(IF(INDEX(Movimientos!$M$5:$M$2001,MATCH(A116&amp;"ENTRADA",Movimientos!$R$5:$R$2001,0))=0,"S/D",INDEX(Movimientos!$M$5:$M$2001,MATCH(A116&amp;"ENTRADA",Movimientos!$R$5:$R$2001,0))),"S/D")</f>
        <v>S/D</v>
      </c>
      <c r="I116" s="16" t="str">
        <f t="shared" ca="1" si="4"/>
        <v>S/D</v>
      </c>
      <c r="J116" s="6">
        <f>IF(A116="","",SUMIFS(Movimientos!$K:$K,Movimientos!$H:$H,A116))</f>
        <v>0</v>
      </c>
      <c r="K116" s="14" t="str">
        <f t="shared" ca="1" si="5"/>
        <v>OK</v>
      </c>
    </row>
    <row r="117" spans="1:11">
      <c r="A117" s="18" t="s">
        <v>2190</v>
      </c>
      <c r="B117" s="3" t="str">
        <f>IFERROR(INDEX(Movimientos!$C$5:$C$2001,MATCH(A117&amp;"ENTRADA",Movimientos!$R$5:$R$2001,0)),"-")</f>
        <v>-</v>
      </c>
      <c r="C117" s="3" t="str">
        <f>IFERROR(INDEX(Movimientos!$D$5:$D$2001,MATCH(A117&amp;"ENTRADA",Movimientos!$R$5:$R$2001,0)),"-")</f>
        <v>-</v>
      </c>
      <c r="D117" s="3" t="str">
        <f>IFERROR(INDEX(Movimientos!$E$5:$E$2001,MATCH(A117&amp;"ENTRADA",Movimientos!$R$5:$R$2001,0)),"-")</f>
        <v>-</v>
      </c>
      <c r="E117" s="3" t="str">
        <f>IFERROR(INDEX(Movimientos!$F$5:$F$2001,MATCH(A117&amp;"ENTRADA",Movimientos!$R$5:$R$2001,0)),"-")</f>
        <v>-</v>
      </c>
      <c r="F117" s="3" t="str">
        <f>IFERROR(INDEX(Movimientos!$G$5:$G$2001,MATCH(A117&amp;"ENTRADA",Movimientos!$R$5:$R$2001,0)),"-")</f>
        <v>-</v>
      </c>
      <c r="G117" s="3" t="str">
        <f>IFERROR(INDEX(Movimientos!$L$5:$L$2001,MATCH(A117&amp;"ENTRADA",Movimientos!$R$5:$R$2001,0)),"-")</f>
        <v>-</v>
      </c>
      <c r="H117" s="19" t="str">
        <f>IFERROR(IF(INDEX(Movimientos!$M$5:$M$2001,MATCH(A117&amp;"ENTRADA",Movimientos!$R$5:$R$2001,0))=0,"S/D",INDEX(Movimientos!$M$5:$M$2001,MATCH(A117&amp;"ENTRADA",Movimientos!$R$5:$R$2001,0))),"S/D")</f>
        <v>S/D</v>
      </c>
      <c r="I117" s="16" t="str">
        <f t="shared" ca="1" si="4"/>
        <v>S/D</v>
      </c>
      <c r="J117" s="6">
        <f>IF(A117="","",SUMIFS(Movimientos!$K:$K,Movimientos!$H:$H,A117))</f>
        <v>0</v>
      </c>
      <c r="K117" s="14" t="str">
        <f t="shared" ca="1" si="5"/>
        <v>OK</v>
      </c>
    </row>
    <row r="118" spans="1:11">
      <c r="A118" s="18" t="s">
        <v>2191</v>
      </c>
      <c r="B118" s="3" t="str">
        <f>IFERROR(INDEX(Movimientos!$C$5:$C$2001,MATCH(A118&amp;"ENTRADA",Movimientos!$R$5:$R$2001,0)),"-")</f>
        <v>-</v>
      </c>
      <c r="C118" s="3" t="str">
        <f>IFERROR(INDEX(Movimientos!$D$5:$D$2001,MATCH(A118&amp;"ENTRADA",Movimientos!$R$5:$R$2001,0)),"-")</f>
        <v>-</v>
      </c>
      <c r="D118" s="3" t="str">
        <f>IFERROR(INDEX(Movimientos!$E$5:$E$2001,MATCH(A118&amp;"ENTRADA",Movimientos!$R$5:$R$2001,0)),"-")</f>
        <v>-</v>
      </c>
      <c r="E118" s="3" t="str">
        <f>IFERROR(INDEX(Movimientos!$F$5:$F$2001,MATCH(A118&amp;"ENTRADA",Movimientos!$R$5:$R$2001,0)),"-")</f>
        <v>-</v>
      </c>
      <c r="F118" s="3" t="str">
        <f>IFERROR(INDEX(Movimientos!$G$5:$G$2001,MATCH(A118&amp;"ENTRADA",Movimientos!$R$5:$R$2001,0)),"-")</f>
        <v>-</v>
      </c>
      <c r="G118" s="3" t="str">
        <f>IFERROR(INDEX(Movimientos!$L$5:$L$2001,MATCH(A118&amp;"ENTRADA",Movimientos!$R$5:$R$2001,0)),"-")</f>
        <v>-</v>
      </c>
      <c r="H118" s="19" t="str">
        <f>IFERROR(IF(INDEX(Movimientos!$M$5:$M$2001,MATCH(A118&amp;"ENTRADA",Movimientos!$R$5:$R$2001,0))=0,"S/D",INDEX(Movimientos!$M$5:$M$2001,MATCH(A118&amp;"ENTRADA",Movimientos!$R$5:$R$2001,0))),"S/D")</f>
        <v>S/D</v>
      </c>
      <c r="I118" s="16" t="str">
        <f t="shared" ca="1" si="4"/>
        <v>S/D</v>
      </c>
      <c r="J118" s="6">
        <f>IF(A118="","",SUMIFS(Movimientos!$K:$K,Movimientos!$H:$H,A118))</f>
        <v>0</v>
      </c>
      <c r="K118" s="14" t="str">
        <f t="shared" ca="1" si="5"/>
        <v>OK</v>
      </c>
    </row>
    <row r="119" spans="1:11">
      <c r="A119" s="18" t="s">
        <v>2192</v>
      </c>
      <c r="B119" s="3" t="str">
        <f>IFERROR(INDEX(Movimientos!$C$5:$C$2001,MATCH(A119&amp;"ENTRADA",Movimientos!$R$5:$R$2001,0)),"-")</f>
        <v>-</v>
      </c>
      <c r="C119" s="3" t="str">
        <f>IFERROR(INDEX(Movimientos!$D$5:$D$2001,MATCH(A119&amp;"ENTRADA",Movimientos!$R$5:$R$2001,0)),"-")</f>
        <v>-</v>
      </c>
      <c r="D119" s="3" t="str">
        <f>IFERROR(INDEX(Movimientos!$E$5:$E$2001,MATCH(A119&amp;"ENTRADA",Movimientos!$R$5:$R$2001,0)),"-")</f>
        <v>-</v>
      </c>
      <c r="E119" s="3" t="str">
        <f>IFERROR(INDEX(Movimientos!$F$5:$F$2001,MATCH(A119&amp;"ENTRADA",Movimientos!$R$5:$R$2001,0)),"-")</f>
        <v>-</v>
      </c>
      <c r="F119" s="3" t="str">
        <f>IFERROR(INDEX(Movimientos!$G$5:$G$2001,MATCH(A119&amp;"ENTRADA",Movimientos!$R$5:$R$2001,0)),"-")</f>
        <v>-</v>
      </c>
      <c r="G119" s="3" t="str">
        <f>IFERROR(INDEX(Movimientos!$L$5:$L$2001,MATCH(A119&amp;"ENTRADA",Movimientos!$R$5:$R$2001,0)),"-")</f>
        <v>-</v>
      </c>
      <c r="H119" s="19" t="str">
        <f>IFERROR(IF(INDEX(Movimientos!$M$5:$M$2001,MATCH(A119&amp;"ENTRADA",Movimientos!$R$5:$R$2001,0))=0,"S/D",INDEX(Movimientos!$M$5:$M$2001,MATCH(A119&amp;"ENTRADA",Movimientos!$R$5:$R$2001,0))),"S/D")</f>
        <v>S/D</v>
      </c>
      <c r="I119" s="16" t="str">
        <f t="shared" ca="1" si="4"/>
        <v>S/D</v>
      </c>
      <c r="J119" s="6">
        <f>IF(A119="","",SUMIFS(Movimientos!$K:$K,Movimientos!$H:$H,A119))</f>
        <v>0</v>
      </c>
      <c r="K119" s="14" t="str">
        <f t="shared" ca="1" si="5"/>
        <v>OK</v>
      </c>
    </row>
    <row r="120" spans="1:11">
      <c r="A120" s="18" t="s">
        <v>2193</v>
      </c>
      <c r="B120" s="3" t="str">
        <f>IFERROR(INDEX(Movimientos!$C$5:$C$2001,MATCH(A120&amp;"ENTRADA",Movimientos!$R$5:$R$2001,0)),"-")</f>
        <v>-</v>
      </c>
      <c r="C120" s="3" t="str">
        <f>IFERROR(INDEX(Movimientos!$D$5:$D$2001,MATCH(A120&amp;"ENTRADA",Movimientos!$R$5:$R$2001,0)),"-")</f>
        <v>-</v>
      </c>
      <c r="D120" s="3" t="str">
        <f>IFERROR(INDEX(Movimientos!$E$5:$E$2001,MATCH(A120&amp;"ENTRADA",Movimientos!$R$5:$R$2001,0)),"-")</f>
        <v>-</v>
      </c>
      <c r="E120" s="3" t="str">
        <f>IFERROR(INDEX(Movimientos!$F$5:$F$2001,MATCH(A120&amp;"ENTRADA",Movimientos!$R$5:$R$2001,0)),"-")</f>
        <v>-</v>
      </c>
      <c r="F120" s="3" t="str">
        <f>IFERROR(INDEX(Movimientos!$G$5:$G$2001,MATCH(A120&amp;"ENTRADA",Movimientos!$R$5:$R$2001,0)),"-")</f>
        <v>-</v>
      </c>
      <c r="G120" s="3" t="str">
        <f>IFERROR(INDEX(Movimientos!$L$5:$L$2001,MATCH(A120&amp;"ENTRADA",Movimientos!$R$5:$R$2001,0)),"-")</f>
        <v>-</v>
      </c>
      <c r="H120" s="19" t="str">
        <f>IFERROR(IF(INDEX(Movimientos!$M$5:$M$2001,MATCH(A120&amp;"ENTRADA",Movimientos!$R$5:$R$2001,0))=0,"S/D",INDEX(Movimientos!$M$5:$M$2001,MATCH(A120&amp;"ENTRADA",Movimientos!$R$5:$R$2001,0))),"S/D")</f>
        <v>S/D</v>
      </c>
      <c r="I120" s="16" t="str">
        <f t="shared" ca="1" si="4"/>
        <v>S/D</v>
      </c>
      <c r="J120" s="6">
        <f>IF(A120="","",SUMIFS(Movimientos!$K:$K,Movimientos!$H:$H,A120))</f>
        <v>0</v>
      </c>
      <c r="K120" s="14" t="str">
        <f t="shared" ca="1" si="5"/>
        <v>OK</v>
      </c>
    </row>
    <row r="121" spans="1:11">
      <c r="A121" s="18" t="s">
        <v>2194</v>
      </c>
      <c r="B121" s="3" t="str">
        <f>IFERROR(INDEX(Movimientos!$C$5:$C$2001,MATCH(A121&amp;"ENTRADA",Movimientos!$R$5:$R$2001,0)),"-")</f>
        <v>-</v>
      </c>
      <c r="C121" s="3" t="str">
        <f>IFERROR(INDEX(Movimientos!$D$5:$D$2001,MATCH(A121&amp;"ENTRADA",Movimientos!$R$5:$R$2001,0)),"-")</f>
        <v>-</v>
      </c>
      <c r="D121" s="3" t="str">
        <f>IFERROR(INDEX(Movimientos!$E$5:$E$2001,MATCH(A121&amp;"ENTRADA",Movimientos!$R$5:$R$2001,0)),"-")</f>
        <v>-</v>
      </c>
      <c r="E121" s="3" t="str">
        <f>IFERROR(INDEX(Movimientos!$F$5:$F$2001,MATCH(A121&amp;"ENTRADA",Movimientos!$R$5:$R$2001,0)),"-")</f>
        <v>-</v>
      </c>
      <c r="F121" s="3" t="str">
        <f>IFERROR(INDEX(Movimientos!$G$5:$G$2001,MATCH(A121&amp;"ENTRADA",Movimientos!$R$5:$R$2001,0)),"-")</f>
        <v>-</v>
      </c>
      <c r="G121" s="3" t="str">
        <f>IFERROR(INDEX(Movimientos!$L$5:$L$2001,MATCH(A121&amp;"ENTRADA",Movimientos!$R$5:$R$2001,0)),"-")</f>
        <v>-</v>
      </c>
      <c r="H121" s="19" t="str">
        <f>IFERROR(IF(INDEX(Movimientos!$M$5:$M$2001,MATCH(A121&amp;"ENTRADA",Movimientos!$R$5:$R$2001,0))=0,"S/D",INDEX(Movimientos!$M$5:$M$2001,MATCH(A121&amp;"ENTRADA",Movimientos!$R$5:$R$2001,0))),"S/D")</f>
        <v>S/D</v>
      </c>
      <c r="I121" s="16" t="str">
        <f t="shared" ca="1" si="4"/>
        <v>S/D</v>
      </c>
      <c r="J121" s="6">
        <f>IF(A121="","",SUMIFS(Movimientos!$K:$K,Movimientos!$H:$H,A121))</f>
        <v>0</v>
      </c>
      <c r="K121" s="14" t="str">
        <f t="shared" ca="1" si="5"/>
        <v>OK</v>
      </c>
    </row>
    <row r="122" spans="1:11">
      <c r="A122" s="18" t="s">
        <v>2195</v>
      </c>
      <c r="B122" s="3" t="str">
        <f>IFERROR(INDEX(Movimientos!$C$5:$C$2001,MATCH(A122&amp;"ENTRADA",Movimientos!$R$5:$R$2001,0)),"-")</f>
        <v>-</v>
      </c>
      <c r="C122" s="3" t="str">
        <f>IFERROR(INDEX(Movimientos!$D$5:$D$2001,MATCH(A122&amp;"ENTRADA",Movimientos!$R$5:$R$2001,0)),"-")</f>
        <v>-</v>
      </c>
      <c r="D122" s="3" t="str">
        <f>IFERROR(INDEX(Movimientos!$E$5:$E$2001,MATCH(A122&amp;"ENTRADA",Movimientos!$R$5:$R$2001,0)),"-")</f>
        <v>-</v>
      </c>
      <c r="E122" s="3" t="str">
        <f>IFERROR(INDEX(Movimientos!$F$5:$F$2001,MATCH(A122&amp;"ENTRADA",Movimientos!$R$5:$R$2001,0)),"-")</f>
        <v>-</v>
      </c>
      <c r="F122" s="3" t="str">
        <f>IFERROR(INDEX(Movimientos!$G$5:$G$2001,MATCH(A122&amp;"ENTRADA",Movimientos!$R$5:$R$2001,0)),"-")</f>
        <v>-</v>
      </c>
      <c r="G122" s="3" t="str">
        <f>IFERROR(INDEX(Movimientos!$L$5:$L$2001,MATCH(A122&amp;"ENTRADA",Movimientos!$R$5:$R$2001,0)),"-")</f>
        <v>-</v>
      </c>
      <c r="H122" s="19" t="str">
        <f>IFERROR(IF(INDEX(Movimientos!$M$5:$M$2001,MATCH(A122&amp;"ENTRADA",Movimientos!$R$5:$R$2001,0))=0,"S/D",INDEX(Movimientos!$M$5:$M$2001,MATCH(A122&amp;"ENTRADA",Movimientos!$R$5:$R$2001,0))),"S/D")</f>
        <v>S/D</v>
      </c>
      <c r="I122" s="16" t="str">
        <f t="shared" ca="1" si="4"/>
        <v>S/D</v>
      </c>
      <c r="J122" s="6">
        <f>IF(A122="","",SUMIFS(Movimientos!$K:$K,Movimientos!$H:$H,A122))</f>
        <v>0</v>
      </c>
      <c r="K122" s="14" t="str">
        <f t="shared" ca="1" si="5"/>
        <v>OK</v>
      </c>
    </row>
    <row r="123" spans="1:11">
      <c r="A123" s="18" t="s">
        <v>2196</v>
      </c>
      <c r="B123" s="3" t="str">
        <f>IFERROR(INDEX(Movimientos!$C$5:$C$2001,MATCH(A123&amp;"ENTRADA",Movimientos!$R$5:$R$2001,0)),"-")</f>
        <v>-</v>
      </c>
      <c r="C123" s="3" t="str">
        <f>IFERROR(INDEX(Movimientos!$D$5:$D$2001,MATCH(A123&amp;"ENTRADA",Movimientos!$R$5:$R$2001,0)),"-")</f>
        <v>-</v>
      </c>
      <c r="D123" s="3" t="str">
        <f>IFERROR(INDEX(Movimientos!$E$5:$E$2001,MATCH(A123&amp;"ENTRADA",Movimientos!$R$5:$R$2001,0)),"-")</f>
        <v>-</v>
      </c>
      <c r="E123" s="3" t="str">
        <f>IFERROR(INDEX(Movimientos!$F$5:$F$2001,MATCH(A123&amp;"ENTRADA",Movimientos!$R$5:$R$2001,0)),"-")</f>
        <v>-</v>
      </c>
      <c r="F123" s="3" t="str">
        <f>IFERROR(INDEX(Movimientos!$G$5:$G$2001,MATCH(A123&amp;"ENTRADA",Movimientos!$R$5:$R$2001,0)),"-")</f>
        <v>-</v>
      </c>
      <c r="G123" s="3" t="str">
        <f>IFERROR(INDEX(Movimientos!$L$5:$L$2001,MATCH(A123&amp;"ENTRADA",Movimientos!$R$5:$R$2001,0)),"-")</f>
        <v>-</v>
      </c>
      <c r="H123" s="19" t="str">
        <f>IFERROR(IF(INDEX(Movimientos!$M$5:$M$2001,MATCH(A123&amp;"ENTRADA",Movimientos!$R$5:$R$2001,0))=0,"S/D",INDEX(Movimientos!$M$5:$M$2001,MATCH(A123&amp;"ENTRADA",Movimientos!$R$5:$R$2001,0))),"S/D")</f>
        <v>S/D</v>
      </c>
      <c r="I123" s="16" t="str">
        <f t="shared" ca="1" si="4"/>
        <v>S/D</v>
      </c>
      <c r="J123" s="6">
        <f>IF(A123="","",SUMIFS(Movimientos!$K:$K,Movimientos!$H:$H,A123))</f>
        <v>0</v>
      </c>
      <c r="K123" s="14" t="str">
        <f t="shared" ca="1" si="5"/>
        <v>OK</v>
      </c>
    </row>
    <row r="124" spans="1:11">
      <c r="A124" s="18" t="s">
        <v>2197</v>
      </c>
      <c r="B124" s="3" t="str">
        <f>IFERROR(INDEX(Movimientos!$C$5:$C$2001,MATCH(A124&amp;"ENTRADA",Movimientos!$R$5:$R$2001,0)),"-")</f>
        <v>-</v>
      </c>
      <c r="C124" s="3" t="str">
        <f>IFERROR(INDEX(Movimientos!$D$5:$D$2001,MATCH(A124&amp;"ENTRADA",Movimientos!$R$5:$R$2001,0)),"-")</f>
        <v>-</v>
      </c>
      <c r="D124" s="3" t="str">
        <f>IFERROR(INDEX(Movimientos!$E$5:$E$2001,MATCH(A124&amp;"ENTRADA",Movimientos!$R$5:$R$2001,0)),"-")</f>
        <v>-</v>
      </c>
      <c r="E124" s="3" t="str">
        <f>IFERROR(INDEX(Movimientos!$F$5:$F$2001,MATCH(A124&amp;"ENTRADA",Movimientos!$R$5:$R$2001,0)),"-")</f>
        <v>-</v>
      </c>
      <c r="F124" s="3" t="str">
        <f>IFERROR(INDEX(Movimientos!$G$5:$G$2001,MATCH(A124&amp;"ENTRADA",Movimientos!$R$5:$R$2001,0)),"-")</f>
        <v>-</v>
      </c>
      <c r="G124" s="3" t="str">
        <f>IFERROR(INDEX(Movimientos!$L$5:$L$2001,MATCH(A124&amp;"ENTRADA",Movimientos!$R$5:$R$2001,0)),"-")</f>
        <v>-</v>
      </c>
      <c r="H124" s="19" t="str">
        <f>IFERROR(IF(INDEX(Movimientos!$M$5:$M$2001,MATCH(A124&amp;"ENTRADA",Movimientos!$R$5:$R$2001,0))=0,"S/D",INDEX(Movimientos!$M$5:$M$2001,MATCH(A124&amp;"ENTRADA",Movimientos!$R$5:$R$2001,0))),"S/D")</f>
        <v>S/D</v>
      </c>
      <c r="I124" s="16" t="str">
        <f t="shared" ca="1" si="4"/>
        <v>S/D</v>
      </c>
      <c r="J124" s="6">
        <f>IF(A124="","",SUMIFS(Movimientos!$K:$K,Movimientos!$H:$H,A124))</f>
        <v>0</v>
      </c>
      <c r="K124" s="14" t="str">
        <f t="shared" ca="1" si="5"/>
        <v>OK</v>
      </c>
    </row>
    <row r="125" spans="1:11">
      <c r="A125" s="18" t="s">
        <v>2198</v>
      </c>
      <c r="B125" s="3" t="str">
        <f>IFERROR(INDEX(Movimientos!$C$5:$C$2001,MATCH(A125&amp;"ENTRADA",Movimientos!$R$5:$R$2001,0)),"-")</f>
        <v>-</v>
      </c>
      <c r="C125" s="3" t="str">
        <f>IFERROR(INDEX(Movimientos!$D$5:$D$2001,MATCH(A125&amp;"ENTRADA",Movimientos!$R$5:$R$2001,0)),"-")</f>
        <v>-</v>
      </c>
      <c r="D125" s="3" t="str">
        <f>IFERROR(INDEX(Movimientos!$E$5:$E$2001,MATCH(A125&amp;"ENTRADA",Movimientos!$R$5:$R$2001,0)),"-")</f>
        <v>-</v>
      </c>
      <c r="E125" s="3" t="str">
        <f>IFERROR(INDEX(Movimientos!$F$5:$F$2001,MATCH(A125&amp;"ENTRADA",Movimientos!$R$5:$R$2001,0)),"-")</f>
        <v>-</v>
      </c>
      <c r="F125" s="3" t="str">
        <f>IFERROR(INDEX(Movimientos!$G$5:$G$2001,MATCH(A125&amp;"ENTRADA",Movimientos!$R$5:$R$2001,0)),"-")</f>
        <v>-</v>
      </c>
      <c r="G125" s="3" t="str">
        <f>IFERROR(INDEX(Movimientos!$L$5:$L$2001,MATCH(A125&amp;"ENTRADA",Movimientos!$R$5:$R$2001,0)),"-")</f>
        <v>-</v>
      </c>
      <c r="H125" s="19" t="str">
        <f>IFERROR(IF(INDEX(Movimientos!$M$5:$M$2001,MATCH(A125&amp;"ENTRADA",Movimientos!$R$5:$R$2001,0))=0,"S/D",INDEX(Movimientos!$M$5:$M$2001,MATCH(A125&amp;"ENTRADA",Movimientos!$R$5:$R$2001,0))),"S/D")</f>
        <v>S/D</v>
      </c>
      <c r="I125" s="16" t="str">
        <f t="shared" ca="1" si="4"/>
        <v>S/D</v>
      </c>
      <c r="J125" s="6">
        <f>IF(A125="","",SUMIFS(Movimientos!$K:$K,Movimientos!$H:$H,A125))</f>
        <v>0</v>
      </c>
      <c r="K125" s="14" t="str">
        <f t="shared" ca="1" si="5"/>
        <v>OK</v>
      </c>
    </row>
    <row r="126" spans="1:11">
      <c r="A126" s="18" t="s">
        <v>2199</v>
      </c>
      <c r="B126" s="3" t="str">
        <f>IFERROR(INDEX(Movimientos!$C$5:$C$2001,MATCH(A126&amp;"ENTRADA",Movimientos!$R$5:$R$2001,0)),"-")</f>
        <v>-</v>
      </c>
      <c r="C126" s="3" t="str">
        <f>IFERROR(INDEX(Movimientos!$D$5:$D$2001,MATCH(A126&amp;"ENTRADA",Movimientos!$R$5:$R$2001,0)),"-")</f>
        <v>-</v>
      </c>
      <c r="D126" s="3" t="str">
        <f>IFERROR(INDEX(Movimientos!$E$5:$E$2001,MATCH(A126&amp;"ENTRADA",Movimientos!$R$5:$R$2001,0)),"-")</f>
        <v>-</v>
      </c>
      <c r="E126" s="3" t="str">
        <f>IFERROR(INDEX(Movimientos!$F$5:$F$2001,MATCH(A126&amp;"ENTRADA",Movimientos!$R$5:$R$2001,0)),"-")</f>
        <v>-</v>
      </c>
      <c r="F126" s="3" t="str">
        <f>IFERROR(INDEX(Movimientos!$G$5:$G$2001,MATCH(A126&amp;"ENTRADA",Movimientos!$R$5:$R$2001,0)),"-")</f>
        <v>-</v>
      </c>
      <c r="G126" s="3" t="str">
        <f>IFERROR(INDEX(Movimientos!$L$5:$L$2001,MATCH(A126&amp;"ENTRADA",Movimientos!$R$5:$R$2001,0)),"-")</f>
        <v>-</v>
      </c>
      <c r="H126" s="19" t="str">
        <f>IFERROR(IF(INDEX(Movimientos!$M$5:$M$2001,MATCH(A126&amp;"ENTRADA",Movimientos!$R$5:$R$2001,0))=0,"S/D",INDEX(Movimientos!$M$5:$M$2001,MATCH(A126&amp;"ENTRADA",Movimientos!$R$5:$R$2001,0))),"S/D")</f>
        <v>S/D</v>
      </c>
      <c r="I126" s="16" t="str">
        <f t="shared" ca="1" si="4"/>
        <v>S/D</v>
      </c>
      <c r="J126" s="6">
        <f>IF(A126="","",SUMIFS(Movimientos!$K:$K,Movimientos!$H:$H,A126))</f>
        <v>0</v>
      </c>
      <c r="K126" s="14" t="str">
        <f t="shared" ca="1" si="5"/>
        <v>OK</v>
      </c>
    </row>
    <row r="127" spans="1:11">
      <c r="A127" s="18" t="s">
        <v>2200</v>
      </c>
      <c r="B127" s="3" t="str">
        <f>IFERROR(INDEX(Movimientos!$C$5:$C$2001,MATCH(A127&amp;"ENTRADA",Movimientos!$R$5:$R$2001,0)),"-")</f>
        <v>-</v>
      </c>
      <c r="C127" s="3" t="str">
        <f>IFERROR(INDEX(Movimientos!$D$5:$D$2001,MATCH(A127&amp;"ENTRADA",Movimientos!$R$5:$R$2001,0)),"-")</f>
        <v>-</v>
      </c>
      <c r="D127" s="3" t="str">
        <f>IFERROR(INDEX(Movimientos!$E$5:$E$2001,MATCH(A127&amp;"ENTRADA",Movimientos!$R$5:$R$2001,0)),"-")</f>
        <v>-</v>
      </c>
      <c r="E127" s="3" t="str">
        <f>IFERROR(INDEX(Movimientos!$F$5:$F$2001,MATCH(A127&amp;"ENTRADA",Movimientos!$R$5:$R$2001,0)),"-")</f>
        <v>-</v>
      </c>
      <c r="F127" s="3" t="str">
        <f>IFERROR(INDEX(Movimientos!$G$5:$G$2001,MATCH(A127&amp;"ENTRADA",Movimientos!$R$5:$R$2001,0)),"-")</f>
        <v>-</v>
      </c>
      <c r="G127" s="3" t="str">
        <f>IFERROR(INDEX(Movimientos!$L$5:$L$2001,MATCH(A127&amp;"ENTRADA",Movimientos!$R$5:$R$2001,0)),"-")</f>
        <v>-</v>
      </c>
      <c r="H127" s="19" t="str">
        <f>IFERROR(IF(INDEX(Movimientos!$M$5:$M$2001,MATCH(A127&amp;"ENTRADA",Movimientos!$R$5:$R$2001,0))=0,"S/D",INDEX(Movimientos!$M$5:$M$2001,MATCH(A127&amp;"ENTRADA",Movimientos!$R$5:$R$2001,0))),"S/D")</f>
        <v>S/D</v>
      </c>
      <c r="I127" s="16" t="str">
        <f t="shared" ca="1" si="4"/>
        <v>S/D</v>
      </c>
      <c r="J127" s="6">
        <f>IF(A127="","",SUMIFS(Movimientos!$K:$K,Movimientos!$H:$H,A127))</f>
        <v>0</v>
      </c>
      <c r="K127" s="14" t="str">
        <f t="shared" ca="1" si="5"/>
        <v>OK</v>
      </c>
    </row>
    <row r="128" spans="1:11">
      <c r="A128" s="18" t="s">
        <v>2201</v>
      </c>
      <c r="B128" s="3" t="str">
        <f>IFERROR(INDEX(Movimientos!$C$5:$C$2001,MATCH(A128&amp;"ENTRADA",Movimientos!$R$5:$R$2001,0)),"-")</f>
        <v>-</v>
      </c>
      <c r="C128" s="3" t="str">
        <f>IFERROR(INDEX(Movimientos!$D$5:$D$2001,MATCH(A128&amp;"ENTRADA",Movimientos!$R$5:$R$2001,0)),"-")</f>
        <v>-</v>
      </c>
      <c r="D128" s="3" t="str">
        <f>IFERROR(INDEX(Movimientos!$E$5:$E$2001,MATCH(A128&amp;"ENTRADA",Movimientos!$R$5:$R$2001,0)),"-")</f>
        <v>-</v>
      </c>
      <c r="E128" s="3" t="str">
        <f>IFERROR(INDEX(Movimientos!$F$5:$F$2001,MATCH(A128&amp;"ENTRADA",Movimientos!$R$5:$R$2001,0)),"-")</f>
        <v>-</v>
      </c>
      <c r="F128" s="3" t="str">
        <f>IFERROR(INDEX(Movimientos!$G$5:$G$2001,MATCH(A128&amp;"ENTRADA",Movimientos!$R$5:$R$2001,0)),"-")</f>
        <v>-</v>
      </c>
      <c r="G128" s="3" t="str">
        <f>IFERROR(INDEX(Movimientos!$L$5:$L$2001,MATCH(A128&amp;"ENTRADA",Movimientos!$R$5:$R$2001,0)),"-")</f>
        <v>-</v>
      </c>
      <c r="H128" s="19" t="str">
        <f>IFERROR(IF(INDEX(Movimientos!$M$5:$M$2001,MATCH(A128&amp;"ENTRADA",Movimientos!$R$5:$R$2001,0))=0,"S/D",INDEX(Movimientos!$M$5:$M$2001,MATCH(A128&amp;"ENTRADA",Movimientos!$R$5:$R$2001,0))),"S/D")</f>
        <v>S/D</v>
      </c>
      <c r="I128" s="16" t="str">
        <f t="shared" ca="1" si="4"/>
        <v>S/D</v>
      </c>
      <c r="J128" s="6">
        <f>IF(A128="","",SUMIFS(Movimientos!$K:$K,Movimientos!$H:$H,A128))</f>
        <v>0</v>
      </c>
      <c r="K128" s="14" t="str">
        <f t="shared" ca="1" si="5"/>
        <v>OK</v>
      </c>
    </row>
    <row r="129" spans="1:11">
      <c r="A129" s="18" t="s">
        <v>2202</v>
      </c>
      <c r="B129" s="3" t="str">
        <f>IFERROR(INDEX(Movimientos!$C$5:$C$2001,MATCH(A129&amp;"ENTRADA",Movimientos!$R$5:$R$2001,0)),"-")</f>
        <v>-</v>
      </c>
      <c r="C129" s="3" t="str">
        <f>IFERROR(INDEX(Movimientos!$D$5:$D$2001,MATCH(A129&amp;"ENTRADA",Movimientos!$R$5:$R$2001,0)),"-")</f>
        <v>-</v>
      </c>
      <c r="D129" s="3" t="str">
        <f>IFERROR(INDEX(Movimientos!$E$5:$E$2001,MATCH(A129&amp;"ENTRADA",Movimientos!$R$5:$R$2001,0)),"-")</f>
        <v>-</v>
      </c>
      <c r="E129" s="3" t="str">
        <f>IFERROR(INDEX(Movimientos!$F$5:$F$2001,MATCH(A129&amp;"ENTRADA",Movimientos!$R$5:$R$2001,0)),"-")</f>
        <v>-</v>
      </c>
      <c r="F129" s="3" t="str">
        <f>IFERROR(INDEX(Movimientos!$G$5:$G$2001,MATCH(A129&amp;"ENTRADA",Movimientos!$R$5:$R$2001,0)),"-")</f>
        <v>-</v>
      </c>
      <c r="G129" s="3" t="str">
        <f>IFERROR(INDEX(Movimientos!$L$5:$L$2001,MATCH(A129&amp;"ENTRADA",Movimientos!$R$5:$R$2001,0)),"-")</f>
        <v>-</v>
      </c>
      <c r="H129" s="19" t="str">
        <f>IFERROR(IF(INDEX(Movimientos!$M$5:$M$2001,MATCH(A129&amp;"ENTRADA",Movimientos!$R$5:$R$2001,0))=0,"S/D",INDEX(Movimientos!$M$5:$M$2001,MATCH(A129&amp;"ENTRADA",Movimientos!$R$5:$R$2001,0))),"S/D")</f>
        <v>S/D</v>
      </c>
      <c r="I129" s="16" t="str">
        <f t="shared" ca="1" si="4"/>
        <v>S/D</v>
      </c>
      <c r="J129" s="6">
        <f>IF(A129="","",SUMIFS(Movimientos!$K:$K,Movimientos!$H:$H,A129))</f>
        <v>0</v>
      </c>
      <c r="K129" s="14" t="str">
        <f t="shared" ca="1" si="5"/>
        <v>OK</v>
      </c>
    </row>
    <row r="130" spans="1:11">
      <c r="A130" s="18" t="s">
        <v>2203</v>
      </c>
      <c r="B130" s="3" t="str">
        <f>IFERROR(INDEX(Movimientos!$C$5:$C$2001,MATCH(A130&amp;"ENTRADA",Movimientos!$R$5:$R$2001,0)),"-")</f>
        <v>-</v>
      </c>
      <c r="C130" s="3" t="str">
        <f>IFERROR(INDEX(Movimientos!$D$5:$D$2001,MATCH(A130&amp;"ENTRADA",Movimientos!$R$5:$R$2001,0)),"-")</f>
        <v>-</v>
      </c>
      <c r="D130" s="3" t="str">
        <f>IFERROR(INDEX(Movimientos!$E$5:$E$2001,MATCH(A130&amp;"ENTRADA",Movimientos!$R$5:$R$2001,0)),"-")</f>
        <v>-</v>
      </c>
      <c r="E130" s="3" t="str">
        <f>IFERROR(INDEX(Movimientos!$F$5:$F$2001,MATCH(A130&amp;"ENTRADA",Movimientos!$R$5:$R$2001,0)),"-")</f>
        <v>-</v>
      </c>
      <c r="F130" s="3" t="str">
        <f>IFERROR(INDEX(Movimientos!$G$5:$G$2001,MATCH(A130&amp;"ENTRADA",Movimientos!$R$5:$R$2001,0)),"-")</f>
        <v>-</v>
      </c>
      <c r="G130" s="3" t="str">
        <f>IFERROR(INDEX(Movimientos!$L$5:$L$2001,MATCH(A130&amp;"ENTRADA",Movimientos!$R$5:$R$2001,0)),"-")</f>
        <v>-</v>
      </c>
      <c r="H130" s="19" t="str">
        <f>IFERROR(IF(INDEX(Movimientos!$M$5:$M$2001,MATCH(A130&amp;"ENTRADA",Movimientos!$R$5:$R$2001,0))=0,"S/D",INDEX(Movimientos!$M$5:$M$2001,MATCH(A130&amp;"ENTRADA",Movimientos!$R$5:$R$2001,0))),"S/D")</f>
        <v>S/D</v>
      </c>
      <c r="I130" s="16" t="str">
        <f t="shared" ca="1" si="4"/>
        <v>S/D</v>
      </c>
      <c r="J130" s="6">
        <f>IF(A130="","",SUMIFS(Movimientos!$K:$K,Movimientos!$H:$H,A130))</f>
        <v>0</v>
      </c>
      <c r="K130" s="14" t="str">
        <f t="shared" ca="1" si="5"/>
        <v>OK</v>
      </c>
    </row>
    <row r="131" spans="1:11">
      <c r="A131" s="18" t="s">
        <v>2204</v>
      </c>
      <c r="B131" s="3" t="str">
        <f>IFERROR(INDEX(Movimientos!$C$5:$C$2001,MATCH(A131&amp;"ENTRADA",Movimientos!$R$5:$R$2001,0)),"-")</f>
        <v>-</v>
      </c>
      <c r="C131" s="3" t="str">
        <f>IFERROR(INDEX(Movimientos!$D$5:$D$2001,MATCH(A131&amp;"ENTRADA",Movimientos!$R$5:$R$2001,0)),"-")</f>
        <v>-</v>
      </c>
      <c r="D131" s="3" t="str">
        <f>IFERROR(INDEX(Movimientos!$E$5:$E$2001,MATCH(A131&amp;"ENTRADA",Movimientos!$R$5:$R$2001,0)),"-")</f>
        <v>-</v>
      </c>
      <c r="E131" s="3" t="str">
        <f>IFERROR(INDEX(Movimientos!$F$5:$F$2001,MATCH(A131&amp;"ENTRADA",Movimientos!$R$5:$R$2001,0)),"-")</f>
        <v>-</v>
      </c>
      <c r="F131" s="3" t="str">
        <f>IFERROR(INDEX(Movimientos!$G$5:$G$2001,MATCH(A131&amp;"ENTRADA",Movimientos!$R$5:$R$2001,0)),"-")</f>
        <v>-</v>
      </c>
      <c r="G131" s="3" t="str">
        <f>IFERROR(INDEX(Movimientos!$L$5:$L$2001,MATCH(A131&amp;"ENTRADA",Movimientos!$R$5:$R$2001,0)),"-")</f>
        <v>-</v>
      </c>
      <c r="H131" s="19" t="str">
        <f>IFERROR(IF(INDEX(Movimientos!$M$5:$M$2001,MATCH(A131&amp;"ENTRADA",Movimientos!$R$5:$R$2001,0))=0,"S/D",INDEX(Movimientos!$M$5:$M$2001,MATCH(A131&amp;"ENTRADA",Movimientos!$R$5:$R$2001,0))),"S/D")</f>
        <v>S/D</v>
      </c>
      <c r="I131" s="16" t="str">
        <f t="shared" ca="1" si="4"/>
        <v>S/D</v>
      </c>
      <c r="J131" s="6">
        <f>IF(A131="","",SUMIFS(Movimientos!$K:$K,Movimientos!$H:$H,A131))</f>
        <v>0</v>
      </c>
      <c r="K131" s="14" t="str">
        <f t="shared" ca="1" si="5"/>
        <v>OK</v>
      </c>
    </row>
    <row r="132" spans="1:11">
      <c r="A132" s="18" t="s">
        <v>2205</v>
      </c>
      <c r="B132" s="3" t="str">
        <f>IFERROR(INDEX(Movimientos!$C$5:$C$2001,MATCH(A132&amp;"ENTRADA",Movimientos!$R$5:$R$2001,0)),"-")</f>
        <v>-</v>
      </c>
      <c r="C132" s="3" t="str">
        <f>IFERROR(INDEX(Movimientos!$D$5:$D$2001,MATCH(A132&amp;"ENTRADA",Movimientos!$R$5:$R$2001,0)),"-")</f>
        <v>-</v>
      </c>
      <c r="D132" s="3" t="str">
        <f>IFERROR(INDEX(Movimientos!$E$5:$E$2001,MATCH(A132&amp;"ENTRADA",Movimientos!$R$5:$R$2001,0)),"-")</f>
        <v>-</v>
      </c>
      <c r="E132" s="3" t="str">
        <f>IFERROR(INDEX(Movimientos!$F$5:$F$2001,MATCH(A132&amp;"ENTRADA",Movimientos!$R$5:$R$2001,0)),"-")</f>
        <v>-</v>
      </c>
      <c r="F132" s="3" t="str">
        <f>IFERROR(INDEX(Movimientos!$G$5:$G$2001,MATCH(A132&amp;"ENTRADA",Movimientos!$R$5:$R$2001,0)),"-")</f>
        <v>-</v>
      </c>
      <c r="G132" s="3" t="str">
        <f>IFERROR(INDEX(Movimientos!$L$5:$L$2001,MATCH(A132&amp;"ENTRADA",Movimientos!$R$5:$R$2001,0)),"-")</f>
        <v>-</v>
      </c>
      <c r="H132" s="19" t="str">
        <f>IFERROR(IF(INDEX(Movimientos!$M$5:$M$2001,MATCH(A132&amp;"ENTRADA",Movimientos!$R$5:$R$2001,0))=0,"S/D",INDEX(Movimientos!$M$5:$M$2001,MATCH(A132&amp;"ENTRADA",Movimientos!$R$5:$R$2001,0))),"S/D")</f>
        <v>S/D</v>
      </c>
      <c r="I132" s="16" t="str">
        <f t="shared" ca="1" si="4"/>
        <v>S/D</v>
      </c>
      <c r="J132" s="6">
        <f>IF(A132="","",SUMIFS(Movimientos!$K:$K,Movimientos!$H:$H,A132))</f>
        <v>0</v>
      </c>
      <c r="K132" s="14" t="str">
        <f t="shared" ca="1" si="5"/>
        <v>OK</v>
      </c>
    </row>
    <row r="133" spans="1:11">
      <c r="A133" s="18" t="s">
        <v>2206</v>
      </c>
      <c r="B133" s="3" t="str">
        <f>IFERROR(INDEX(Movimientos!$C$5:$C$2001,MATCH(A133&amp;"ENTRADA",Movimientos!$R$5:$R$2001,0)),"-")</f>
        <v>-</v>
      </c>
      <c r="C133" s="3" t="str">
        <f>IFERROR(INDEX(Movimientos!$D$5:$D$2001,MATCH(A133&amp;"ENTRADA",Movimientos!$R$5:$R$2001,0)),"-")</f>
        <v>-</v>
      </c>
      <c r="D133" s="3" t="str">
        <f>IFERROR(INDEX(Movimientos!$E$5:$E$2001,MATCH(A133&amp;"ENTRADA",Movimientos!$R$5:$R$2001,0)),"-")</f>
        <v>-</v>
      </c>
      <c r="E133" s="3" t="str">
        <f>IFERROR(INDEX(Movimientos!$F$5:$F$2001,MATCH(A133&amp;"ENTRADA",Movimientos!$R$5:$R$2001,0)),"-")</f>
        <v>-</v>
      </c>
      <c r="F133" s="3" t="str">
        <f>IFERROR(INDEX(Movimientos!$G$5:$G$2001,MATCH(A133&amp;"ENTRADA",Movimientos!$R$5:$R$2001,0)),"-")</f>
        <v>-</v>
      </c>
      <c r="G133" s="3" t="str">
        <f>IFERROR(INDEX(Movimientos!$L$5:$L$2001,MATCH(A133&amp;"ENTRADA",Movimientos!$R$5:$R$2001,0)),"-")</f>
        <v>-</v>
      </c>
      <c r="H133" s="19" t="str">
        <f>IFERROR(IF(INDEX(Movimientos!$M$5:$M$2001,MATCH(A133&amp;"ENTRADA",Movimientos!$R$5:$R$2001,0))=0,"S/D",INDEX(Movimientos!$M$5:$M$2001,MATCH(A133&amp;"ENTRADA",Movimientos!$R$5:$R$2001,0))),"S/D")</f>
        <v>S/D</v>
      </c>
      <c r="I133" s="16" t="str">
        <f t="shared" ca="1" si="4"/>
        <v>S/D</v>
      </c>
      <c r="J133" s="6">
        <f>IF(A133="","",SUMIFS(Movimientos!$K:$K,Movimientos!$H:$H,A133))</f>
        <v>0</v>
      </c>
      <c r="K133" s="14" t="str">
        <f t="shared" ca="1" si="5"/>
        <v>OK</v>
      </c>
    </row>
    <row r="134" spans="1:11">
      <c r="A134" s="18" t="s">
        <v>2207</v>
      </c>
      <c r="B134" s="3" t="str">
        <f>IFERROR(INDEX(Movimientos!$C$5:$C$2001,MATCH(A134&amp;"ENTRADA",Movimientos!$R$5:$R$2001,0)),"-")</f>
        <v>-</v>
      </c>
      <c r="C134" s="3" t="str">
        <f>IFERROR(INDEX(Movimientos!$D$5:$D$2001,MATCH(A134&amp;"ENTRADA",Movimientos!$R$5:$R$2001,0)),"-")</f>
        <v>-</v>
      </c>
      <c r="D134" s="3" t="str">
        <f>IFERROR(INDEX(Movimientos!$E$5:$E$2001,MATCH(A134&amp;"ENTRADA",Movimientos!$R$5:$R$2001,0)),"-")</f>
        <v>-</v>
      </c>
      <c r="E134" s="3" t="str">
        <f>IFERROR(INDEX(Movimientos!$F$5:$F$2001,MATCH(A134&amp;"ENTRADA",Movimientos!$R$5:$R$2001,0)),"-")</f>
        <v>-</v>
      </c>
      <c r="F134" s="3" t="str">
        <f>IFERROR(INDEX(Movimientos!$G$5:$G$2001,MATCH(A134&amp;"ENTRADA",Movimientos!$R$5:$R$2001,0)),"-")</f>
        <v>-</v>
      </c>
      <c r="G134" s="3" t="str">
        <f>IFERROR(INDEX(Movimientos!$L$5:$L$2001,MATCH(A134&amp;"ENTRADA",Movimientos!$R$5:$R$2001,0)),"-")</f>
        <v>-</v>
      </c>
      <c r="H134" s="19" t="str">
        <f>IFERROR(IF(INDEX(Movimientos!$M$5:$M$2001,MATCH(A134&amp;"ENTRADA",Movimientos!$R$5:$R$2001,0))=0,"S/D",INDEX(Movimientos!$M$5:$M$2001,MATCH(A134&amp;"ENTRADA",Movimientos!$R$5:$R$2001,0))),"S/D")</f>
        <v>S/D</v>
      </c>
      <c r="I134" s="16" t="str">
        <f t="shared" ca="1" si="4"/>
        <v>S/D</v>
      </c>
      <c r="J134" s="6">
        <f>IF(A134="","",SUMIFS(Movimientos!$K:$K,Movimientos!$H:$H,A134))</f>
        <v>0</v>
      </c>
      <c r="K134" s="14" t="str">
        <f t="shared" ca="1" si="5"/>
        <v>OK</v>
      </c>
    </row>
    <row r="135" spans="1:11">
      <c r="A135" s="18" t="s">
        <v>2208</v>
      </c>
      <c r="B135" s="3" t="str">
        <f>IFERROR(INDEX(Movimientos!$C$5:$C$2001,MATCH(A135&amp;"ENTRADA",Movimientos!$R$5:$R$2001,0)),"-")</f>
        <v>-</v>
      </c>
      <c r="C135" s="3" t="str">
        <f>IFERROR(INDEX(Movimientos!$D$5:$D$2001,MATCH(A135&amp;"ENTRADA",Movimientos!$R$5:$R$2001,0)),"-")</f>
        <v>-</v>
      </c>
      <c r="D135" s="3" t="str">
        <f>IFERROR(INDEX(Movimientos!$E$5:$E$2001,MATCH(A135&amp;"ENTRADA",Movimientos!$R$5:$R$2001,0)),"-")</f>
        <v>-</v>
      </c>
      <c r="E135" s="3" t="str">
        <f>IFERROR(INDEX(Movimientos!$F$5:$F$2001,MATCH(A135&amp;"ENTRADA",Movimientos!$R$5:$R$2001,0)),"-")</f>
        <v>-</v>
      </c>
      <c r="F135" s="3" t="str">
        <f>IFERROR(INDEX(Movimientos!$G$5:$G$2001,MATCH(A135&amp;"ENTRADA",Movimientos!$R$5:$R$2001,0)),"-")</f>
        <v>-</v>
      </c>
      <c r="G135" s="3" t="str">
        <f>IFERROR(INDEX(Movimientos!$L$5:$L$2001,MATCH(A135&amp;"ENTRADA",Movimientos!$R$5:$R$2001,0)),"-")</f>
        <v>-</v>
      </c>
      <c r="H135" s="19" t="str">
        <f>IFERROR(IF(INDEX(Movimientos!$M$5:$M$2001,MATCH(A135&amp;"ENTRADA",Movimientos!$R$5:$R$2001,0))=0,"S/D",INDEX(Movimientos!$M$5:$M$2001,MATCH(A135&amp;"ENTRADA",Movimientos!$R$5:$R$2001,0))),"S/D")</f>
        <v>S/D</v>
      </c>
      <c r="I135" s="16" t="str">
        <f t="shared" ca="1" si="4"/>
        <v>S/D</v>
      </c>
      <c r="J135" s="6">
        <f>IF(A135="","",SUMIFS(Movimientos!$K:$K,Movimientos!$H:$H,A135))</f>
        <v>0</v>
      </c>
      <c r="K135" s="14" t="str">
        <f t="shared" ca="1" si="5"/>
        <v>OK</v>
      </c>
    </row>
    <row r="136" spans="1:11">
      <c r="A136" s="18" t="s">
        <v>2209</v>
      </c>
      <c r="B136" s="3" t="str">
        <f>IFERROR(INDEX(Movimientos!$C$5:$C$2001,MATCH(A136&amp;"ENTRADA",Movimientos!$R$5:$R$2001,0)),"-")</f>
        <v>-</v>
      </c>
      <c r="C136" s="3" t="str">
        <f>IFERROR(INDEX(Movimientos!$D$5:$D$2001,MATCH(A136&amp;"ENTRADA",Movimientos!$R$5:$R$2001,0)),"-")</f>
        <v>-</v>
      </c>
      <c r="D136" s="3" t="str">
        <f>IFERROR(INDEX(Movimientos!$E$5:$E$2001,MATCH(A136&amp;"ENTRADA",Movimientos!$R$5:$R$2001,0)),"-")</f>
        <v>-</v>
      </c>
      <c r="E136" s="3" t="str">
        <f>IFERROR(INDEX(Movimientos!$F$5:$F$2001,MATCH(A136&amp;"ENTRADA",Movimientos!$R$5:$R$2001,0)),"-")</f>
        <v>-</v>
      </c>
      <c r="F136" s="3" t="str">
        <f>IFERROR(INDEX(Movimientos!$G$5:$G$2001,MATCH(A136&amp;"ENTRADA",Movimientos!$R$5:$R$2001,0)),"-")</f>
        <v>-</v>
      </c>
      <c r="G136" s="3" t="str">
        <f>IFERROR(INDEX(Movimientos!$L$5:$L$2001,MATCH(A136&amp;"ENTRADA",Movimientos!$R$5:$R$2001,0)),"-")</f>
        <v>-</v>
      </c>
      <c r="H136" s="19" t="str">
        <f>IFERROR(IF(INDEX(Movimientos!$M$5:$M$2001,MATCH(A136&amp;"ENTRADA",Movimientos!$R$5:$R$2001,0))=0,"S/D",INDEX(Movimientos!$M$5:$M$2001,MATCH(A136&amp;"ENTRADA",Movimientos!$R$5:$R$2001,0))),"S/D")</f>
        <v>S/D</v>
      </c>
      <c r="I136" s="16" t="str">
        <f t="shared" ca="1" si="4"/>
        <v>S/D</v>
      </c>
      <c r="J136" s="6">
        <f>IF(A136="","",SUMIFS(Movimientos!$K:$K,Movimientos!$H:$H,A136))</f>
        <v>0</v>
      </c>
      <c r="K136" s="14" t="str">
        <f t="shared" ca="1" si="5"/>
        <v>OK</v>
      </c>
    </row>
    <row r="137" spans="1:11">
      <c r="A137" s="18" t="s">
        <v>2210</v>
      </c>
      <c r="B137" s="3" t="str">
        <f>IFERROR(INDEX(Movimientos!$C$5:$C$2001,MATCH(A137&amp;"ENTRADA",Movimientos!$R$5:$R$2001,0)),"-")</f>
        <v>-</v>
      </c>
      <c r="C137" s="3" t="str">
        <f>IFERROR(INDEX(Movimientos!$D$5:$D$2001,MATCH(A137&amp;"ENTRADA",Movimientos!$R$5:$R$2001,0)),"-")</f>
        <v>-</v>
      </c>
      <c r="D137" s="3" t="str">
        <f>IFERROR(INDEX(Movimientos!$E$5:$E$2001,MATCH(A137&amp;"ENTRADA",Movimientos!$R$5:$R$2001,0)),"-")</f>
        <v>-</v>
      </c>
      <c r="E137" s="3" t="str">
        <f>IFERROR(INDEX(Movimientos!$F$5:$F$2001,MATCH(A137&amp;"ENTRADA",Movimientos!$R$5:$R$2001,0)),"-")</f>
        <v>-</v>
      </c>
      <c r="F137" s="3" t="str">
        <f>IFERROR(INDEX(Movimientos!$G$5:$G$2001,MATCH(A137&amp;"ENTRADA",Movimientos!$R$5:$R$2001,0)),"-")</f>
        <v>-</v>
      </c>
      <c r="G137" s="3" t="str">
        <f>IFERROR(INDEX(Movimientos!$L$5:$L$2001,MATCH(A137&amp;"ENTRADA",Movimientos!$R$5:$R$2001,0)),"-")</f>
        <v>-</v>
      </c>
      <c r="H137" s="19" t="str">
        <f>IFERROR(IF(INDEX(Movimientos!$M$5:$M$2001,MATCH(A137&amp;"ENTRADA",Movimientos!$R$5:$R$2001,0))=0,"S/D",INDEX(Movimientos!$M$5:$M$2001,MATCH(A137&amp;"ENTRADA",Movimientos!$R$5:$R$2001,0))),"S/D")</f>
        <v>S/D</v>
      </c>
      <c r="I137" s="16" t="str">
        <f t="shared" ca="1" si="4"/>
        <v>S/D</v>
      </c>
      <c r="J137" s="6">
        <f>IF(A137="","",SUMIFS(Movimientos!$K:$K,Movimientos!$H:$H,A137))</f>
        <v>0</v>
      </c>
      <c r="K137" s="14" t="str">
        <f t="shared" ca="1" si="5"/>
        <v>OK</v>
      </c>
    </row>
    <row r="138" spans="1:11">
      <c r="A138" s="18" t="s">
        <v>2211</v>
      </c>
      <c r="B138" s="3" t="str">
        <f>IFERROR(INDEX(Movimientos!$C$5:$C$2001,MATCH(A138&amp;"ENTRADA",Movimientos!$R$5:$R$2001,0)),"-")</f>
        <v>-</v>
      </c>
      <c r="C138" s="3" t="str">
        <f>IFERROR(INDEX(Movimientos!$D$5:$D$2001,MATCH(A138&amp;"ENTRADA",Movimientos!$R$5:$R$2001,0)),"-")</f>
        <v>-</v>
      </c>
      <c r="D138" s="3" t="str">
        <f>IFERROR(INDEX(Movimientos!$E$5:$E$2001,MATCH(A138&amp;"ENTRADA",Movimientos!$R$5:$R$2001,0)),"-")</f>
        <v>-</v>
      </c>
      <c r="E138" s="3" t="str">
        <f>IFERROR(INDEX(Movimientos!$F$5:$F$2001,MATCH(A138&amp;"ENTRADA",Movimientos!$R$5:$R$2001,0)),"-")</f>
        <v>-</v>
      </c>
      <c r="F138" s="3" t="str">
        <f>IFERROR(INDEX(Movimientos!$G$5:$G$2001,MATCH(A138&amp;"ENTRADA",Movimientos!$R$5:$R$2001,0)),"-")</f>
        <v>-</v>
      </c>
      <c r="G138" s="3" t="str">
        <f>IFERROR(INDEX(Movimientos!$L$5:$L$2001,MATCH(A138&amp;"ENTRADA",Movimientos!$R$5:$R$2001,0)),"-")</f>
        <v>-</v>
      </c>
      <c r="H138" s="19" t="str">
        <f>IFERROR(IF(INDEX(Movimientos!$M$5:$M$2001,MATCH(A138&amp;"ENTRADA",Movimientos!$R$5:$R$2001,0))=0,"S/D",INDEX(Movimientos!$M$5:$M$2001,MATCH(A138&amp;"ENTRADA",Movimientos!$R$5:$R$2001,0))),"S/D")</f>
        <v>S/D</v>
      </c>
      <c r="I138" s="16" t="str">
        <f t="shared" ca="1" si="4"/>
        <v>S/D</v>
      </c>
      <c r="J138" s="6">
        <f>IF(A138="","",SUMIFS(Movimientos!$K:$K,Movimientos!$H:$H,A138))</f>
        <v>0</v>
      </c>
      <c r="K138" s="14" t="str">
        <f t="shared" ca="1" si="5"/>
        <v>OK</v>
      </c>
    </row>
    <row r="139" spans="1:11">
      <c r="A139" s="18" t="s">
        <v>2212</v>
      </c>
      <c r="B139" s="3" t="str">
        <f>IFERROR(INDEX(Movimientos!$C$5:$C$2001,MATCH(A139&amp;"ENTRADA",Movimientos!$R$5:$R$2001,0)),"-")</f>
        <v>-</v>
      </c>
      <c r="C139" s="3" t="str">
        <f>IFERROR(INDEX(Movimientos!$D$5:$D$2001,MATCH(A139&amp;"ENTRADA",Movimientos!$R$5:$R$2001,0)),"-")</f>
        <v>-</v>
      </c>
      <c r="D139" s="3" t="str">
        <f>IFERROR(INDEX(Movimientos!$E$5:$E$2001,MATCH(A139&amp;"ENTRADA",Movimientos!$R$5:$R$2001,0)),"-")</f>
        <v>-</v>
      </c>
      <c r="E139" s="3" t="str">
        <f>IFERROR(INDEX(Movimientos!$F$5:$F$2001,MATCH(A139&amp;"ENTRADA",Movimientos!$R$5:$R$2001,0)),"-")</f>
        <v>-</v>
      </c>
      <c r="F139" s="3" t="str">
        <f>IFERROR(INDEX(Movimientos!$G$5:$G$2001,MATCH(A139&amp;"ENTRADA",Movimientos!$R$5:$R$2001,0)),"-")</f>
        <v>-</v>
      </c>
      <c r="G139" s="3" t="str">
        <f>IFERROR(INDEX(Movimientos!$L$5:$L$2001,MATCH(A139&amp;"ENTRADA",Movimientos!$R$5:$R$2001,0)),"-")</f>
        <v>-</v>
      </c>
      <c r="H139" s="19" t="str">
        <f>IFERROR(IF(INDEX(Movimientos!$M$5:$M$2001,MATCH(A139&amp;"ENTRADA",Movimientos!$R$5:$R$2001,0))=0,"S/D",INDEX(Movimientos!$M$5:$M$2001,MATCH(A139&amp;"ENTRADA",Movimientos!$R$5:$R$2001,0))),"S/D")</f>
        <v>S/D</v>
      </c>
      <c r="I139" s="16" t="str">
        <f t="shared" ref="I139:I202" ca="1" si="6">IF(OR(A139="",H139="S/D"),"S/D",H139-TODAY())</f>
        <v>S/D</v>
      </c>
      <c r="J139" s="6">
        <f>IF(A139="","",SUMIFS(Movimientos!$K:$K,Movimientos!$H:$H,A139))</f>
        <v>0</v>
      </c>
      <c r="K139" s="14" t="str">
        <f t="shared" ref="K139:K202" ca="1" si="7">IF(A139="","",IF(H139="S/D","OK",IF(H139&lt;TODAY(),"VENCIDO",IF(J139&lt;=0,"SIN STOCK",IF(I139&gt;=180,"OK","PRÓXIMO A VENCER")))))</f>
        <v>OK</v>
      </c>
    </row>
    <row r="140" spans="1:11">
      <c r="A140" s="18" t="s">
        <v>2213</v>
      </c>
      <c r="B140" s="3" t="str">
        <f>IFERROR(INDEX(Movimientos!$C$5:$C$2001,MATCH(A140&amp;"ENTRADA",Movimientos!$R$5:$R$2001,0)),"-")</f>
        <v>-</v>
      </c>
      <c r="C140" s="3" t="str">
        <f>IFERROR(INDEX(Movimientos!$D$5:$D$2001,MATCH(A140&amp;"ENTRADA",Movimientos!$R$5:$R$2001,0)),"-")</f>
        <v>-</v>
      </c>
      <c r="D140" s="3" t="str">
        <f>IFERROR(INDEX(Movimientos!$E$5:$E$2001,MATCH(A140&amp;"ENTRADA",Movimientos!$R$5:$R$2001,0)),"-")</f>
        <v>-</v>
      </c>
      <c r="E140" s="3" t="str">
        <f>IFERROR(INDEX(Movimientos!$F$5:$F$2001,MATCH(A140&amp;"ENTRADA",Movimientos!$R$5:$R$2001,0)),"-")</f>
        <v>-</v>
      </c>
      <c r="F140" s="3" t="str">
        <f>IFERROR(INDEX(Movimientos!$G$5:$G$2001,MATCH(A140&amp;"ENTRADA",Movimientos!$R$5:$R$2001,0)),"-")</f>
        <v>-</v>
      </c>
      <c r="G140" s="3" t="str">
        <f>IFERROR(INDEX(Movimientos!$L$5:$L$2001,MATCH(A140&amp;"ENTRADA",Movimientos!$R$5:$R$2001,0)),"-")</f>
        <v>-</v>
      </c>
      <c r="H140" s="19" t="str">
        <f>IFERROR(IF(INDEX(Movimientos!$M$5:$M$2001,MATCH(A140&amp;"ENTRADA",Movimientos!$R$5:$R$2001,0))=0,"S/D",INDEX(Movimientos!$M$5:$M$2001,MATCH(A140&amp;"ENTRADA",Movimientos!$R$5:$R$2001,0))),"S/D")</f>
        <v>S/D</v>
      </c>
      <c r="I140" s="16" t="str">
        <f t="shared" ca="1" si="6"/>
        <v>S/D</v>
      </c>
      <c r="J140" s="6">
        <f>IF(A140="","",SUMIFS(Movimientos!$K:$K,Movimientos!$H:$H,A140))</f>
        <v>0</v>
      </c>
      <c r="K140" s="14" t="str">
        <f t="shared" ca="1" si="7"/>
        <v>OK</v>
      </c>
    </row>
    <row r="141" spans="1:11">
      <c r="A141" s="18" t="s">
        <v>2214</v>
      </c>
      <c r="B141" s="3" t="str">
        <f>IFERROR(INDEX(Movimientos!$C$5:$C$2001,MATCH(A141&amp;"ENTRADA",Movimientos!$R$5:$R$2001,0)),"-")</f>
        <v>-</v>
      </c>
      <c r="C141" s="3" t="str">
        <f>IFERROR(INDEX(Movimientos!$D$5:$D$2001,MATCH(A141&amp;"ENTRADA",Movimientos!$R$5:$R$2001,0)),"-")</f>
        <v>-</v>
      </c>
      <c r="D141" s="3" t="str">
        <f>IFERROR(INDEX(Movimientos!$E$5:$E$2001,MATCH(A141&amp;"ENTRADA",Movimientos!$R$5:$R$2001,0)),"-")</f>
        <v>-</v>
      </c>
      <c r="E141" s="3" t="str">
        <f>IFERROR(INDEX(Movimientos!$F$5:$F$2001,MATCH(A141&amp;"ENTRADA",Movimientos!$R$5:$R$2001,0)),"-")</f>
        <v>-</v>
      </c>
      <c r="F141" s="3" t="str">
        <f>IFERROR(INDEX(Movimientos!$G$5:$G$2001,MATCH(A141&amp;"ENTRADA",Movimientos!$R$5:$R$2001,0)),"-")</f>
        <v>-</v>
      </c>
      <c r="G141" s="3" t="str">
        <f>IFERROR(INDEX(Movimientos!$L$5:$L$2001,MATCH(A141&amp;"ENTRADA",Movimientos!$R$5:$R$2001,0)),"-")</f>
        <v>-</v>
      </c>
      <c r="H141" s="19" t="str">
        <f>IFERROR(IF(INDEX(Movimientos!$M$5:$M$2001,MATCH(A141&amp;"ENTRADA",Movimientos!$R$5:$R$2001,0))=0,"S/D",INDEX(Movimientos!$M$5:$M$2001,MATCH(A141&amp;"ENTRADA",Movimientos!$R$5:$R$2001,0))),"S/D")</f>
        <v>S/D</v>
      </c>
      <c r="I141" s="16" t="str">
        <f t="shared" ca="1" si="6"/>
        <v>S/D</v>
      </c>
      <c r="J141" s="6">
        <f>IF(A141="","",SUMIFS(Movimientos!$K:$K,Movimientos!$H:$H,A141))</f>
        <v>0</v>
      </c>
      <c r="K141" s="14" t="str">
        <f t="shared" ca="1" si="7"/>
        <v>OK</v>
      </c>
    </row>
    <row r="142" spans="1:11">
      <c r="A142" s="18" t="s">
        <v>2215</v>
      </c>
      <c r="B142" s="3" t="str">
        <f>IFERROR(INDEX(Movimientos!$C$5:$C$2001,MATCH(A142&amp;"ENTRADA",Movimientos!$R$5:$R$2001,0)),"-")</f>
        <v>-</v>
      </c>
      <c r="C142" s="3" t="str">
        <f>IFERROR(INDEX(Movimientos!$D$5:$D$2001,MATCH(A142&amp;"ENTRADA",Movimientos!$R$5:$R$2001,0)),"-")</f>
        <v>-</v>
      </c>
      <c r="D142" s="3" t="str">
        <f>IFERROR(INDEX(Movimientos!$E$5:$E$2001,MATCH(A142&amp;"ENTRADA",Movimientos!$R$5:$R$2001,0)),"-")</f>
        <v>-</v>
      </c>
      <c r="E142" s="3" t="str">
        <f>IFERROR(INDEX(Movimientos!$F$5:$F$2001,MATCH(A142&amp;"ENTRADA",Movimientos!$R$5:$R$2001,0)),"-")</f>
        <v>-</v>
      </c>
      <c r="F142" s="3" t="str">
        <f>IFERROR(INDEX(Movimientos!$G$5:$G$2001,MATCH(A142&amp;"ENTRADA",Movimientos!$R$5:$R$2001,0)),"-")</f>
        <v>-</v>
      </c>
      <c r="G142" s="3" t="str">
        <f>IFERROR(INDEX(Movimientos!$L$5:$L$2001,MATCH(A142&amp;"ENTRADA",Movimientos!$R$5:$R$2001,0)),"-")</f>
        <v>-</v>
      </c>
      <c r="H142" s="19" t="str">
        <f>IFERROR(IF(INDEX(Movimientos!$M$5:$M$2001,MATCH(A142&amp;"ENTRADA",Movimientos!$R$5:$R$2001,0))=0,"S/D",INDEX(Movimientos!$M$5:$M$2001,MATCH(A142&amp;"ENTRADA",Movimientos!$R$5:$R$2001,0))),"S/D")</f>
        <v>S/D</v>
      </c>
      <c r="I142" s="16" t="str">
        <f t="shared" ca="1" si="6"/>
        <v>S/D</v>
      </c>
      <c r="J142" s="6">
        <f>IF(A142="","",SUMIFS(Movimientos!$K:$K,Movimientos!$H:$H,A142))</f>
        <v>0</v>
      </c>
      <c r="K142" s="14" t="str">
        <f t="shared" ca="1" si="7"/>
        <v>OK</v>
      </c>
    </row>
    <row r="143" spans="1:11">
      <c r="A143" s="18" t="s">
        <v>2216</v>
      </c>
      <c r="B143" s="3" t="str">
        <f>IFERROR(INDEX(Movimientos!$C$5:$C$2001,MATCH(A143&amp;"ENTRADA",Movimientos!$R$5:$R$2001,0)),"-")</f>
        <v>-</v>
      </c>
      <c r="C143" s="3" t="str">
        <f>IFERROR(INDEX(Movimientos!$D$5:$D$2001,MATCH(A143&amp;"ENTRADA",Movimientos!$R$5:$R$2001,0)),"-")</f>
        <v>-</v>
      </c>
      <c r="D143" s="3" t="str">
        <f>IFERROR(INDEX(Movimientos!$E$5:$E$2001,MATCH(A143&amp;"ENTRADA",Movimientos!$R$5:$R$2001,0)),"-")</f>
        <v>-</v>
      </c>
      <c r="E143" s="3" t="str">
        <f>IFERROR(INDEX(Movimientos!$F$5:$F$2001,MATCH(A143&amp;"ENTRADA",Movimientos!$R$5:$R$2001,0)),"-")</f>
        <v>-</v>
      </c>
      <c r="F143" s="3" t="str">
        <f>IFERROR(INDEX(Movimientos!$G$5:$G$2001,MATCH(A143&amp;"ENTRADA",Movimientos!$R$5:$R$2001,0)),"-")</f>
        <v>-</v>
      </c>
      <c r="G143" s="3" t="str">
        <f>IFERROR(INDEX(Movimientos!$L$5:$L$2001,MATCH(A143&amp;"ENTRADA",Movimientos!$R$5:$R$2001,0)),"-")</f>
        <v>-</v>
      </c>
      <c r="H143" s="19" t="str">
        <f>IFERROR(IF(INDEX(Movimientos!$M$5:$M$2001,MATCH(A143&amp;"ENTRADA",Movimientos!$R$5:$R$2001,0))=0,"S/D",INDEX(Movimientos!$M$5:$M$2001,MATCH(A143&amp;"ENTRADA",Movimientos!$R$5:$R$2001,0))),"S/D")</f>
        <v>S/D</v>
      </c>
      <c r="I143" s="16" t="str">
        <f t="shared" ca="1" si="6"/>
        <v>S/D</v>
      </c>
      <c r="J143" s="6">
        <f>IF(A143="","",SUMIFS(Movimientos!$K:$K,Movimientos!$H:$H,A143))</f>
        <v>0</v>
      </c>
      <c r="K143" s="14" t="str">
        <f t="shared" ca="1" si="7"/>
        <v>OK</v>
      </c>
    </row>
    <row r="144" spans="1:11">
      <c r="A144" s="18" t="s">
        <v>2217</v>
      </c>
      <c r="B144" s="3" t="str">
        <f>IFERROR(INDEX(Movimientos!$C$5:$C$2001,MATCH(A144&amp;"ENTRADA",Movimientos!$R$5:$R$2001,0)),"-")</f>
        <v>-</v>
      </c>
      <c r="C144" s="3" t="str">
        <f>IFERROR(INDEX(Movimientos!$D$5:$D$2001,MATCH(A144&amp;"ENTRADA",Movimientos!$R$5:$R$2001,0)),"-")</f>
        <v>-</v>
      </c>
      <c r="D144" s="3" t="str">
        <f>IFERROR(INDEX(Movimientos!$E$5:$E$2001,MATCH(A144&amp;"ENTRADA",Movimientos!$R$5:$R$2001,0)),"-")</f>
        <v>-</v>
      </c>
      <c r="E144" s="3" t="str">
        <f>IFERROR(INDEX(Movimientos!$F$5:$F$2001,MATCH(A144&amp;"ENTRADA",Movimientos!$R$5:$R$2001,0)),"-")</f>
        <v>-</v>
      </c>
      <c r="F144" s="3" t="str">
        <f>IFERROR(INDEX(Movimientos!$G$5:$G$2001,MATCH(A144&amp;"ENTRADA",Movimientos!$R$5:$R$2001,0)),"-")</f>
        <v>-</v>
      </c>
      <c r="G144" s="3" t="str">
        <f>IFERROR(INDEX(Movimientos!$L$5:$L$2001,MATCH(A144&amp;"ENTRADA",Movimientos!$R$5:$R$2001,0)),"-")</f>
        <v>-</v>
      </c>
      <c r="H144" s="19" t="str">
        <f>IFERROR(IF(INDEX(Movimientos!$M$5:$M$2001,MATCH(A144&amp;"ENTRADA",Movimientos!$R$5:$R$2001,0))=0,"S/D",INDEX(Movimientos!$M$5:$M$2001,MATCH(A144&amp;"ENTRADA",Movimientos!$R$5:$R$2001,0))),"S/D")</f>
        <v>S/D</v>
      </c>
      <c r="I144" s="16" t="str">
        <f t="shared" ca="1" si="6"/>
        <v>S/D</v>
      </c>
      <c r="J144" s="6">
        <f>IF(A144="","",SUMIFS(Movimientos!$K:$K,Movimientos!$H:$H,A144))</f>
        <v>0</v>
      </c>
      <c r="K144" s="14" t="str">
        <f t="shared" ca="1" si="7"/>
        <v>OK</v>
      </c>
    </row>
    <row r="145" spans="1:11">
      <c r="A145" s="18" t="s">
        <v>2218</v>
      </c>
      <c r="B145" s="3" t="str">
        <f>IFERROR(INDEX(Movimientos!$C$5:$C$2001,MATCH(A145&amp;"ENTRADA",Movimientos!$R$5:$R$2001,0)),"-")</f>
        <v>-</v>
      </c>
      <c r="C145" s="3" t="str">
        <f>IFERROR(INDEX(Movimientos!$D$5:$D$2001,MATCH(A145&amp;"ENTRADA",Movimientos!$R$5:$R$2001,0)),"-")</f>
        <v>-</v>
      </c>
      <c r="D145" s="3" t="str">
        <f>IFERROR(INDEX(Movimientos!$E$5:$E$2001,MATCH(A145&amp;"ENTRADA",Movimientos!$R$5:$R$2001,0)),"-")</f>
        <v>-</v>
      </c>
      <c r="E145" s="3" t="str">
        <f>IFERROR(INDEX(Movimientos!$F$5:$F$2001,MATCH(A145&amp;"ENTRADA",Movimientos!$R$5:$R$2001,0)),"-")</f>
        <v>-</v>
      </c>
      <c r="F145" s="3" t="str">
        <f>IFERROR(INDEX(Movimientos!$G$5:$G$2001,MATCH(A145&amp;"ENTRADA",Movimientos!$R$5:$R$2001,0)),"-")</f>
        <v>-</v>
      </c>
      <c r="G145" s="3" t="str">
        <f>IFERROR(INDEX(Movimientos!$L$5:$L$2001,MATCH(A145&amp;"ENTRADA",Movimientos!$R$5:$R$2001,0)),"-")</f>
        <v>-</v>
      </c>
      <c r="H145" s="19" t="str">
        <f>IFERROR(IF(INDEX(Movimientos!$M$5:$M$2001,MATCH(A145&amp;"ENTRADA",Movimientos!$R$5:$R$2001,0))=0,"S/D",INDEX(Movimientos!$M$5:$M$2001,MATCH(A145&amp;"ENTRADA",Movimientos!$R$5:$R$2001,0))),"S/D")</f>
        <v>S/D</v>
      </c>
      <c r="I145" s="16" t="str">
        <f t="shared" ca="1" si="6"/>
        <v>S/D</v>
      </c>
      <c r="J145" s="6">
        <f>IF(A145="","",SUMIFS(Movimientos!$K:$K,Movimientos!$H:$H,A145))</f>
        <v>0</v>
      </c>
      <c r="K145" s="14" t="str">
        <f t="shared" ca="1" si="7"/>
        <v>OK</v>
      </c>
    </row>
    <row r="146" spans="1:11">
      <c r="A146" s="18" t="s">
        <v>2219</v>
      </c>
      <c r="B146" s="3" t="str">
        <f>IFERROR(INDEX(Movimientos!$C$5:$C$2001,MATCH(A146&amp;"ENTRADA",Movimientos!$R$5:$R$2001,0)),"-")</f>
        <v>-</v>
      </c>
      <c r="C146" s="3" t="str">
        <f>IFERROR(INDEX(Movimientos!$D$5:$D$2001,MATCH(A146&amp;"ENTRADA",Movimientos!$R$5:$R$2001,0)),"-")</f>
        <v>-</v>
      </c>
      <c r="D146" s="3" t="str">
        <f>IFERROR(INDEX(Movimientos!$E$5:$E$2001,MATCH(A146&amp;"ENTRADA",Movimientos!$R$5:$R$2001,0)),"-")</f>
        <v>-</v>
      </c>
      <c r="E146" s="3" t="str">
        <f>IFERROR(INDEX(Movimientos!$F$5:$F$2001,MATCH(A146&amp;"ENTRADA",Movimientos!$R$5:$R$2001,0)),"-")</f>
        <v>-</v>
      </c>
      <c r="F146" s="3" t="str">
        <f>IFERROR(INDEX(Movimientos!$G$5:$G$2001,MATCH(A146&amp;"ENTRADA",Movimientos!$R$5:$R$2001,0)),"-")</f>
        <v>-</v>
      </c>
      <c r="G146" s="3" t="str">
        <f>IFERROR(INDEX(Movimientos!$L$5:$L$2001,MATCH(A146&amp;"ENTRADA",Movimientos!$R$5:$R$2001,0)),"-")</f>
        <v>-</v>
      </c>
      <c r="H146" s="19" t="str">
        <f>IFERROR(IF(INDEX(Movimientos!$M$5:$M$2001,MATCH(A146&amp;"ENTRADA",Movimientos!$R$5:$R$2001,0))=0,"S/D",INDEX(Movimientos!$M$5:$M$2001,MATCH(A146&amp;"ENTRADA",Movimientos!$R$5:$R$2001,0))),"S/D")</f>
        <v>S/D</v>
      </c>
      <c r="I146" s="16" t="str">
        <f t="shared" ca="1" si="6"/>
        <v>S/D</v>
      </c>
      <c r="J146" s="6">
        <f>IF(A146="","",SUMIFS(Movimientos!$K:$K,Movimientos!$H:$H,A146))</f>
        <v>0</v>
      </c>
      <c r="K146" s="14" t="str">
        <f t="shared" ca="1" si="7"/>
        <v>OK</v>
      </c>
    </row>
    <row r="147" spans="1:11">
      <c r="A147" s="18" t="s">
        <v>2220</v>
      </c>
      <c r="B147" s="3" t="str">
        <f>IFERROR(INDEX(Movimientos!$C$5:$C$2001,MATCH(A147&amp;"ENTRADA",Movimientos!$R$5:$R$2001,0)),"-")</f>
        <v>-</v>
      </c>
      <c r="C147" s="3" t="str">
        <f>IFERROR(INDEX(Movimientos!$D$5:$D$2001,MATCH(A147&amp;"ENTRADA",Movimientos!$R$5:$R$2001,0)),"-")</f>
        <v>-</v>
      </c>
      <c r="D147" s="3" t="str">
        <f>IFERROR(INDEX(Movimientos!$E$5:$E$2001,MATCH(A147&amp;"ENTRADA",Movimientos!$R$5:$R$2001,0)),"-")</f>
        <v>-</v>
      </c>
      <c r="E147" s="3" t="str">
        <f>IFERROR(INDEX(Movimientos!$F$5:$F$2001,MATCH(A147&amp;"ENTRADA",Movimientos!$R$5:$R$2001,0)),"-")</f>
        <v>-</v>
      </c>
      <c r="F147" s="3" t="str">
        <f>IFERROR(INDEX(Movimientos!$G$5:$G$2001,MATCH(A147&amp;"ENTRADA",Movimientos!$R$5:$R$2001,0)),"-")</f>
        <v>-</v>
      </c>
      <c r="G147" s="3" t="str">
        <f>IFERROR(INDEX(Movimientos!$L$5:$L$2001,MATCH(A147&amp;"ENTRADA",Movimientos!$R$5:$R$2001,0)),"-")</f>
        <v>-</v>
      </c>
      <c r="H147" s="19" t="str">
        <f>IFERROR(IF(INDEX(Movimientos!$M$5:$M$2001,MATCH(A147&amp;"ENTRADA",Movimientos!$R$5:$R$2001,0))=0,"S/D",INDEX(Movimientos!$M$5:$M$2001,MATCH(A147&amp;"ENTRADA",Movimientos!$R$5:$R$2001,0))),"S/D")</f>
        <v>S/D</v>
      </c>
      <c r="I147" s="16" t="str">
        <f t="shared" ca="1" si="6"/>
        <v>S/D</v>
      </c>
      <c r="J147" s="6">
        <f>IF(A147="","",SUMIFS(Movimientos!$K:$K,Movimientos!$H:$H,A147))</f>
        <v>0</v>
      </c>
      <c r="K147" s="14" t="str">
        <f t="shared" ca="1" si="7"/>
        <v>OK</v>
      </c>
    </row>
    <row r="148" spans="1:11">
      <c r="A148" s="18" t="s">
        <v>2221</v>
      </c>
      <c r="B148" s="3" t="str">
        <f>IFERROR(INDEX(Movimientos!$C$5:$C$2001,MATCH(A148&amp;"ENTRADA",Movimientos!$R$5:$R$2001,0)),"-")</f>
        <v>-</v>
      </c>
      <c r="C148" s="3" t="str">
        <f>IFERROR(INDEX(Movimientos!$D$5:$D$2001,MATCH(A148&amp;"ENTRADA",Movimientos!$R$5:$R$2001,0)),"-")</f>
        <v>-</v>
      </c>
      <c r="D148" s="3" t="str">
        <f>IFERROR(INDEX(Movimientos!$E$5:$E$2001,MATCH(A148&amp;"ENTRADA",Movimientos!$R$5:$R$2001,0)),"-")</f>
        <v>-</v>
      </c>
      <c r="E148" s="3" t="str">
        <f>IFERROR(INDEX(Movimientos!$F$5:$F$2001,MATCH(A148&amp;"ENTRADA",Movimientos!$R$5:$R$2001,0)),"-")</f>
        <v>-</v>
      </c>
      <c r="F148" s="3" t="str">
        <f>IFERROR(INDEX(Movimientos!$G$5:$G$2001,MATCH(A148&amp;"ENTRADA",Movimientos!$R$5:$R$2001,0)),"-")</f>
        <v>-</v>
      </c>
      <c r="G148" s="3" t="str">
        <f>IFERROR(INDEX(Movimientos!$L$5:$L$2001,MATCH(A148&amp;"ENTRADA",Movimientos!$R$5:$R$2001,0)),"-")</f>
        <v>-</v>
      </c>
      <c r="H148" s="19" t="str">
        <f>IFERROR(IF(INDEX(Movimientos!$M$5:$M$2001,MATCH(A148&amp;"ENTRADA",Movimientos!$R$5:$R$2001,0))=0,"S/D",INDEX(Movimientos!$M$5:$M$2001,MATCH(A148&amp;"ENTRADA",Movimientos!$R$5:$R$2001,0))),"S/D")</f>
        <v>S/D</v>
      </c>
      <c r="I148" s="16" t="str">
        <f t="shared" ca="1" si="6"/>
        <v>S/D</v>
      </c>
      <c r="J148" s="6">
        <f>IF(A148="","",SUMIFS(Movimientos!$K:$K,Movimientos!$H:$H,A148))</f>
        <v>0</v>
      </c>
      <c r="K148" s="14" t="str">
        <f t="shared" ca="1" si="7"/>
        <v>OK</v>
      </c>
    </row>
    <row r="149" spans="1:11">
      <c r="A149" s="18" t="s">
        <v>2222</v>
      </c>
      <c r="B149" s="3" t="str">
        <f>IFERROR(INDEX(Movimientos!$C$5:$C$2001,MATCH(A149&amp;"ENTRADA",Movimientos!$R$5:$R$2001,0)),"-")</f>
        <v>-</v>
      </c>
      <c r="C149" s="3" t="str">
        <f>IFERROR(INDEX(Movimientos!$D$5:$D$2001,MATCH(A149&amp;"ENTRADA",Movimientos!$R$5:$R$2001,0)),"-")</f>
        <v>-</v>
      </c>
      <c r="D149" s="3" t="str">
        <f>IFERROR(INDEX(Movimientos!$E$5:$E$2001,MATCH(A149&amp;"ENTRADA",Movimientos!$R$5:$R$2001,0)),"-")</f>
        <v>-</v>
      </c>
      <c r="E149" s="3" t="str">
        <f>IFERROR(INDEX(Movimientos!$F$5:$F$2001,MATCH(A149&amp;"ENTRADA",Movimientos!$R$5:$R$2001,0)),"-")</f>
        <v>-</v>
      </c>
      <c r="F149" s="3" t="str">
        <f>IFERROR(INDEX(Movimientos!$G$5:$G$2001,MATCH(A149&amp;"ENTRADA",Movimientos!$R$5:$R$2001,0)),"-")</f>
        <v>-</v>
      </c>
      <c r="G149" s="3" t="str">
        <f>IFERROR(INDEX(Movimientos!$L$5:$L$2001,MATCH(A149&amp;"ENTRADA",Movimientos!$R$5:$R$2001,0)),"-")</f>
        <v>-</v>
      </c>
      <c r="H149" s="19" t="str">
        <f>IFERROR(IF(INDEX(Movimientos!$M$5:$M$2001,MATCH(A149&amp;"ENTRADA",Movimientos!$R$5:$R$2001,0))=0,"S/D",INDEX(Movimientos!$M$5:$M$2001,MATCH(A149&amp;"ENTRADA",Movimientos!$R$5:$R$2001,0))),"S/D")</f>
        <v>S/D</v>
      </c>
      <c r="I149" s="16" t="str">
        <f t="shared" ca="1" si="6"/>
        <v>S/D</v>
      </c>
      <c r="J149" s="6">
        <f>IF(A149="","",SUMIFS(Movimientos!$K:$K,Movimientos!$H:$H,A149))</f>
        <v>0</v>
      </c>
      <c r="K149" s="14" t="str">
        <f t="shared" ca="1" si="7"/>
        <v>OK</v>
      </c>
    </row>
    <row r="150" spans="1:11">
      <c r="A150" s="18" t="s">
        <v>2223</v>
      </c>
      <c r="B150" s="3" t="str">
        <f>IFERROR(INDEX(Movimientos!$C$5:$C$2001,MATCH(A150&amp;"ENTRADA",Movimientos!$R$5:$R$2001,0)),"-")</f>
        <v>-</v>
      </c>
      <c r="C150" s="3" t="str">
        <f>IFERROR(INDEX(Movimientos!$D$5:$D$2001,MATCH(A150&amp;"ENTRADA",Movimientos!$R$5:$R$2001,0)),"-")</f>
        <v>-</v>
      </c>
      <c r="D150" s="3" t="str">
        <f>IFERROR(INDEX(Movimientos!$E$5:$E$2001,MATCH(A150&amp;"ENTRADA",Movimientos!$R$5:$R$2001,0)),"-")</f>
        <v>-</v>
      </c>
      <c r="E150" s="3" t="str">
        <f>IFERROR(INDEX(Movimientos!$F$5:$F$2001,MATCH(A150&amp;"ENTRADA",Movimientos!$R$5:$R$2001,0)),"-")</f>
        <v>-</v>
      </c>
      <c r="F150" s="3" t="str">
        <f>IFERROR(INDEX(Movimientos!$G$5:$G$2001,MATCH(A150&amp;"ENTRADA",Movimientos!$R$5:$R$2001,0)),"-")</f>
        <v>-</v>
      </c>
      <c r="G150" s="3" t="str">
        <f>IFERROR(INDEX(Movimientos!$L$5:$L$2001,MATCH(A150&amp;"ENTRADA",Movimientos!$R$5:$R$2001,0)),"-")</f>
        <v>-</v>
      </c>
      <c r="H150" s="19" t="str">
        <f>IFERROR(IF(INDEX(Movimientos!$M$5:$M$2001,MATCH(A150&amp;"ENTRADA",Movimientos!$R$5:$R$2001,0))=0,"S/D",INDEX(Movimientos!$M$5:$M$2001,MATCH(A150&amp;"ENTRADA",Movimientos!$R$5:$R$2001,0))),"S/D")</f>
        <v>S/D</v>
      </c>
      <c r="I150" s="16" t="str">
        <f t="shared" ca="1" si="6"/>
        <v>S/D</v>
      </c>
      <c r="J150" s="6">
        <f>IF(A150="","",SUMIFS(Movimientos!$K:$K,Movimientos!$H:$H,A150))</f>
        <v>0</v>
      </c>
      <c r="K150" s="14" t="str">
        <f t="shared" ca="1" si="7"/>
        <v>OK</v>
      </c>
    </row>
    <row r="151" spans="1:11">
      <c r="A151" s="18" t="s">
        <v>2224</v>
      </c>
      <c r="B151" s="3" t="str">
        <f>IFERROR(INDEX(Movimientos!$C$5:$C$2001,MATCH(A151&amp;"ENTRADA",Movimientos!$R$5:$R$2001,0)),"-")</f>
        <v>-</v>
      </c>
      <c r="C151" s="3" t="str">
        <f>IFERROR(INDEX(Movimientos!$D$5:$D$2001,MATCH(A151&amp;"ENTRADA",Movimientos!$R$5:$R$2001,0)),"-")</f>
        <v>-</v>
      </c>
      <c r="D151" s="3" t="str">
        <f>IFERROR(INDEX(Movimientos!$E$5:$E$2001,MATCH(A151&amp;"ENTRADA",Movimientos!$R$5:$R$2001,0)),"-")</f>
        <v>-</v>
      </c>
      <c r="E151" s="3" t="str">
        <f>IFERROR(INDEX(Movimientos!$F$5:$F$2001,MATCH(A151&amp;"ENTRADA",Movimientos!$R$5:$R$2001,0)),"-")</f>
        <v>-</v>
      </c>
      <c r="F151" s="3" t="str">
        <f>IFERROR(INDEX(Movimientos!$G$5:$G$2001,MATCH(A151&amp;"ENTRADA",Movimientos!$R$5:$R$2001,0)),"-")</f>
        <v>-</v>
      </c>
      <c r="G151" s="3" t="str">
        <f>IFERROR(INDEX(Movimientos!$L$5:$L$2001,MATCH(A151&amp;"ENTRADA",Movimientos!$R$5:$R$2001,0)),"-")</f>
        <v>-</v>
      </c>
      <c r="H151" s="19" t="str">
        <f>IFERROR(IF(INDEX(Movimientos!$M$5:$M$2001,MATCH(A151&amp;"ENTRADA",Movimientos!$R$5:$R$2001,0))=0,"S/D",INDEX(Movimientos!$M$5:$M$2001,MATCH(A151&amp;"ENTRADA",Movimientos!$R$5:$R$2001,0))),"S/D")</f>
        <v>S/D</v>
      </c>
      <c r="I151" s="16" t="str">
        <f t="shared" ca="1" si="6"/>
        <v>S/D</v>
      </c>
      <c r="J151" s="6">
        <f>IF(A151="","",SUMIFS(Movimientos!$K:$K,Movimientos!$H:$H,A151))</f>
        <v>0</v>
      </c>
      <c r="K151" s="14" t="str">
        <f t="shared" ca="1" si="7"/>
        <v>OK</v>
      </c>
    </row>
    <row r="152" spans="1:11">
      <c r="A152" s="18" t="s">
        <v>2225</v>
      </c>
      <c r="B152" s="3" t="str">
        <f>IFERROR(INDEX(Movimientos!$C$5:$C$2001,MATCH(A152&amp;"ENTRADA",Movimientos!$R$5:$R$2001,0)),"-")</f>
        <v>-</v>
      </c>
      <c r="C152" s="3" t="str">
        <f>IFERROR(INDEX(Movimientos!$D$5:$D$2001,MATCH(A152&amp;"ENTRADA",Movimientos!$R$5:$R$2001,0)),"-")</f>
        <v>-</v>
      </c>
      <c r="D152" s="3" t="str">
        <f>IFERROR(INDEX(Movimientos!$E$5:$E$2001,MATCH(A152&amp;"ENTRADA",Movimientos!$R$5:$R$2001,0)),"-")</f>
        <v>-</v>
      </c>
      <c r="E152" s="3" t="str">
        <f>IFERROR(INDEX(Movimientos!$F$5:$F$2001,MATCH(A152&amp;"ENTRADA",Movimientos!$R$5:$R$2001,0)),"-")</f>
        <v>-</v>
      </c>
      <c r="F152" s="3" t="str">
        <f>IFERROR(INDEX(Movimientos!$G$5:$G$2001,MATCH(A152&amp;"ENTRADA",Movimientos!$R$5:$R$2001,0)),"-")</f>
        <v>-</v>
      </c>
      <c r="G152" s="3" t="str">
        <f>IFERROR(INDEX(Movimientos!$L$5:$L$2001,MATCH(A152&amp;"ENTRADA",Movimientos!$R$5:$R$2001,0)),"-")</f>
        <v>-</v>
      </c>
      <c r="H152" s="19" t="str">
        <f>IFERROR(IF(INDEX(Movimientos!$M$5:$M$2001,MATCH(A152&amp;"ENTRADA",Movimientos!$R$5:$R$2001,0))=0,"S/D",INDEX(Movimientos!$M$5:$M$2001,MATCH(A152&amp;"ENTRADA",Movimientos!$R$5:$R$2001,0))),"S/D")</f>
        <v>S/D</v>
      </c>
      <c r="I152" s="16" t="str">
        <f t="shared" ca="1" si="6"/>
        <v>S/D</v>
      </c>
      <c r="J152" s="6">
        <f>IF(A152="","",SUMIFS(Movimientos!$K:$K,Movimientos!$H:$H,A152))</f>
        <v>0</v>
      </c>
      <c r="K152" s="14" t="str">
        <f t="shared" ca="1" si="7"/>
        <v>OK</v>
      </c>
    </row>
    <row r="153" spans="1:11">
      <c r="A153" s="18" t="s">
        <v>2226</v>
      </c>
      <c r="B153" s="3" t="str">
        <f>IFERROR(INDEX(Movimientos!$C$5:$C$2001,MATCH(A153&amp;"ENTRADA",Movimientos!$R$5:$R$2001,0)),"-")</f>
        <v>-</v>
      </c>
      <c r="C153" s="3" t="str">
        <f>IFERROR(INDEX(Movimientos!$D$5:$D$2001,MATCH(A153&amp;"ENTRADA",Movimientos!$R$5:$R$2001,0)),"-")</f>
        <v>-</v>
      </c>
      <c r="D153" s="3" t="str">
        <f>IFERROR(INDEX(Movimientos!$E$5:$E$2001,MATCH(A153&amp;"ENTRADA",Movimientos!$R$5:$R$2001,0)),"-")</f>
        <v>-</v>
      </c>
      <c r="E153" s="3" t="str">
        <f>IFERROR(INDEX(Movimientos!$F$5:$F$2001,MATCH(A153&amp;"ENTRADA",Movimientos!$R$5:$R$2001,0)),"-")</f>
        <v>-</v>
      </c>
      <c r="F153" s="3" t="str">
        <f>IFERROR(INDEX(Movimientos!$G$5:$G$2001,MATCH(A153&amp;"ENTRADA",Movimientos!$R$5:$R$2001,0)),"-")</f>
        <v>-</v>
      </c>
      <c r="G153" s="3" t="str">
        <f>IFERROR(INDEX(Movimientos!$L$5:$L$2001,MATCH(A153&amp;"ENTRADA",Movimientos!$R$5:$R$2001,0)),"-")</f>
        <v>-</v>
      </c>
      <c r="H153" s="19" t="str">
        <f>IFERROR(IF(INDEX(Movimientos!$M$5:$M$2001,MATCH(A153&amp;"ENTRADA",Movimientos!$R$5:$R$2001,0))=0,"S/D",INDEX(Movimientos!$M$5:$M$2001,MATCH(A153&amp;"ENTRADA",Movimientos!$R$5:$R$2001,0))),"S/D")</f>
        <v>S/D</v>
      </c>
      <c r="I153" s="16" t="str">
        <f t="shared" ca="1" si="6"/>
        <v>S/D</v>
      </c>
      <c r="J153" s="6">
        <f>IF(A153="","",SUMIFS(Movimientos!$K:$K,Movimientos!$H:$H,A153))</f>
        <v>0</v>
      </c>
      <c r="K153" s="14" t="str">
        <f t="shared" ca="1" si="7"/>
        <v>OK</v>
      </c>
    </row>
    <row r="154" spans="1:11">
      <c r="A154" s="18" t="s">
        <v>2227</v>
      </c>
      <c r="B154" s="3" t="str">
        <f>IFERROR(INDEX(Movimientos!$C$5:$C$2001,MATCH(A154&amp;"ENTRADA",Movimientos!$R$5:$R$2001,0)),"-")</f>
        <v>-</v>
      </c>
      <c r="C154" s="3" t="str">
        <f>IFERROR(INDEX(Movimientos!$D$5:$D$2001,MATCH(A154&amp;"ENTRADA",Movimientos!$R$5:$R$2001,0)),"-")</f>
        <v>-</v>
      </c>
      <c r="D154" s="3" t="str">
        <f>IFERROR(INDEX(Movimientos!$E$5:$E$2001,MATCH(A154&amp;"ENTRADA",Movimientos!$R$5:$R$2001,0)),"-")</f>
        <v>-</v>
      </c>
      <c r="E154" s="3" t="str">
        <f>IFERROR(INDEX(Movimientos!$F$5:$F$2001,MATCH(A154&amp;"ENTRADA",Movimientos!$R$5:$R$2001,0)),"-")</f>
        <v>-</v>
      </c>
      <c r="F154" s="3" t="str">
        <f>IFERROR(INDEX(Movimientos!$G$5:$G$2001,MATCH(A154&amp;"ENTRADA",Movimientos!$R$5:$R$2001,0)),"-")</f>
        <v>-</v>
      </c>
      <c r="G154" s="3" t="str">
        <f>IFERROR(INDEX(Movimientos!$L$5:$L$2001,MATCH(A154&amp;"ENTRADA",Movimientos!$R$5:$R$2001,0)),"-")</f>
        <v>-</v>
      </c>
      <c r="H154" s="19" t="str">
        <f>IFERROR(IF(INDEX(Movimientos!$M$5:$M$2001,MATCH(A154&amp;"ENTRADA",Movimientos!$R$5:$R$2001,0))=0,"S/D",INDEX(Movimientos!$M$5:$M$2001,MATCH(A154&amp;"ENTRADA",Movimientos!$R$5:$R$2001,0))),"S/D")</f>
        <v>S/D</v>
      </c>
      <c r="I154" s="16" t="str">
        <f t="shared" ca="1" si="6"/>
        <v>S/D</v>
      </c>
      <c r="J154" s="6">
        <f>IF(A154="","",SUMIFS(Movimientos!$K:$K,Movimientos!$H:$H,A154))</f>
        <v>0</v>
      </c>
      <c r="K154" s="14" t="str">
        <f t="shared" ca="1" si="7"/>
        <v>OK</v>
      </c>
    </row>
    <row r="155" spans="1:11">
      <c r="A155" s="18" t="s">
        <v>2228</v>
      </c>
      <c r="B155" s="3" t="str">
        <f>IFERROR(INDEX(Movimientos!$C$5:$C$2001,MATCH(A155&amp;"ENTRADA",Movimientos!$R$5:$R$2001,0)),"-")</f>
        <v>-</v>
      </c>
      <c r="C155" s="3" t="str">
        <f>IFERROR(INDEX(Movimientos!$D$5:$D$2001,MATCH(A155&amp;"ENTRADA",Movimientos!$R$5:$R$2001,0)),"-")</f>
        <v>-</v>
      </c>
      <c r="D155" s="3" t="str">
        <f>IFERROR(INDEX(Movimientos!$E$5:$E$2001,MATCH(A155&amp;"ENTRADA",Movimientos!$R$5:$R$2001,0)),"-")</f>
        <v>-</v>
      </c>
      <c r="E155" s="3" t="str">
        <f>IFERROR(INDEX(Movimientos!$F$5:$F$2001,MATCH(A155&amp;"ENTRADA",Movimientos!$R$5:$R$2001,0)),"-")</f>
        <v>-</v>
      </c>
      <c r="F155" s="3" t="str">
        <f>IFERROR(INDEX(Movimientos!$G$5:$G$2001,MATCH(A155&amp;"ENTRADA",Movimientos!$R$5:$R$2001,0)),"-")</f>
        <v>-</v>
      </c>
      <c r="G155" s="3" t="str">
        <f>IFERROR(INDEX(Movimientos!$L$5:$L$2001,MATCH(A155&amp;"ENTRADA",Movimientos!$R$5:$R$2001,0)),"-")</f>
        <v>-</v>
      </c>
      <c r="H155" s="19" t="str">
        <f>IFERROR(IF(INDEX(Movimientos!$M$5:$M$2001,MATCH(A155&amp;"ENTRADA",Movimientos!$R$5:$R$2001,0))=0,"S/D",INDEX(Movimientos!$M$5:$M$2001,MATCH(A155&amp;"ENTRADA",Movimientos!$R$5:$R$2001,0))),"S/D")</f>
        <v>S/D</v>
      </c>
      <c r="I155" s="16" t="str">
        <f t="shared" ca="1" si="6"/>
        <v>S/D</v>
      </c>
      <c r="J155" s="6">
        <f>IF(A155="","",SUMIFS(Movimientos!$K:$K,Movimientos!$H:$H,A155))</f>
        <v>0</v>
      </c>
      <c r="K155" s="14" t="str">
        <f t="shared" ca="1" si="7"/>
        <v>OK</v>
      </c>
    </row>
    <row r="156" spans="1:11">
      <c r="A156" s="18" t="s">
        <v>2229</v>
      </c>
      <c r="B156" s="3" t="str">
        <f>IFERROR(INDEX(Movimientos!$C$5:$C$2001,MATCH(A156&amp;"ENTRADA",Movimientos!$R$5:$R$2001,0)),"-")</f>
        <v>-</v>
      </c>
      <c r="C156" s="3" t="str">
        <f>IFERROR(INDEX(Movimientos!$D$5:$D$2001,MATCH(A156&amp;"ENTRADA",Movimientos!$R$5:$R$2001,0)),"-")</f>
        <v>-</v>
      </c>
      <c r="D156" s="3" t="str">
        <f>IFERROR(INDEX(Movimientos!$E$5:$E$2001,MATCH(A156&amp;"ENTRADA",Movimientos!$R$5:$R$2001,0)),"-")</f>
        <v>-</v>
      </c>
      <c r="E156" s="3" t="str">
        <f>IFERROR(INDEX(Movimientos!$F$5:$F$2001,MATCH(A156&amp;"ENTRADA",Movimientos!$R$5:$R$2001,0)),"-")</f>
        <v>-</v>
      </c>
      <c r="F156" s="3" t="str">
        <f>IFERROR(INDEX(Movimientos!$G$5:$G$2001,MATCH(A156&amp;"ENTRADA",Movimientos!$R$5:$R$2001,0)),"-")</f>
        <v>-</v>
      </c>
      <c r="G156" s="3" t="str">
        <f>IFERROR(INDEX(Movimientos!$L$5:$L$2001,MATCH(A156&amp;"ENTRADA",Movimientos!$R$5:$R$2001,0)),"-")</f>
        <v>-</v>
      </c>
      <c r="H156" s="19" t="str">
        <f>IFERROR(IF(INDEX(Movimientos!$M$5:$M$2001,MATCH(A156&amp;"ENTRADA",Movimientos!$R$5:$R$2001,0))=0,"S/D",INDEX(Movimientos!$M$5:$M$2001,MATCH(A156&amp;"ENTRADA",Movimientos!$R$5:$R$2001,0))),"S/D")</f>
        <v>S/D</v>
      </c>
      <c r="I156" s="16" t="str">
        <f t="shared" ca="1" si="6"/>
        <v>S/D</v>
      </c>
      <c r="J156" s="6">
        <f>IF(A156="","",SUMIFS(Movimientos!$K:$K,Movimientos!$H:$H,A156))</f>
        <v>0</v>
      </c>
      <c r="K156" s="14" t="str">
        <f t="shared" ca="1" si="7"/>
        <v>OK</v>
      </c>
    </row>
    <row r="157" spans="1:11">
      <c r="A157" s="18" t="s">
        <v>2230</v>
      </c>
      <c r="B157" s="3" t="str">
        <f>IFERROR(INDEX(Movimientos!$C$5:$C$2001,MATCH(A157&amp;"ENTRADA",Movimientos!$R$5:$R$2001,0)),"-")</f>
        <v>-</v>
      </c>
      <c r="C157" s="3" t="str">
        <f>IFERROR(INDEX(Movimientos!$D$5:$D$2001,MATCH(A157&amp;"ENTRADA",Movimientos!$R$5:$R$2001,0)),"-")</f>
        <v>-</v>
      </c>
      <c r="D157" s="3" t="str">
        <f>IFERROR(INDEX(Movimientos!$E$5:$E$2001,MATCH(A157&amp;"ENTRADA",Movimientos!$R$5:$R$2001,0)),"-")</f>
        <v>-</v>
      </c>
      <c r="E157" s="3" t="str">
        <f>IFERROR(INDEX(Movimientos!$F$5:$F$2001,MATCH(A157&amp;"ENTRADA",Movimientos!$R$5:$R$2001,0)),"-")</f>
        <v>-</v>
      </c>
      <c r="F157" s="3" t="str">
        <f>IFERROR(INDEX(Movimientos!$G$5:$G$2001,MATCH(A157&amp;"ENTRADA",Movimientos!$R$5:$R$2001,0)),"-")</f>
        <v>-</v>
      </c>
      <c r="G157" s="3" t="str">
        <f>IFERROR(INDEX(Movimientos!$L$5:$L$2001,MATCH(A157&amp;"ENTRADA",Movimientos!$R$5:$R$2001,0)),"-")</f>
        <v>-</v>
      </c>
      <c r="H157" s="19" t="str">
        <f>IFERROR(IF(INDEX(Movimientos!$M$5:$M$2001,MATCH(A157&amp;"ENTRADA",Movimientos!$R$5:$R$2001,0))=0,"S/D",INDEX(Movimientos!$M$5:$M$2001,MATCH(A157&amp;"ENTRADA",Movimientos!$R$5:$R$2001,0))),"S/D")</f>
        <v>S/D</v>
      </c>
      <c r="I157" s="16" t="str">
        <f t="shared" ca="1" si="6"/>
        <v>S/D</v>
      </c>
      <c r="J157" s="6">
        <f>IF(A157="","",SUMIFS(Movimientos!$K:$K,Movimientos!$H:$H,A157))</f>
        <v>0</v>
      </c>
      <c r="K157" s="14" t="str">
        <f t="shared" ca="1" si="7"/>
        <v>OK</v>
      </c>
    </row>
    <row r="158" spans="1:11">
      <c r="A158" s="18" t="s">
        <v>2231</v>
      </c>
      <c r="B158" s="3" t="str">
        <f>IFERROR(INDEX(Movimientos!$C$5:$C$2001,MATCH(A158&amp;"ENTRADA",Movimientos!$R$5:$R$2001,0)),"-")</f>
        <v>-</v>
      </c>
      <c r="C158" s="3" t="str">
        <f>IFERROR(INDEX(Movimientos!$D$5:$D$2001,MATCH(A158&amp;"ENTRADA",Movimientos!$R$5:$R$2001,0)),"-")</f>
        <v>-</v>
      </c>
      <c r="D158" s="3" t="str">
        <f>IFERROR(INDEX(Movimientos!$E$5:$E$2001,MATCH(A158&amp;"ENTRADA",Movimientos!$R$5:$R$2001,0)),"-")</f>
        <v>-</v>
      </c>
      <c r="E158" s="3" t="str">
        <f>IFERROR(INDEX(Movimientos!$F$5:$F$2001,MATCH(A158&amp;"ENTRADA",Movimientos!$R$5:$R$2001,0)),"-")</f>
        <v>-</v>
      </c>
      <c r="F158" s="3" t="str">
        <f>IFERROR(INDEX(Movimientos!$G$5:$G$2001,MATCH(A158&amp;"ENTRADA",Movimientos!$R$5:$R$2001,0)),"-")</f>
        <v>-</v>
      </c>
      <c r="G158" s="3" t="str">
        <f>IFERROR(INDEX(Movimientos!$L$5:$L$2001,MATCH(A158&amp;"ENTRADA",Movimientos!$R$5:$R$2001,0)),"-")</f>
        <v>-</v>
      </c>
      <c r="H158" s="19" t="str">
        <f>IFERROR(IF(INDEX(Movimientos!$M$5:$M$2001,MATCH(A158&amp;"ENTRADA",Movimientos!$R$5:$R$2001,0))=0,"S/D",INDEX(Movimientos!$M$5:$M$2001,MATCH(A158&amp;"ENTRADA",Movimientos!$R$5:$R$2001,0))),"S/D")</f>
        <v>S/D</v>
      </c>
      <c r="I158" s="16" t="str">
        <f t="shared" ca="1" si="6"/>
        <v>S/D</v>
      </c>
      <c r="J158" s="6">
        <f>IF(A158="","",SUMIFS(Movimientos!$K:$K,Movimientos!$H:$H,A158))</f>
        <v>0</v>
      </c>
      <c r="K158" s="14" t="str">
        <f t="shared" ca="1" si="7"/>
        <v>OK</v>
      </c>
    </row>
    <row r="159" spans="1:11">
      <c r="A159" s="18" t="s">
        <v>2232</v>
      </c>
      <c r="B159" s="3" t="str">
        <f>IFERROR(INDEX(Movimientos!$C$5:$C$2001,MATCH(A159&amp;"ENTRADA",Movimientos!$R$5:$R$2001,0)),"-")</f>
        <v>-</v>
      </c>
      <c r="C159" s="3" t="str">
        <f>IFERROR(INDEX(Movimientos!$D$5:$D$2001,MATCH(A159&amp;"ENTRADA",Movimientos!$R$5:$R$2001,0)),"-")</f>
        <v>-</v>
      </c>
      <c r="D159" s="3" t="str">
        <f>IFERROR(INDEX(Movimientos!$E$5:$E$2001,MATCH(A159&amp;"ENTRADA",Movimientos!$R$5:$R$2001,0)),"-")</f>
        <v>-</v>
      </c>
      <c r="E159" s="3" t="str">
        <f>IFERROR(INDEX(Movimientos!$F$5:$F$2001,MATCH(A159&amp;"ENTRADA",Movimientos!$R$5:$R$2001,0)),"-")</f>
        <v>-</v>
      </c>
      <c r="F159" s="3" t="str">
        <f>IFERROR(INDEX(Movimientos!$G$5:$G$2001,MATCH(A159&amp;"ENTRADA",Movimientos!$R$5:$R$2001,0)),"-")</f>
        <v>-</v>
      </c>
      <c r="G159" s="3" t="str">
        <f>IFERROR(INDEX(Movimientos!$L$5:$L$2001,MATCH(A159&amp;"ENTRADA",Movimientos!$R$5:$R$2001,0)),"-")</f>
        <v>-</v>
      </c>
      <c r="H159" s="19" t="str">
        <f>IFERROR(IF(INDEX(Movimientos!$M$5:$M$2001,MATCH(A159&amp;"ENTRADA",Movimientos!$R$5:$R$2001,0))=0,"S/D",INDEX(Movimientos!$M$5:$M$2001,MATCH(A159&amp;"ENTRADA",Movimientos!$R$5:$R$2001,0))),"S/D")</f>
        <v>S/D</v>
      </c>
      <c r="I159" s="16" t="str">
        <f t="shared" ca="1" si="6"/>
        <v>S/D</v>
      </c>
      <c r="J159" s="6">
        <f>IF(A159="","",SUMIFS(Movimientos!$K:$K,Movimientos!$H:$H,A159))</f>
        <v>0</v>
      </c>
      <c r="K159" s="14" t="str">
        <f t="shared" ca="1" si="7"/>
        <v>OK</v>
      </c>
    </row>
    <row r="160" spans="1:11">
      <c r="A160" s="18" t="s">
        <v>2233</v>
      </c>
      <c r="B160" s="3" t="str">
        <f>IFERROR(INDEX(Movimientos!$C$5:$C$2001,MATCH(A160&amp;"ENTRADA",Movimientos!$R$5:$R$2001,0)),"-")</f>
        <v>-</v>
      </c>
      <c r="C160" s="3" t="str">
        <f>IFERROR(INDEX(Movimientos!$D$5:$D$2001,MATCH(A160&amp;"ENTRADA",Movimientos!$R$5:$R$2001,0)),"-")</f>
        <v>-</v>
      </c>
      <c r="D160" s="3" t="str">
        <f>IFERROR(INDEX(Movimientos!$E$5:$E$2001,MATCH(A160&amp;"ENTRADA",Movimientos!$R$5:$R$2001,0)),"-")</f>
        <v>-</v>
      </c>
      <c r="E160" s="3" t="str">
        <f>IFERROR(INDEX(Movimientos!$F$5:$F$2001,MATCH(A160&amp;"ENTRADA",Movimientos!$R$5:$R$2001,0)),"-")</f>
        <v>-</v>
      </c>
      <c r="F160" s="3" t="str">
        <f>IFERROR(INDEX(Movimientos!$G$5:$G$2001,MATCH(A160&amp;"ENTRADA",Movimientos!$R$5:$R$2001,0)),"-")</f>
        <v>-</v>
      </c>
      <c r="G160" s="3" t="str">
        <f>IFERROR(INDEX(Movimientos!$L$5:$L$2001,MATCH(A160&amp;"ENTRADA",Movimientos!$R$5:$R$2001,0)),"-")</f>
        <v>-</v>
      </c>
      <c r="H160" s="19" t="str">
        <f>IFERROR(IF(INDEX(Movimientos!$M$5:$M$2001,MATCH(A160&amp;"ENTRADA",Movimientos!$R$5:$R$2001,0))=0,"S/D",INDEX(Movimientos!$M$5:$M$2001,MATCH(A160&amp;"ENTRADA",Movimientos!$R$5:$R$2001,0))),"S/D")</f>
        <v>S/D</v>
      </c>
      <c r="I160" s="16" t="str">
        <f t="shared" ca="1" si="6"/>
        <v>S/D</v>
      </c>
      <c r="J160" s="6">
        <f>IF(A160="","",SUMIFS(Movimientos!$K:$K,Movimientos!$H:$H,A160))</f>
        <v>0</v>
      </c>
      <c r="K160" s="14" t="str">
        <f t="shared" ca="1" si="7"/>
        <v>OK</v>
      </c>
    </row>
    <row r="161" spans="1:11">
      <c r="A161" s="18" t="s">
        <v>2234</v>
      </c>
      <c r="B161" s="3" t="str">
        <f>IFERROR(INDEX(Movimientos!$C$5:$C$2001,MATCH(A161&amp;"ENTRADA",Movimientos!$R$5:$R$2001,0)),"-")</f>
        <v>-</v>
      </c>
      <c r="C161" s="3" t="str">
        <f>IFERROR(INDEX(Movimientos!$D$5:$D$2001,MATCH(A161&amp;"ENTRADA",Movimientos!$R$5:$R$2001,0)),"-")</f>
        <v>-</v>
      </c>
      <c r="D161" s="3" t="str">
        <f>IFERROR(INDEX(Movimientos!$E$5:$E$2001,MATCH(A161&amp;"ENTRADA",Movimientos!$R$5:$R$2001,0)),"-")</f>
        <v>-</v>
      </c>
      <c r="E161" s="3" t="str">
        <f>IFERROR(INDEX(Movimientos!$F$5:$F$2001,MATCH(A161&amp;"ENTRADA",Movimientos!$R$5:$R$2001,0)),"-")</f>
        <v>-</v>
      </c>
      <c r="F161" s="3" t="str">
        <f>IFERROR(INDEX(Movimientos!$G$5:$G$2001,MATCH(A161&amp;"ENTRADA",Movimientos!$R$5:$R$2001,0)),"-")</f>
        <v>-</v>
      </c>
      <c r="G161" s="3" t="str">
        <f>IFERROR(INDEX(Movimientos!$L$5:$L$2001,MATCH(A161&amp;"ENTRADA",Movimientos!$R$5:$R$2001,0)),"-")</f>
        <v>-</v>
      </c>
      <c r="H161" s="19" t="str">
        <f>IFERROR(IF(INDEX(Movimientos!$M$5:$M$2001,MATCH(A161&amp;"ENTRADA",Movimientos!$R$5:$R$2001,0))=0,"S/D",INDEX(Movimientos!$M$5:$M$2001,MATCH(A161&amp;"ENTRADA",Movimientos!$R$5:$R$2001,0))),"S/D")</f>
        <v>S/D</v>
      </c>
      <c r="I161" s="16" t="str">
        <f t="shared" ca="1" si="6"/>
        <v>S/D</v>
      </c>
      <c r="J161" s="6">
        <f>IF(A161="","",SUMIFS(Movimientos!$K:$K,Movimientos!$H:$H,A161))</f>
        <v>0</v>
      </c>
      <c r="K161" s="14" t="str">
        <f t="shared" ca="1" si="7"/>
        <v>OK</v>
      </c>
    </row>
    <row r="162" spans="1:11">
      <c r="A162" s="18" t="s">
        <v>2235</v>
      </c>
      <c r="B162" s="3" t="str">
        <f>IFERROR(INDEX(Movimientos!$C$5:$C$2001,MATCH(A162&amp;"ENTRADA",Movimientos!$R$5:$R$2001,0)),"-")</f>
        <v>-</v>
      </c>
      <c r="C162" s="3" t="str">
        <f>IFERROR(INDEX(Movimientos!$D$5:$D$2001,MATCH(A162&amp;"ENTRADA",Movimientos!$R$5:$R$2001,0)),"-")</f>
        <v>-</v>
      </c>
      <c r="D162" s="3" t="str">
        <f>IFERROR(INDEX(Movimientos!$E$5:$E$2001,MATCH(A162&amp;"ENTRADA",Movimientos!$R$5:$R$2001,0)),"-")</f>
        <v>-</v>
      </c>
      <c r="E162" s="3" t="str">
        <f>IFERROR(INDEX(Movimientos!$F$5:$F$2001,MATCH(A162&amp;"ENTRADA",Movimientos!$R$5:$R$2001,0)),"-")</f>
        <v>-</v>
      </c>
      <c r="F162" s="3" t="str">
        <f>IFERROR(INDEX(Movimientos!$G$5:$G$2001,MATCH(A162&amp;"ENTRADA",Movimientos!$R$5:$R$2001,0)),"-")</f>
        <v>-</v>
      </c>
      <c r="G162" s="3" t="str">
        <f>IFERROR(INDEX(Movimientos!$L$5:$L$2001,MATCH(A162&amp;"ENTRADA",Movimientos!$R$5:$R$2001,0)),"-")</f>
        <v>-</v>
      </c>
      <c r="H162" s="19" t="str">
        <f>IFERROR(IF(INDEX(Movimientos!$M$5:$M$2001,MATCH(A162&amp;"ENTRADA",Movimientos!$R$5:$R$2001,0))=0,"S/D",INDEX(Movimientos!$M$5:$M$2001,MATCH(A162&amp;"ENTRADA",Movimientos!$R$5:$R$2001,0))),"S/D")</f>
        <v>S/D</v>
      </c>
      <c r="I162" s="16" t="str">
        <f t="shared" ca="1" si="6"/>
        <v>S/D</v>
      </c>
      <c r="J162" s="6">
        <f>IF(A162="","",SUMIFS(Movimientos!$K:$K,Movimientos!$H:$H,A162))</f>
        <v>0</v>
      </c>
      <c r="K162" s="14" t="str">
        <f t="shared" ca="1" si="7"/>
        <v>OK</v>
      </c>
    </row>
    <row r="163" spans="1:11">
      <c r="A163" s="18" t="s">
        <v>2236</v>
      </c>
      <c r="B163" s="3" t="str">
        <f>IFERROR(INDEX(Movimientos!$C$5:$C$2001,MATCH(A163&amp;"ENTRADA",Movimientos!$R$5:$R$2001,0)),"-")</f>
        <v>-</v>
      </c>
      <c r="C163" s="3" t="str">
        <f>IFERROR(INDEX(Movimientos!$D$5:$D$2001,MATCH(A163&amp;"ENTRADA",Movimientos!$R$5:$R$2001,0)),"-")</f>
        <v>-</v>
      </c>
      <c r="D163" s="3" t="str">
        <f>IFERROR(INDEX(Movimientos!$E$5:$E$2001,MATCH(A163&amp;"ENTRADA",Movimientos!$R$5:$R$2001,0)),"-")</f>
        <v>-</v>
      </c>
      <c r="E163" s="3" t="str">
        <f>IFERROR(INDEX(Movimientos!$F$5:$F$2001,MATCH(A163&amp;"ENTRADA",Movimientos!$R$5:$R$2001,0)),"-")</f>
        <v>-</v>
      </c>
      <c r="F163" s="3" t="str">
        <f>IFERROR(INDEX(Movimientos!$G$5:$G$2001,MATCH(A163&amp;"ENTRADA",Movimientos!$R$5:$R$2001,0)),"-")</f>
        <v>-</v>
      </c>
      <c r="G163" s="3" t="str">
        <f>IFERROR(INDEX(Movimientos!$L$5:$L$2001,MATCH(A163&amp;"ENTRADA",Movimientos!$R$5:$R$2001,0)),"-")</f>
        <v>-</v>
      </c>
      <c r="H163" s="19" t="str">
        <f>IFERROR(IF(INDEX(Movimientos!$M$5:$M$2001,MATCH(A163&amp;"ENTRADA",Movimientos!$R$5:$R$2001,0))=0,"S/D",INDEX(Movimientos!$M$5:$M$2001,MATCH(A163&amp;"ENTRADA",Movimientos!$R$5:$R$2001,0))),"S/D")</f>
        <v>S/D</v>
      </c>
      <c r="I163" s="16" t="str">
        <f t="shared" ca="1" si="6"/>
        <v>S/D</v>
      </c>
      <c r="J163" s="6">
        <f>IF(A163="","",SUMIFS(Movimientos!$K:$K,Movimientos!$H:$H,A163))</f>
        <v>0</v>
      </c>
      <c r="K163" s="14" t="str">
        <f t="shared" ca="1" si="7"/>
        <v>OK</v>
      </c>
    </row>
    <row r="164" spans="1:11">
      <c r="A164" s="18" t="s">
        <v>2237</v>
      </c>
      <c r="B164" s="3" t="str">
        <f>IFERROR(INDEX(Movimientos!$C$5:$C$2001,MATCH(A164&amp;"ENTRADA",Movimientos!$R$5:$R$2001,0)),"-")</f>
        <v>-</v>
      </c>
      <c r="C164" s="3" t="str">
        <f>IFERROR(INDEX(Movimientos!$D$5:$D$2001,MATCH(A164&amp;"ENTRADA",Movimientos!$R$5:$R$2001,0)),"-")</f>
        <v>-</v>
      </c>
      <c r="D164" s="3" t="str">
        <f>IFERROR(INDEX(Movimientos!$E$5:$E$2001,MATCH(A164&amp;"ENTRADA",Movimientos!$R$5:$R$2001,0)),"-")</f>
        <v>-</v>
      </c>
      <c r="E164" s="3" t="str">
        <f>IFERROR(INDEX(Movimientos!$F$5:$F$2001,MATCH(A164&amp;"ENTRADA",Movimientos!$R$5:$R$2001,0)),"-")</f>
        <v>-</v>
      </c>
      <c r="F164" s="3" t="str">
        <f>IFERROR(INDEX(Movimientos!$G$5:$G$2001,MATCH(A164&amp;"ENTRADA",Movimientos!$R$5:$R$2001,0)),"-")</f>
        <v>-</v>
      </c>
      <c r="G164" s="3" t="str">
        <f>IFERROR(INDEX(Movimientos!$L$5:$L$2001,MATCH(A164&amp;"ENTRADA",Movimientos!$R$5:$R$2001,0)),"-")</f>
        <v>-</v>
      </c>
      <c r="H164" s="19" t="str">
        <f>IFERROR(IF(INDEX(Movimientos!$M$5:$M$2001,MATCH(A164&amp;"ENTRADA",Movimientos!$R$5:$R$2001,0))=0,"S/D",INDEX(Movimientos!$M$5:$M$2001,MATCH(A164&amp;"ENTRADA",Movimientos!$R$5:$R$2001,0))),"S/D")</f>
        <v>S/D</v>
      </c>
      <c r="I164" s="16" t="str">
        <f t="shared" ca="1" si="6"/>
        <v>S/D</v>
      </c>
      <c r="J164" s="6">
        <f>IF(A164="","",SUMIFS(Movimientos!$K:$K,Movimientos!$H:$H,A164))</f>
        <v>0</v>
      </c>
      <c r="K164" s="14" t="str">
        <f t="shared" ca="1" si="7"/>
        <v>OK</v>
      </c>
    </row>
    <row r="165" spans="1:11">
      <c r="A165" s="18" t="s">
        <v>2238</v>
      </c>
      <c r="B165" s="3" t="str">
        <f>IFERROR(INDEX(Movimientos!$C$5:$C$2001,MATCH(A165&amp;"ENTRADA",Movimientos!$R$5:$R$2001,0)),"-")</f>
        <v>-</v>
      </c>
      <c r="C165" s="3" t="str">
        <f>IFERROR(INDEX(Movimientos!$D$5:$D$2001,MATCH(A165&amp;"ENTRADA",Movimientos!$R$5:$R$2001,0)),"-")</f>
        <v>-</v>
      </c>
      <c r="D165" s="3" t="str">
        <f>IFERROR(INDEX(Movimientos!$E$5:$E$2001,MATCH(A165&amp;"ENTRADA",Movimientos!$R$5:$R$2001,0)),"-")</f>
        <v>-</v>
      </c>
      <c r="E165" s="3" t="str">
        <f>IFERROR(INDEX(Movimientos!$F$5:$F$2001,MATCH(A165&amp;"ENTRADA",Movimientos!$R$5:$R$2001,0)),"-")</f>
        <v>-</v>
      </c>
      <c r="F165" s="3" t="str">
        <f>IFERROR(INDEX(Movimientos!$G$5:$G$2001,MATCH(A165&amp;"ENTRADA",Movimientos!$R$5:$R$2001,0)),"-")</f>
        <v>-</v>
      </c>
      <c r="G165" s="3" t="str">
        <f>IFERROR(INDEX(Movimientos!$L$5:$L$2001,MATCH(A165&amp;"ENTRADA",Movimientos!$R$5:$R$2001,0)),"-")</f>
        <v>-</v>
      </c>
      <c r="H165" s="19" t="str">
        <f>IFERROR(IF(INDEX(Movimientos!$M$5:$M$2001,MATCH(A165&amp;"ENTRADA",Movimientos!$R$5:$R$2001,0))=0,"S/D",INDEX(Movimientos!$M$5:$M$2001,MATCH(A165&amp;"ENTRADA",Movimientos!$R$5:$R$2001,0))),"S/D")</f>
        <v>S/D</v>
      </c>
      <c r="I165" s="16" t="str">
        <f t="shared" ca="1" si="6"/>
        <v>S/D</v>
      </c>
      <c r="J165" s="6">
        <f>IF(A165="","",SUMIFS(Movimientos!$K:$K,Movimientos!$H:$H,A165))</f>
        <v>0</v>
      </c>
      <c r="K165" s="14" t="str">
        <f t="shared" ca="1" si="7"/>
        <v>OK</v>
      </c>
    </row>
    <row r="166" spans="1:11">
      <c r="A166" s="18" t="s">
        <v>2239</v>
      </c>
      <c r="B166" s="3" t="str">
        <f>IFERROR(INDEX(Movimientos!$C$5:$C$2001,MATCH(A166&amp;"ENTRADA",Movimientos!$R$5:$R$2001,0)),"-")</f>
        <v>-</v>
      </c>
      <c r="C166" s="3" t="str">
        <f>IFERROR(INDEX(Movimientos!$D$5:$D$2001,MATCH(A166&amp;"ENTRADA",Movimientos!$R$5:$R$2001,0)),"-")</f>
        <v>-</v>
      </c>
      <c r="D166" s="3" t="str">
        <f>IFERROR(INDEX(Movimientos!$E$5:$E$2001,MATCH(A166&amp;"ENTRADA",Movimientos!$R$5:$R$2001,0)),"-")</f>
        <v>-</v>
      </c>
      <c r="E166" s="3" t="str">
        <f>IFERROR(INDEX(Movimientos!$F$5:$F$2001,MATCH(A166&amp;"ENTRADA",Movimientos!$R$5:$R$2001,0)),"-")</f>
        <v>-</v>
      </c>
      <c r="F166" s="3" t="str">
        <f>IFERROR(INDEX(Movimientos!$G$5:$G$2001,MATCH(A166&amp;"ENTRADA",Movimientos!$R$5:$R$2001,0)),"-")</f>
        <v>-</v>
      </c>
      <c r="G166" s="3" t="str">
        <f>IFERROR(INDEX(Movimientos!$L$5:$L$2001,MATCH(A166&amp;"ENTRADA",Movimientos!$R$5:$R$2001,0)),"-")</f>
        <v>-</v>
      </c>
      <c r="H166" s="19" t="str">
        <f>IFERROR(IF(INDEX(Movimientos!$M$5:$M$2001,MATCH(A166&amp;"ENTRADA",Movimientos!$R$5:$R$2001,0))=0,"S/D",INDEX(Movimientos!$M$5:$M$2001,MATCH(A166&amp;"ENTRADA",Movimientos!$R$5:$R$2001,0))),"S/D")</f>
        <v>S/D</v>
      </c>
      <c r="I166" s="16" t="str">
        <f t="shared" ca="1" si="6"/>
        <v>S/D</v>
      </c>
      <c r="J166" s="6">
        <f>IF(A166="","",SUMIFS(Movimientos!$K:$K,Movimientos!$H:$H,A166))</f>
        <v>0</v>
      </c>
      <c r="K166" s="14" t="str">
        <f t="shared" ca="1" si="7"/>
        <v>OK</v>
      </c>
    </row>
    <row r="167" spans="1:11">
      <c r="A167" s="18" t="s">
        <v>2240</v>
      </c>
      <c r="B167" s="3" t="str">
        <f>IFERROR(INDEX(Movimientos!$C$5:$C$2001,MATCH(A167&amp;"ENTRADA",Movimientos!$R$5:$R$2001,0)),"-")</f>
        <v>-</v>
      </c>
      <c r="C167" s="3" t="str">
        <f>IFERROR(INDEX(Movimientos!$D$5:$D$2001,MATCH(A167&amp;"ENTRADA",Movimientos!$R$5:$R$2001,0)),"-")</f>
        <v>-</v>
      </c>
      <c r="D167" s="3" t="str">
        <f>IFERROR(INDEX(Movimientos!$E$5:$E$2001,MATCH(A167&amp;"ENTRADA",Movimientos!$R$5:$R$2001,0)),"-")</f>
        <v>-</v>
      </c>
      <c r="E167" s="3" t="str">
        <f>IFERROR(INDEX(Movimientos!$F$5:$F$2001,MATCH(A167&amp;"ENTRADA",Movimientos!$R$5:$R$2001,0)),"-")</f>
        <v>-</v>
      </c>
      <c r="F167" s="3" t="str">
        <f>IFERROR(INDEX(Movimientos!$G$5:$G$2001,MATCH(A167&amp;"ENTRADA",Movimientos!$R$5:$R$2001,0)),"-")</f>
        <v>-</v>
      </c>
      <c r="G167" s="3" t="str">
        <f>IFERROR(INDEX(Movimientos!$L$5:$L$2001,MATCH(A167&amp;"ENTRADA",Movimientos!$R$5:$R$2001,0)),"-")</f>
        <v>-</v>
      </c>
      <c r="H167" s="19" t="str">
        <f>IFERROR(IF(INDEX(Movimientos!$M$5:$M$2001,MATCH(A167&amp;"ENTRADA",Movimientos!$R$5:$R$2001,0))=0,"S/D",INDEX(Movimientos!$M$5:$M$2001,MATCH(A167&amp;"ENTRADA",Movimientos!$R$5:$R$2001,0))),"S/D")</f>
        <v>S/D</v>
      </c>
      <c r="I167" s="16" t="str">
        <f t="shared" ca="1" si="6"/>
        <v>S/D</v>
      </c>
      <c r="J167" s="6">
        <f>IF(A167="","",SUMIFS(Movimientos!$K:$K,Movimientos!$H:$H,A167))</f>
        <v>0</v>
      </c>
      <c r="K167" s="14" t="str">
        <f t="shared" ca="1" si="7"/>
        <v>OK</v>
      </c>
    </row>
    <row r="168" spans="1:11">
      <c r="A168" s="18" t="s">
        <v>2241</v>
      </c>
      <c r="B168" s="3" t="str">
        <f>IFERROR(INDEX(Movimientos!$C$5:$C$2001,MATCH(A168&amp;"ENTRADA",Movimientos!$R$5:$R$2001,0)),"-")</f>
        <v>-</v>
      </c>
      <c r="C168" s="3" t="str">
        <f>IFERROR(INDEX(Movimientos!$D$5:$D$2001,MATCH(A168&amp;"ENTRADA",Movimientos!$R$5:$R$2001,0)),"-")</f>
        <v>-</v>
      </c>
      <c r="D168" s="3" t="str">
        <f>IFERROR(INDEX(Movimientos!$E$5:$E$2001,MATCH(A168&amp;"ENTRADA",Movimientos!$R$5:$R$2001,0)),"-")</f>
        <v>-</v>
      </c>
      <c r="E168" s="3" t="str">
        <f>IFERROR(INDEX(Movimientos!$F$5:$F$2001,MATCH(A168&amp;"ENTRADA",Movimientos!$R$5:$R$2001,0)),"-")</f>
        <v>-</v>
      </c>
      <c r="F168" s="3" t="str">
        <f>IFERROR(INDEX(Movimientos!$G$5:$G$2001,MATCH(A168&amp;"ENTRADA",Movimientos!$R$5:$R$2001,0)),"-")</f>
        <v>-</v>
      </c>
      <c r="G168" s="3" t="str">
        <f>IFERROR(INDEX(Movimientos!$L$5:$L$2001,MATCH(A168&amp;"ENTRADA",Movimientos!$R$5:$R$2001,0)),"-")</f>
        <v>-</v>
      </c>
      <c r="H168" s="19" t="str">
        <f>IFERROR(IF(INDEX(Movimientos!$M$5:$M$2001,MATCH(A168&amp;"ENTRADA",Movimientos!$R$5:$R$2001,0))=0,"S/D",INDEX(Movimientos!$M$5:$M$2001,MATCH(A168&amp;"ENTRADA",Movimientos!$R$5:$R$2001,0))),"S/D")</f>
        <v>S/D</v>
      </c>
      <c r="I168" s="16" t="str">
        <f t="shared" ca="1" si="6"/>
        <v>S/D</v>
      </c>
      <c r="J168" s="6">
        <f>IF(A168="","",SUMIFS(Movimientos!$K:$K,Movimientos!$H:$H,A168))</f>
        <v>0</v>
      </c>
      <c r="K168" s="14" t="str">
        <f t="shared" ca="1" si="7"/>
        <v>OK</v>
      </c>
    </row>
    <row r="169" spans="1:11">
      <c r="A169" s="18" t="s">
        <v>2242</v>
      </c>
      <c r="B169" s="3" t="str">
        <f>IFERROR(INDEX(Movimientos!$C$5:$C$2001,MATCH(A169&amp;"ENTRADA",Movimientos!$R$5:$R$2001,0)),"-")</f>
        <v>-</v>
      </c>
      <c r="C169" s="3" t="str">
        <f>IFERROR(INDEX(Movimientos!$D$5:$D$2001,MATCH(A169&amp;"ENTRADA",Movimientos!$R$5:$R$2001,0)),"-")</f>
        <v>-</v>
      </c>
      <c r="D169" s="3" t="str">
        <f>IFERROR(INDEX(Movimientos!$E$5:$E$2001,MATCH(A169&amp;"ENTRADA",Movimientos!$R$5:$R$2001,0)),"-")</f>
        <v>-</v>
      </c>
      <c r="E169" s="3" t="str">
        <f>IFERROR(INDEX(Movimientos!$F$5:$F$2001,MATCH(A169&amp;"ENTRADA",Movimientos!$R$5:$R$2001,0)),"-")</f>
        <v>-</v>
      </c>
      <c r="F169" s="3" t="str">
        <f>IFERROR(INDEX(Movimientos!$G$5:$G$2001,MATCH(A169&amp;"ENTRADA",Movimientos!$R$5:$R$2001,0)),"-")</f>
        <v>-</v>
      </c>
      <c r="G169" s="3" t="str">
        <f>IFERROR(INDEX(Movimientos!$L$5:$L$2001,MATCH(A169&amp;"ENTRADA",Movimientos!$R$5:$R$2001,0)),"-")</f>
        <v>-</v>
      </c>
      <c r="H169" s="19" t="str">
        <f>IFERROR(IF(INDEX(Movimientos!$M$5:$M$2001,MATCH(A169&amp;"ENTRADA",Movimientos!$R$5:$R$2001,0))=0,"S/D",INDEX(Movimientos!$M$5:$M$2001,MATCH(A169&amp;"ENTRADA",Movimientos!$R$5:$R$2001,0))),"S/D")</f>
        <v>S/D</v>
      </c>
      <c r="I169" s="16" t="str">
        <f t="shared" ca="1" si="6"/>
        <v>S/D</v>
      </c>
      <c r="J169" s="6">
        <f>IF(A169="","",SUMIFS(Movimientos!$K:$K,Movimientos!$H:$H,A169))</f>
        <v>0</v>
      </c>
      <c r="K169" s="14" t="str">
        <f t="shared" ca="1" si="7"/>
        <v>OK</v>
      </c>
    </row>
    <row r="170" spans="1:11">
      <c r="A170" s="18" t="s">
        <v>2243</v>
      </c>
      <c r="B170" s="3" t="str">
        <f>IFERROR(INDEX(Movimientos!$C$5:$C$2001,MATCH(A170&amp;"ENTRADA",Movimientos!$R$5:$R$2001,0)),"-")</f>
        <v>-</v>
      </c>
      <c r="C170" s="3" t="str">
        <f>IFERROR(INDEX(Movimientos!$D$5:$D$2001,MATCH(A170&amp;"ENTRADA",Movimientos!$R$5:$R$2001,0)),"-")</f>
        <v>-</v>
      </c>
      <c r="D170" s="3" t="str">
        <f>IFERROR(INDEX(Movimientos!$E$5:$E$2001,MATCH(A170&amp;"ENTRADA",Movimientos!$R$5:$R$2001,0)),"-")</f>
        <v>-</v>
      </c>
      <c r="E170" s="3" t="str">
        <f>IFERROR(INDEX(Movimientos!$F$5:$F$2001,MATCH(A170&amp;"ENTRADA",Movimientos!$R$5:$R$2001,0)),"-")</f>
        <v>-</v>
      </c>
      <c r="F170" s="3" t="str">
        <f>IFERROR(INDEX(Movimientos!$G$5:$G$2001,MATCH(A170&amp;"ENTRADA",Movimientos!$R$5:$R$2001,0)),"-")</f>
        <v>-</v>
      </c>
      <c r="G170" s="3" t="str">
        <f>IFERROR(INDEX(Movimientos!$L$5:$L$2001,MATCH(A170&amp;"ENTRADA",Movimientos!$R$5:$R$2001,0)),"-")</f>
        <v>-</v>
      </c>
      <c r="H170" s="19" t="str">
        <f>IFERROR(IF(INDEX(Movimientos!$M$5:$M$2001,MATCH(A170&amp;"ENTRADA",Movimientos!$R$5:$R$2001,0))=0,"S/D",INDEX(Movimientos!$M$5:$M$2001,MATCH(A170&amp;"ENTRADA",Movimientos!$R$5:$R$2001,0))),"S/D")</f>
        <v>S/D</v>
      </c>
      <c r="I170" s="16" t="str">
        <f t="shared" ca="1" si="6"/>
        <v>S/D</v>
      </c>
      <c r="J170" s="6">
        <f>IF(A170="","",SUMIFS(Movimientos!$K:$K,Movimientos!$H:$H,A170))</f>
        <v>0</v>
      </c>
      <c r="K170" s="14" t="str">
        <f t="shared" ca="1" si="7"/>
        <v>OK</v>
      </c>
    </row>
    <row r="171" spans="1:11">
      <c r="A171" s="18" t="s">
        <v>2244</v>
      </c>
      <c r="B171" s="3" t="str">
        <f>IFERROR(INDEX(Movimientos!$C$5:$C$2001,MATCH(A171&amp;"ENTRADA",Movimientos!$R$5:$R$2001,0)),"-")</f>
        <v>-</v>
      </c>
      <c r="C171" s="3" t="str">
        <f>IFERROR(INDEX(Movimientos!$D$5:$D$2001,MATCH(A171&amp;"ENTRADA",Movimientos!$R$5:$R$2001,0)),"-")</f>
        <v>-</v>
      </c>
      <c r="D171" s="3" t="str">
        <f>IFERROR(INDEX(Movimientos!$E$5:$E$2001,MATCH(A171&amp;"ENTRADA",Movimientos!$R$5:$R$2001,0)),"-")</f>
        <v>-</v>
      </c>
      <c r="E171" s="3" t="str">
        <f>IFERROR(INDEX(Movimientos!$F$5:$F$2001,MATCH(A171&amp;"ENTRADA",Movimientos!$R$5:$R$2001,0)),"-")</f>
        <v>-</v>
      </c>
      <c r="F171" s="3" t="str">
        <f>IFERROR(INDEX(Movimientos!$G$5:$G$2001,MATCH(A171&amp;"ENTRADA",Movimientos!$R$5:$R$2001,0)),"-")</f>
        <v>-</v>
      </c>
      <c r="G171" s="3" t="str">
        <f>IFERROR(INDEX(Movimientos!$L$5:$L$2001,MATCH(A171&amp;"ENTRADA",Movimientos!$R$5:$R$2001,0)),"-")</f>
        <v>-</v>
      </c>
      <c r="H171" s="19" t="str">
        <f>IFERROR(IF(INDEX(Movimientos!$M$5:$M$2001,MATCH(A171&amp;"ENTRADA",Movimientos!$R$5:$R$2001,0))=0,"S/D",INDEX(Movimientos!$M$5:$M$2001,MATCH(A171&amp;"ENTRADA",Movimientos!$R$5:$R$2001,0))),"S/D")</f>
        <v>S/D</v>
      </c>
      <c r="I171" s="16" t="str">
        <f t="shared" ca="1" si="6"/>
        <v>S/D</v>
      </c>
      <c r="J171" s="6">
        <f>IF(A171="","",SUMIFS(Movimientos!$K:$K,Movimientos!$H:$H,A171))</f>
        <v>0</v>
      </c>
      <c r="K171" s="14" t="str">
        <f t="shared" ca="1" si="7"/>
        <v>OK</v>
      </c>
    </row>
    <row r="172" spans="1:11">
      <c r="A172" s="18" t="s">
        <v>2245</v>
      </c>
      <c r="B172" s="3" t="str">
        <f>IFERROR(INDEX(Movimientos!$C$5:$C$2001,MATCH(A172&amp;"ENTRADA",Movimientos!$R$5:$R$2001,0)),"-")</f>
        <v>-</v>
      </c>
      <c r="C172" s="3" t="str">
        <f>IFERROR(INDEX(Movimientos!$D$5:$D$2001,MATCH(A172&amp;"ENTRADA",Movimientos!$R$5:$R$2001,0)),"-")</f>
        <v>-</v>
      </c>
      <c r="D172" s="3" t="str">
        <f>IFERROR(INDEX(Movimientos!$E$5:$E$2001,MATCH(A172&amp;"ENTRADA",Movimientos!$R$5:$R$2001,0)),"-")</f>
        <v>-</v>
      </c>
      <c r="E172" s="3" t="str">
        <f>IFERROR(INDEX(Movimientos!$F$5:$F$2001,MATCH(A172&amp;"ENTRADA",Movimientos!$R$5:$R$2001,0)),"-")</f>
        <v>-</v>
      </c>
      <c r="F172" s="3" t="str">
        <f>IFERROR(INDEX(Movimientos!$G$5:$G$2001,MATCH(A172&amp;"ENTRADA",Movimientos!$R$5:$R$2001,0)),"-")</f>
        <v>-</v>
      </c>
      <c r="G172" s="3" t="str">
        <f>IFERROR(INDEX(Movimientos!$L$5:$L$2001,MATCH(A172&amp;"ENTRADA",Movimientos!$R$5:$R$2001,0)),"-")</f>
        <v>-</v>
      </c>
      <c r="H172" s="19" t="str">
        <f>IFERROR(IF(INDEX(Movimientos!$M$5:$M$2001,MATCH(A172&amp;"ENTRADA",Movimientos!$R$5:$R$2001,0))=0,"S/D",INDEX(Movimientos!$M$5:$M$2001,MATCH(A172&amp;"ENTRADA",Movimientos!$R$5:$R$2001,0))),"S/D")</f>
        <v>S/D</v>
      </c>
      <c r="I172" s="16" t="str">
        <f t="shared" ca="1" si="6"/>
        <v>S/D</v>
      </c>
      <c r="J172" s="6">
        <f>IF(A172="","",SUMIFS(Movimientos!$K:$K,Movimientos!$H:$H,A172))</f>
        <v>0</v>
      </c>
      <c r="K172" s="14" t="str">
        <f t="shared" ca="1" si="7"/>
        <v>OK</v>
      </c>
    </row>
    <row r="173" spans="1:11">
      <c r="A173" s="18" t="s">
        <v>2246</v>
      </c>
      <c r="B173" s="3" t="str">
        <f>IFERROR(INDEX(Movimientos!$C$5:$C$2001,MATCH(A173&amp;"ENTRADA",Movimientos!$R$5:$R$2001,0)),"-")</f>
        <v>-</v>
      </c>
      <c r="C173" s="3" t="str">
        <f>IFERROR(INDEX(Movimientos!$D$5:$D$2001,MATCH(A173&amp;"ENTRADA",Movimientos!$R$5:$R$2001,0)),"-")</f>
        <v>-</v>
      </c>
      <c r="D173" s="3" t="str">
        <f>IFERROR(INDEX(Movimientos!$E$5:$E$2001,MATCH(A173&amp;"ENTRADA",Movimientos!$R$5:$R$2001,0)),"-")</f>
        <v>-</v>
      </c>
      <c r="E173" s="3" t="str">
        <f>IFERROR(INDEX(Movimientos!$F$5:$F$2001,MATCH(A173&amp;"ENTRADA",Movimientos!$R$5:$R$2001,0)),"-")</f>
        <v>-</v>
      </c>
      <c r="F173" s="3" t="str">
        <f>IFERROR(INDEX(Movimientos!$G$5:$G$2001,MATCH(A173&amp;"ENTRADA",Movimientos!$R$5:$R$2001,0)),"-")</f>
        <v>-</v>
      </c>
      <c r="G173" s="3" t="str">
        <f>IFERROR(INDEX(Movimientos!$L$5:$L$2001,MATCH(A173&amp;"ENTRADA",Movimientos!$R$5:$R$2001,0)),"-")</f>
        <v>-</v>
      </c>
      <c r="H173" s="19" t="str">
        <f>IFERROR(IF(INDEX(Movimientos!$M$5:$M$2001,MATCH(A173&amp;"ENTRADA",Movimientos!$R$5:$R$2001,0))=0,"S/D",INDEX(Movimientos!$M$5:$M$2001,MATCH(A173&amp;"ENTRADA",Movimientos!$R$5:$R$2001,0))),"S/D")</f>
        <v>S/D</v>
      </c>
      <c r="I173" s="16" t="str">
        <f t="shared" ca="1" si="6"/>
        <v>S/D</v>
      </c>
      <c r="J173" s="6">
        <f>IF(A173="","",SUMIFS(Movimientos!$K:$K,Movimientos!$H:$H,A173))</f>
        <v>0</v>
      </c>
      <c r="K173" s="14" t="str">
        <f t="shared" ca="1" si="7"/>
        <v>OK</v>
      </c>
    </row>
    <row r="174" spans="1:11">
      <c r="A174" s="18" t="s">
        <v>2247</v>
      </c>
      <c r="B174" s="3" t="str">
        <f>IFERROR(INDEX(Movimientos!$C$5:$C$2001,MATCH(A174&amp;"ENTRADA",Movimientos!$R$5:$R$2001,0)),"-")</f>
        <v>-</v>
      </c>
      <c r="C174" s="3" t="str">
        <f>IFERROR(INDEX(Movimientos!$D$5:$D$2001,MATCH(A174&amp;"ENTRADA",Movimientos!$R$5:$R$2001,0)),"-")</f>
        <v>-</v>
      </c>
      <c r="D174" s="3" t="str">
        <f>IFERROR(INDEX(Movimientos!$E$5:$E$2001,MATCH(A174&amp;"ENTRADA",Movimientos!$R$5:$R$2001,0)),"-")</f>
        <v>-</v>
      </c>
      <c r="E174" s="3" t="str">
        <f>IFERROR(INDEX(Movimientos!$F$5:$F$2001,MATCH(A174&amp;"ENTRADA",Movimientos!$R$5:$R$2001,0)),"-")</f>
        <v>-</v>
      </c>
      <c r="F174" s="3" t="str">
        <f>IFERROR(INDEX(Movimientos!$G$5:$G$2001,MATCH(A174&amp;"ENTRADA",Movimientos!$R$5:$R$2001,0)),"-")</f>
        <v>-</v>
      </c>
      <c r="G174" s="3" t="str">
        <f>IFERROR(INDEX(Movimientos!$L$5:$L$2001,MATCH(A174&amp;"ENTRADA",Movimientos!$R$5:$R$2001,0)),"-")</f>
        <v>-</v>
      </c>
      <c r="H174" s="19" t="str">
        <f>IFERROR(IF(INDEX(Movimientos!$M$5:$M$2001,MATCH(A174&amp;"ENTRADA",Movimientos!$R$5:$R$2001,0))=0,"S/D",INDEX(Movimientos!$M$5:$M$2001,MATCH(A174&amp;"ENTRADA",Movimientos!$R$5:$R$2001,0))),"S/D")</f>
        <v>S/D</v>
      </c>
      <c r="I174" s="16" t="str">
        <f t="shared" ca="1" si="6"/>
        <v>S/D</v>
      </c>
      <c r="J174" s="6">
        <f>IF(A174="","",SUMIFS(Movimientos!$K:$K,Movimientos!$H:$H,A174))</f>
        <v>0</v>
      </c>
      <c r="K174" s="14" t="str">
        <f t="shared" ca="1" si="7"/>
        <v>OK</v>
      </c>
    </row>
    <row r="175" spans="1:11">
      <c r="A175" s="18" t="s">
        <v>2248</v>
      </c>
      <c r="B175" s="3" t="str">
        <f>IFERROR(INDEX(Movimientos!$C$5:$C$2001,MATCH(A175&amp;"ENTRADA",Movimientos!$R$5:$R$2001,0)),"-")</f>
        <v>-</v>
      </c>
      <c r="C175" s="3" t="str">
        <f>IFERROR(INDEX(Movimientos!$D$5:$D$2001,MATCH(A175&amp;"ENTRADA",Movimientos!$R$5:$R$2001,0)),"-")</f>
        <v>-</v>
      </c>
      <c r="D175" s="3" t="str">
        <f>IFERROR(INDEX(Movimientos!$E$5:$E$2001,MATCH(A175&amp;"ENTRADA",Movimientos!$R$5:$R$2001,0)),"-")</f>
        <v>-</v>
      </c>
      <c r="E175" s="3" t="str">
        <f>IFERROR(INDEX(Movimientos!$F$5:$F$2001,MATCH(A175&amp;"ENTRADA",Movimientos!$R$5:$R$2001,0)),"-")</f>
        <v>-</v>
      </c>
      <c r="F175" s="3" t="str">
        <f>IFERROR(INDEX(Movimientos!$G$5:$G$2001,MATCH(A175&amp;"ENTRADA",Movimientos!$R$5:$R$2001,0)),"-")</f>
        <v>-</v>
      </c>
      <c r="G175" s="3" t="str">
        <f>IFERROR(INDEX(Movimientos!$L$5:$L$2001,MATCH(A175&amp;"ENTRADA",Movimientos!$R$5:$R$2001,0)),"-")</f>
        <v>-</v>
      </c>
      <c r="H175" s="19" t="str">
        <f>IFERROR(IF(INDEX(Movimientos!$M$5:$M$2001,MATCH(A175&amp;"ENTRADA",Movimientos!$R$5:$R$2001,0))=0,"S/D",INDEX(Movimientos!$M$5:$M$2001,MATCH(A175&amp;"ENTRADA",Movimientos!$R$5:$R$2001,0))),"S/D")</f>
        <v>S/D</v>
      </c>
      <c r="I175" s="16" t="str">
        <f t="shared" ca="1" si="6"/>
        <v>S/D</v>
      </c>
      <c r="J175" s="6">
        <f>IF(A175="","",SUMIFS(Movimientos!$K:$K,Movimientos!$H:$H,A175))</f>
        <v>0</v>
      </c>
      <c r="K175" s="14" t="str">
        <f t="shared" ca="1" si="7"/>
        <v>OK</v>
      </c>
    </row>
    <row r="176" spans="1:11">
      <c r="A176" s="18" t="s">
        <v>2249</v>
      </c>
      <c r="B176" s="3" t="str">
        <f>IFERROR(INDEX(Movimientos!$C$5:$C$2001,MATCH(A176&amp;"ENTRADA",Movimientos!$R$5:$R$2001,0)),"-")</f>
        <v>-</v>
      </c>
      <c r="C176" s="3" t="str">
        <f>IFERROR(INDEX(Movimientos!$D$5:$D$2001,MATCH(A176&amp;"ENTRADA",Movimientos!$R$5:$R$2001,0)),"-")</f>
        <v>-</v>
      </c>
      <c r="D176" s="3" t="str">
        <f>IFERROR(INDEX(Movimientos!$E$5:$E$2001,MATCH(A176&amp;"ENTRADA",Movimientos!$R$5:$R$2001,0)),"-")</f>
        <v>-</v>
      </c>
      <c r="E176" s="3" t="str">
        <f>IFERROR(INDEX(Movimientos!$F$5:$F$2001,MATCH(A176&amp;"ENTRADA",Movimientos!$R$5:$R$2001,0)),"-")</f>
        <v>-</v>
      </c>
      <c r="F176" s="3" t="str">
        <f>IFERROR(INDEX(Movimientos!$G$5:$G$2001,MATCH(A176&amp;"ENTRADA",Movimientos!$R$5:$R$2001,0)),"-")</f>
        <v>-</v>
      </c>
      <c r="G176" s="3" t="str">
        <f>IFERROR(INDEX(Movimientos!$L$5:$L$2001,MATCH(A176&amp;"ENTRADA",Movimientos!$R$5:$R$2001,0)),"-")</f>
        <v>-</v>
      </c>
      <c r="H176" s="19" t="str">
        <f>IFERROR(IF(INDEX(Movimientos!$M$5:$M$2001,MATCH(A176&amp;"ENTRADA",Movimientos!$R$5:$R$2001,0))=0,"S/D",INDEX(Movimientos!$M$5:$M$2001,MATCH(A176&amp;"ENTRADA",Movimientos!$R$5:$R$2001,0))),"S/D")</f>
        <v>S/D</v>
      </c>
      <c r="I176" s="16" t="str">
        <f t="shared" ca="1" si="6"/>
        <v>S/D</v>
      </c>
      <c r="J176" s="6">
        <f>IF(A176="","",SUMIFS(Movimientos!$K:$K,Movimientos!$H:$H,A176))</f>
        <v>0</v>
      </c>
      <c r="K176" s="14" t="str">
        <f t="shared" ca="1" si="7"/>
        <v>OK</v>
      </c>
    </row>
    <row r="177" spans="1:11">
      <c r="A177" s="18" t="s">
        <v>2250</v>
      </c>
      <c r="B177" s="3" t="str">
        <f>IFERROR(INDEX(Movimientos!$C$5:$C$2001,MATCH(A177&amp;"ENTRADA",Movimientos!$R$5:$R$2001,0)),"-")</f>
        <v>-</v>
      </c>
      <c r="C177" s="3" t="str">
        <f>IFERROR(INDEX(Movimientos!$D$5:$D$2001,MATCH(A177&amp;"ENTRADA",Movimientos!$R$5:$R$2001,0)),"-")</f>
        <v>-</v>
      </c>
      <c r="D177" s="3" t="str">
        <f>IFERROR(INDEX(Movimientos!$E$5:$E$2001,MATCH(A177&amp;"ENTRADA",Movimientos!$R$5:$R$2001,0)),"-")</f>
        <v>-</v>
      </c>
      <c r="E177" s="3" t="str">
        <f>IFERROR(INDEX(Movimientos!$F$5:$F$2001,MATCH(A177&amp;"ENTRADA",Movimientos!$R$5:$R$2001,0)),"-")</f>
        <v>-</v>
      </c>
      <c r="F177" s="3" t="str">
        <f>IFERROR(INDEX(Movimientos!$G$5:$G$2001,MATCH(A177&amp;"ENTRADA",Movimientos!$R$5:$R$2001,0)),"-")</f>
        <v>-</v>
      </c>
      <c r="G177" s="3" t="str">
        <f>IFERROR(INDEX(Movimientos!$L$5:$L$2001,MATCH(A177&amp;"ENTRADA",Movimientos!$R$5:$R$2001,0)),"-")</f>
        <v>-</v>
      </c>
      <c r="H177" s="19" t="str">
        <f>IFERROR(IF(INDEX(Movimientos!$M$5:$M$2001,MATCH(A177&amp;"ENTRADA",Movimientos!$R$5:$R$2001,0))=0,"S/D",INDEX(Movimientos!$M$5:$M$2001,MATCH(A177&amp;"ENTRADA",Movimientos!$R$5:$R$2001,0))),"S/D")</f>
        <v>S/D</v>
      </c>
      <c r="I177" s="16" t="str">
        <f t="shared" ca="1" si="6"/>
        <v>S/D</v>
      </c>
      <c r="J177" s="6">
        <f>IF(A177="","",SUMIFS(Movimientos!$K:$K,Movimientos!$H:$H,A177))</f>
        <v>0</v>
      </c>
      <c r="K177" s="14" t="str">
        <f t="shared" ca="1" si="7"/>
        <v>OK</v>
      </c>
    </row>
    <row r="178" spans="1:11">
      <c r="A178" s="18" t="s">
        <v>2251</v>
      </c>
      <c r="B178" s="3" t="str">
        <f>IFERROR(INDEX(Movimientos!$C$5:$C$2001,MATCH(A178&amp;"ENTRADA",Movimientos!$R$5:$R$2001,0)),"-")</f>
        <v>-</v>
      </c>
      <c r="C178" s="3" t="str">
        <f>IFERROR(INDEX(Movimientos!$D$5:$D$2001,MATCH(A178&amp;"ENTRADA",Movimientos!$R$5:$R$2001,0)),"-")</f>
        <v>-</v>
      </c>
      <c r="D178" s="3" t="str">
        <f>IFERROR(INDEX(Movimientos!$E$5:$E$2001,MATCH(A178&amp;"ENTRADA",Movimientos!$R$5:$R$2001,0)),"-")</f>
        <v>-</v>
      </c>
      <c r="E178" s="3" t="str">
        <f>IFERROR(INDEX(Movimientos!$F$5:$F$2001,MATCH(A178&amp;"ENTRADA",Movimientos!$R$5:$R$2001,0)),"-")</f>
        <v>-</v>
      </c>
      <c r="F178" s="3" t="str">
        <f>IFERROR(INDEX(Movimientos!$G$5:$G$2001,MATCH(A178&amp;"ENTRADA",Movimientos!$R$5:$R$2001,0)),"-")</f>
        <v>-</v>
      </c>
      <c r="G178" s="3" t="str">
        <f>IFERROR(INDEX(Movimientos!$L$5:$L$2001,MATCH(A178&amp;"ENTRADA",Movimientos!$R$5:$R$2001,0)),"-")</f>
        <v>-</v>
      </c>
      <c r="H178" s="19" t="str">
        <f>IFERROR(IF(INDEX(Movimientos!$M$5:$M$2001,MATCH(A178&amp;"ENTRADA",Movimientos!$R$5:$R$2001,0))=0,"S/D",INDEX(Movimientos!$M$5:$M$2001,MATCH(A178&amp;"ENTRADA",Movimientos!$R$5:$R$2001,0))),"S/D")</f>
        <v>S/D</v>
      </c>
      <c r="I178" s="16" t="str">
        <f t="shared" ca="1" si="6"/>
        <v>S/D</v>
      </c>
      <c r="J178" s="6">
        <f>IF(A178="","",SUMIFS(Movimientos!$K:$K,Movimientos!$H:$H,A178))</f>
        <v>0</v>
      </c>
      <c r="K178" s="14" t="str">
        <f t="shared" ca="1" si="7"/>
        <v>OK</v>
      </c>
    </row>
    <row r="179" spans="1:11">
      <c r="A179" s="18" t="s">
        <v>2252</v>
      </c>
      <c r="B179" s="3" t="str">
        <f>IFERROR(INDEX(Movimientos!$C$5:$C$2001,MATCH(A179&amp;"ENTRADA",Movimientos!$R$5:$R$2001,0)),"-")</f>
        <v>-</v>
      </c>
      <c r="C179" s="3" t="str">
        <f>IFERROR(INDEX(Movimientos!$D$5:$D$2001,MATCH(A179&amp;"ENTRADA",Movimientos!$R$5:$R$2001,0)),"-")</f>
        <v>-</v>
      </c>
      <c r="D179" s="3" t="str">
        <f>IFERROR(INDEX(Movimientos!$E$5:$E$2001,MATCH(A179&amp;"ENTRADA",Movimientos!$R$5:$R$2001,0)),"-")</f>
        <v>-</v>
      </c>
      <c r="E179" s="3" t="str">
        <f>IFERROR(INDEX(Movimientos!$F$5:$F$2001,MATCH(A179&amp;"ENTRADA",Movimientos!$R$5:$R$2001,0)),"-")</f>
        <v>-</v>
      </c>
      <c r="F179" s="3" t="str">
        <f>IFERROR(INDEX(Movimientos!$G$5:$G$2001,MATCH(A179&amp;"ENTRADA",Movimientos!$R$5:$R$2001,0)),"-")</f>
        <v>-</v>
      </c>
      <c r="G179" s="3" t="str">
        <f>IFERROR(INDEX(Movimientos!$L$5:$L$2001,MATCH(A179&amp;"ENTRADA",Movimientos!$R$5:$R$2001,0)),"-")</f>
        <v>-</v>
      </c>
      <c r="H179" s="19" t="str">
        <f>IFERROR(IF(INDEX(Movimientos!$M$5:$M$2001,MATCH(A179&amp;"ENTRADA",Movimientos!$R$5:$R$2001,0))=0,"S/D",INDEX(Movimientos!$M$5:$M$2001,MATCH(A179&amp;"ENTRADA",Movimientos!$R$5:$R$2001,0))),"S/D")</f>
        <v>S/D</v>
      </c>
      <c r="I179" s="16" t="str">
        <f t="shared" ca="1" si="6"/>
        <v>S/D</v>
      </c>
      <c r="J179" s="6">
        <f>IF(A179="","",SUMIFS(Movimientos!$K:$K,Movimientos!$H:$H,A179))</f>
        <v>0</v>
      </c>
      <c r="K179" s="14" t="str">
        <f t="shared" ca="1" si="7"/>
        <v>OK</v>
      </c>
    </row>
    <row r="180" spans="1:11">
      <c r="A180" s="18" t="s">
        <v>2253</v>
      </c>
      <c r="B180" s="3" t="str">
        <f>IFERROR(INDEX(Movimientos!$C$5:$C$2001,MATCH(A180&amp;"ENTRADA",Movimientos!$R$5:$R$2001,0)),"-")</f>
        <v>-</v>
      </c>
      <c r="C180" s="3" t="str">
        <f>IFERROR(INDEX(Movimientos!$D$5:$D$2001,MATCH(A180&amp;"ENTRADA",Movimientos!$R$5:$R$2001,0)),"-")</f>
        <v>-</v>
      </c>
      <c r="D180" s="3" t="str">
        <f>IFERROR(INDEX(Movimientos!$E$5:$E$2001,MATCH(A180&amp;"ENTRADA",Movimientos!$R$5:$R$2001,0)),"-")</f>
        <v>-</v>
      </c>
      <c r="E180" s="3" t="str">
        <f>IFERROR(INDEX(Movimientos!$F$5:$F$2001,MATCH(A180&amp;"ENTRADA",Movimientos!$R$5:$R$2001,0)),"-")</f>
        <v>-</v>
      </c>
      <c r="F180" s="3" t="str">
        <f>IFERROR(INDEX(Movimientos!$G$5:$G$2001,MATCH(A180&amp;"ENTRADA",Movimientos!$R$5:$R$2001,0)),"-")</f>
        <v>-</v>
      </c>
      <c r="G180" s="3" t="str">
        <f>IFERROR(INDEX(Movimientos!$L$5:$L$2001,MATCH(A180&amp;"ENTRADA",Movimientos!$R$5:$R$2001,0)),"-")</f>
        <v>-</v>
      </c>
      <c r="H180" s="19" t="str">
        <f>IFERROR(IF(INDEX(Movimientos!$M$5:$M$2001,MATCH(A180&amp;"ENTRADA",Movimientos!$R$5:$R$2001,0))=0,"S/D",INDEX(Movimientos!$M$5:$M$2001,MATCH(A180&amp;"ENTRADA",Movimientos!$R$5:$R$2001,0))),"S/D")</f>
        <v>S/D</v>
      </c>
      <c r="I180" s="16" t="str">
        <f t="shared" ca="1" si="6"/>
        <v>S/D</v>
      </c>
      <c r="J180" s="6">
        <f>IF(A180="","",SUMIFS(Movimientos!$K:$K,Movimientos!$H:$H,A180))</f>
        <v>0</v>
      </c>
      <c r="K180" s="14" t="str">
        <f t="shared" ca="1" si="7"/>
        <v>OK</v>
      </c>
    </row>
    <row r="181" spans="1:11">
      <c r="A181" s="18" t="s">
        <v>2254</v>
      </c>
      <c r="B181" s="3" t="str">
        <f>IFERROR(INDEX(Movimientos!$C$5:$C$2001,MATCH(A181&amp;"ENTRADA",Movimientos!$R$5:$R$2001,0)),"-")</f>
        <v>-</v>
      </c>
      <c r="C181" s="3" t="str">
        <f>IFERROR(INDEX(Movimientos!$D$5:$D$2001,MATCH(A181&amp;"ENTRADA",Movimientos!$R$5:$R$2001,0)),"-")</f>
        <v>-</v>
      </c>
      <c r="D181" s="3" t="str">
        <f>IFERROR(INDEX(Movimientos!$E$5:$E$2001,MATCH(A181&amp;"ENTRADA",Movimientos!$R$5:$R$2001,0)),"-")</f>
        <v>-</v>
      </c>
      <c r="E181" s="3" t="str">
        <f>IFERROR(INDEX(Movimientos!$F$5:$F$2001,MATCH(A181&amp;"ENTRADA",Movimientos!$R$5:$R$2001,0)),"-")</f>
        <v>-</v>
      </c>
      <c r="F181" s="3" t="str">
        <f>IFERROR(INDEX(Movimientos!$G$5:$G$2001,MATCH(A181&amp;"ENTRADA",Movimientos!$R$5:$R$2001,0)),"-")</f>
        <v>-</v>
      </c>
      <c r="G181" s="3" t="str">
        <f>IFERROR(INDEX(Movimientos!$L$5:$L$2001,MATCH(A181&amp;"ENTRADA",Movimientos!$R$5:$R$2001,0)),"-")</f>
        <v>-</v>
      </c>
      <c r="H181" s="19" t="str">
        <f>IFERROR(IF(INDEX(Movimientos!$M$5:$M$2001,MATCH(A181&amp;"ENTRADA",Movimientos!$R$5:$R$2001,0))=0,"S/D",INDEX(Movimientos!$M$5:$M$2001,MATCH(A181&amp;"ENTRADA",Movimientos!$R$5:$R$2001,0))),"S/D")</f>
        <v>S/D</v>
      </c>
      <c r="I181" s="16" t="str">
        <f t="shared" ca="1" si="6"/>
        <v>S/D</v>
      </c>
      <c r="J181" s="6">
        <f>IF(A181="","",SUMIFS(Movimientos!$K:$K,Movimientos!$H:$H,A181))</f>
        <v>0</v>
      </c>
      <c r="K181" s="14" t="str">
        <f t="shared" ca="1" si="7"/>
        <v>OK</v>
      </c>
    </row>
    <row r="182" spans="1:11">
      <c r="A182" s="18" t="s">
        <v>2255</v>
      </c>
      <c r="B182" s="3" t="str">
        <f>IFERROR(INDEX(Movimientos!$C$5:$C$2001,MATCH(A182&amp;"ENTRADA",Movimientos!$R$5:$R$2001,0)),"-")</f>
        <v>-</v>
      </c>
      <c r="C182" s="3" t="str">
        <f>IFERROR(INDEX(Movimientos!$D$5:$D$2001,MATCH(A182&amp;"ENTRADA",Movimientos!$R$5:$R$2001,0)),"-")</f>
        <v>-</v>
      </c>
      <c r="D182" s="3" t="str">
        <f>IFERROR(INDEX(Movimientos!$E$5:$E$2001,MATCH(A182&amp;"ENTRADA",Movimientos!$R$5:$R$2001,0)),"-")</f>
        <v>-</v>
      </c>
      <c r="E182" s="3" t="str">
        <f>IFERROR(INDEX(Movimientos!$F$5:$F$2001,MATCH(A182&amp;"ENTRADA",Movimientos!$R$5:$R$2001,0)),"-")</f>
        <v>-</v>
      </c>
      <c r="F182" s="3" t="str">
        <f>IFERROR(INDEX(Movimientos!$G$5:$G$2001,MATCH(A182&amp;"ENTRADA",Movimientos!$R$5:$R$2001,0)),"-")</f>
        <v>-</v>
      </c>
      <c r="G182" s="3" t="str">
        <f>IFERROR(INDEX(Movimientos!$L$5:$L$2001,MATCH(A182&amp;"ENTRADA",Movimientos!$R$5:$R$2001,0)),"-")</f>
        <v>-</v>
      </c>
      <c r="H182" s="19" t="str">
        <f>IFERROR(IF(INDEX(Movimientos!$M$5:$M$2001,MATCH(A182&amp;"ENTRADA",Movimientos!$R$5:$R$2001,0))=0,"S/D",INDEX(Movimientos!$M$5:$M$2001,MATCH(A182&amp;"ENTRADA",Movimientos!$R$5:$R$2001,0))),"S/D")</f>
        <v>S/D</v>
      </c>
      <c r="I182" s="16" t="str">
        <f t="shared" ca="1" si="6"/>
        <v>S/D</v>
      </c>
      <c r="J182" s="6">
        <f>IF(A182="","",SUMIFS(Movimientos!$K:$K,Movimientos!$H:$H,A182))</f>
        <v>0</v>
      </c>
      <c r="K182" s="14" t="str">
        <f t="shared" ca="1" si="7"/>
        <v>OK</v>
      </c>
    </row>
    <row r="183" spans="1:11">
      <c r="A183" s="18" t="s">
        <v>2256</v>
      </c>
      <c r="B183" s="3" t="str">
        <f>IFERROR(INDEX(Movimientos!$C$5:$C$2001,MATCH(A183&amp;"ENTRADA",Movimientos!$R$5:$R$2001,0)),"-")</f>
        <v>-</v>
      </c>
      <c r="C183" s="3" t="str">
        <f>IFERROR(INDEX(Movimientos!$D$5:$D$2001,MATCH(A183&amp;"ENTRADA",Movimientos!$R$5:$R$2001,0)),"-")</f>
        <v>-</v>
      </c>
      <c r="D183" s="3" t="str">
        <f>IFERROR(INDEX(Movimientos!$E$5:$E$2001,MATCH(A183&amp;"ENTRADA",Movimientos!$R$5:$R$2001,0)),"-")</f>
        <v>-</v>
      </c>
      <c r="E183" s="3" t="str">
        <f>IFERROR(INDEX(Movimientos!$F$5:$F$2001,MATCH(A183&amp;"ENTRADA",Movimientos!$R$5:$R$2001,0)),"-")</f>
        <v>-</v>
      </c>
      <c r="F183" s="3" t="str">
        <f>IFERROR(INDEX(Movimientos!$G$5:$G$2001,MATCH(A183&amp;"ENTRADA",Movimientos!$R$5:$R$2001,0)),"-")</f>
        <v>-</v>
      </c>
      <c r="G183" s="3" t="str">
        <f>IFERROR(INDEX(Movimientos!$L$5:$L$2001,MATCH(A183&amp;"ENTRADA",Movimientos!$R$5:$R$2001,0)),"-")</f>
        <v>-</v>
      </c>
      <c r="H183" s="19" t="str">
        <f>IFERROR(IF(INDEX(Movimientos!$M$5:$M$2001,MATCH(A183&amp;"ENTRADA",Movimientos!$R$5:$R$2001,0))=0,"S/D",INDEX(Movimientos!$M$5:$M$2001,MATCH(A183&amp;"ENTRADA",Movimientos!$R$5:$R$2001,0))),"S/D")</f>
        <v>S/D</v>
      </c>
      <c r="I183" s="16" t="str">
        <f t="shared" ca="1" si="6"/>
        <v>S/D</v>
      </c>
      <c r="J183" s="6">
        <f>IF(A183="","",SUMIFS(Movimientos!$K:$K,Movimientos!$H:$H,A183))</f>
        <v>0</v>
      </c>
      <c r="K183" s="14" t="str">
        <f t="shared" ca="1" si="7"/>
        <v>OK</v>
      </c>
    </row>
    <row r="184" spans="1:11">
      <c r="A184" s="18" t="s">
        <v>2257</v>
      </c>
      <c r="B184" s="3" t="str">
        <f>IFERROR(INDEX(Movimientos!$C$5:$C$2001,MATCH(A184&amp;"ENTRADA",Movimientos!$R$5:$R$2001,0)),"-")</f>
        <v>-</v>
      </c>
      <c r="C184" s="3" t="str">
        <f>IFERROR(INDEX(Movimientos!$D$5:$D$2001,MATCH(A184&amp;"ENTRADA",Movimientos!$R$5:$R$2001,0)),"-")</f>
        <v>-</v>
      </c>
      <c r="D184" s="3" t="str">
        <f>IFERROR(INDEX(Movimientos!$E$5:$E$2001,MATCH(A184&amp;"ENTRADA",Movimientos!$R$5:$R$2001,0)),"-")</f>
        <v>-</v>
      </c>
      <c r="E184" s="3" t="str">
        <f>IFERROR(INDEX(Movimientos!$F$5:$F$2001,MATCH(A184&amp;"ENTRADA",Movimientos!$R$5:$R$2001,0)),"-")</f>
        <v>-</v>
      </c>
      <c r="F184" s="3" t="str">
        <f>IFERROR(INDEX(Movimientos!$G$5:$G$2001,MATCH(A184&amp;"ENTRADA",Movimientos!$R$5:$R$2001,0)),"-")</f>
        <v>-</v>
      </c>
      <c r="G184" s="3" t="str">
        <f>IFERROR(INDEX(Movimientos!$L$5:$L$2001,MATCH(A184&amp;"ENTRADA",Movimientos!$R$5:$R$2001,0)),"-")</f>
        <v>-</v>
      </c>
      <c r="H184" s="19" t="str">
        <f>IFERROR(IF(INDEX(Movimientos!$M$5:$M$2001,MATCH(A184&amp;"ENTRADA",Movimientos!$R$5:$R$2001,0))=0,"S/D",INDEX(Movimientos!$M$5:$M$2001,MATCH(A184&amp;"ENTRADA",Movimientos!$R$5:$R$2001,0))),"S/D")</f>
        <v>S/D</v>
      </c>
      <c r="I184" s="16" t="str">
        <f t="shared" ca="1" si="6"/>
        <v>S/D</v>
      </c>
      <c r="J184" s="6">
        <f>IF(A184="","",SUMIFS(Movimientos!$K:$K,Movimientos!$H:$H,A184))</f>
        <v>0</v>
      </c>
      <c r="K184" s="14" t="str">
        <f t="shared" ca="1" si="7"/>
        <v>OK</v>
      </c>
    </row>
    <row r="185" spans="1:11">
      <c r="A185" s="18" t="s">
        <v>2258</v>
      </c>
      <c r="B185" s="3" t="str">
        <f>IFERROR(INDEX(Movimientos!$C$5:$C$2001,MATCH(A185&amp;"ENTRADA",Movimientos!$R$5:$R$2001,0)),"-")</f>
        <v>-</v>
      </c>
      <c r="C185" s="3" t="str">
        <f>IFERROR(INDEX(Movimientos!$D$5:$D$2001,MATCH(A185&amp;"ENTRADA",Movimientos!$R$5:$R$2001,0)),"-")</f>
        <v>-</v>
      </c>
      <c r="D185" s="3" t="str">
        <f>IFERROR(INDEX(Movimientos!$E$5:$E$2001,MATCH(A185&amp;"ENTRADA",Movimientos!$R$5:$R$2001,0)),"-")</f>
        <v>-</v>
      </c>
      <c r="E185" s="3" t="str">
        <f>IFERROR(INDEX(Movimientos!$F$5:$F$2001,MATCH(A185&amp;"ENTRADA",Movimientos!$R$5:$R$2001,0)),"-")</f>
        <v>-</v>
      </c>
      <c r="F185" s="3" t="str">
        <f>IFERROR(INDEX(Movimientos!$G$5:$G$2001,MATCH(A185&amp;"ENTRADA",Movimientos!$R$5:$R$2001,0)),"-")</f>
        <v>-</v>
      </c>
      <c r="G185" s="3" t="str">
        <f>IFERROR(INDEX(Movimientos!$L$5:$L$2001,MATCH(A185&amp;"ENTRADA",Movimientos!$R$5:$R$2001,0)),"-")</f>
        <v>-</v>
      </c>
      <c r="H185" s="19" t="str">
        <f>IFERROR(IF(INDEX(Movimientos!$M$5:$M$2001,MATCH(A185&amp;"ENTRADA",Movimientos!$R$5:$R$2001,0))=0,"S/D",INDEX(Movimientos!$M$5:$M$2001,MATCH(A185&amp;"ENTRADA",Movimientos!$R$5:$R$2001,0))),"S/D")</f>
        <v>S/D</v>
      </c>
      <c r="I185" s="16" t="str">
        <f t="shared" ca="1" si="6"/>
        <v>S/D</v>
      </c>
      <c r="J185" s="6">
        <f>IF(A185="","",SUMIFS(Movimientos!$K:$K,Movimientos!$H:$H,A185))</f>
        <v>0</v>
      </c>
      <c r="K185" s="14" t="str">
        <f t="shared" ca="1" si="7"/>
        <v>OK</v>
      </c>
    </row>
    <row r="186" spans="1:11">
      <c r="A186" s="18" t="s">
        <v>2259</v>
      </c>
      <c r="B186" s="3" t="str">
        <f>IFERROR(INDEX(Movimientos!$C$5:$C$2001,MATCH(A186&amp;"ENTRADA",Movimientos!$R$5:$R$2001,0)),"-")</f>
        <v>-</v>
      </c>
      <c r="C186" s="3" t="str">
        <f>IFERROR(INDEX(Movimientos!$D$5:$D$2001,MATCH(A186&amp;"ENTRADA",Movimientos!$R$5:$R$2001,0)),"-")</f>
        <v>-</v>
      </c>
      <c r="D186" s="3" t="str">
        <f>IFERROR(INDEX(Movimientos!$E$5:$E$2001,MATCH(A186&amp;"ENTRADA",Movimientos!$R$5:$R$2001,0)),"-")</f>
        <v>-</v>
      </c>
      <c r="E186" s="3" t="str">
        <f>IFERROR(INDEX(Movimientos!$F$5:$F$2001,MATCH(A186&amp;"ENTRADA",Movimientos!$R$5:$R$2001,0)),"-")</f>
        <v>-</v>
      </c>
      <c r="F186" s="3" t="str">
        <f>IFERROR(INDEX(Movimientos!$G$5:$G$2001,MATCH(A186&amp;"ENTRADA",Movimientos!$R$5:$R$2001,0)),"-")</f>
        <v>-</v>
      </c>
      <c r="G186" s="3" t="str">
        <f>IFERROR(INDEX(Movimientos!$L$5:$L$2001,MATCH(A186&amp;"ENTRADA",Movimientos!$R$5:$R$2001,0)),"-")</f>
        <v>-</v>
      </c>
      <c r="H186" s="19" t="str">
        <f>IFERROR(IF(INDEX(Movimientos!$M$5:$M$2001,MATCH(A186&amp;"ENTRADA",Movimientos!$R$5:$R$2001,0))=0,"S/D",INDEX(Movimientos!$M$5:$M$2001,MATCH(A186&amp;"ENTRADA",Movimientos!$R$5:$R$2001,0))),"S/D")</f>
        <v>S/D</v>
      </c>
      <c r="I186" s="16" t="str">
        <f t="shared" ca="1" si="6"/>
        <v>S/D</v>
      </c>
      <c r="J186" s="6">
        <f>IF(A186="","",SUMIFS(Movimientos!$K:$K,Movimientos!$H:$H,A186))</f>
        <v>0</v>
      </c>
      <c r="K186" s="14" t="str">
        <f t="shared" ca="1" si="7"/>
        <v>OK</v>
      </c>
    </row>
    <row r="187" spans="1:11">
      <c r="A187" s="18" t="s">
        <v>2260</v>
      </c>
      <c r="B187" s="3" t="str">
        <f>IFERROR(INDEX(Movimientos!$C$5:$C$2001,MATCH(A187&amp;"ENTRADA",Movimientos!$R$5:$R$2001,0)),"-")</f>
        <v>-</v>
      </c>
      <c r="C187" s="3" t="str">
        <f>IFERROR(INDEX(Movimientos!$D$5:$D$2001,MATCH(A187&amp;"ENTRADA",Movimientos!$R$5:$R$2001,0)),"-")</f>
        <v>-</v>
      </c>
      <c r="D187" s="3" t="str">
        <f>IFERROR(INDEX(Movimientos!$E$5:$E$2001,MATCH(A187&amp;"ENTRADA",Movimientos!$R$5:$R$2001,0)),"-")</f>
        <v>-</v>
      </c>
      <c r="E187" s="3" t="str">
        <f>IFERROR(INDEX(Movimientos!$F$5:$F$2001,MATCH(A187&amp;"ENTRADA",Movimientos!$R$5:$R$2001,0)),"-")</f>
        <v>-</v>
      </c>
      <c r="F187" s="3" t="str">
        <f>IFERROR(INDEX(Movimientos!$G$5:$G$2001,MATCH(A187&amp;"ENTRADA",Movimientos!$R$5:$R$2001,0)),"-")</f>
        <v>-</v>
      </c>
      <c r="G187" s="3" t="str">
        <f>IFERROR(INDEX(Movimientos!$L$5:$L$2001,MATCH(A187&amp;"ENTRADA",Movimientos!$R$5:$R$2001,0)),"-")</f>
        <v>-</v>
      </c>
      <c r="H187" s="19" t="str">
        <f>IFERROR(IF(INDEX(Movimientos!$M$5:$M$2001,MATCH(A187&amp;"ENTRADA",Movimientos!$R$5:$R$2001,0))=0,"S/D",INDEX(Movimientos!$M$5:$M$2001,MATCH(A187&amp;"ENTRADA",Movimientos!$R$5:$R$2001,0))),"S/D")</f>
        <v>S/D</v>
      </c>
      <c r="I187" s="16" t="str">
        <f t="shared" ca="1" si="6"/>
        <v>S/D</v>
      </c>
      <c r="J187" s="6">
        <f>IF(A187="","",SUMIFS(Movimientos!$K:$K,Movimientos!$H:$H,A187))</f>
        <v>0</v>
      </c>
      <c r="K187" s="14" t="str">
        <f t="shared" ca="1" si="7"/>
        <v>OK</v>
      </c>
    </row>
    <row r="188" spans="1:11">
      <c r="A188" s="18" t="s">
        <v>2261</v>
      </c>
      <c r="B188" s="3" t="str">
        <f>IFERROR(INDEX(Movimientos!$C$5:$C$2001,MATCH(A188&amp;"ENTRADA",Movimientos!$R$5:$R$2001,0)),"-")</f>
        <v>-</v>
      </c>
      <c r="C188" s="3" t="str">
        <f>IFERROR(INDEX(Movimientos!$D$5:$D$2001,MATCH(A188&amp;"ENTRADA",Movimientos!$R$5:$R$2001,0)),"-")</f>
        <v>-</v>
      </c>
      <c r="D188" s="3" t="str">
        <f>IFERROR(INDEX(Movimientos!$E$5:$E$2001,MATCH(A188&amp;"ENTRADA",Movimientos!$R$5:$R$2001,0)),"-")</f>
        <v>-</v>
      </c>
      <c r="E188" s="3" t="str">
        <f>IFERROR(INDEX(Movimientos!$F$5:$F$2001,MATCH(A188&amp;"ENTRADA",Movimientos!$R$5:$R$2001,0)),"-")</f>
        <v>-</v>
      </c>
      <c r="F188" s="3" t="str">
        <f>IFERROR(INDEX(Movimientos!$G$5:$G$2001,MATCH(A188&amp;"ENTRADA",Movimientos!$R$5:$R$2001,0)),"-")</f>
        <v>-</v>
      </c>
      <c r="G188" s="3" t="str">
        <f>IFERROR(INDEX(Movimientos!$L$5:$L$2001,MATCH(A188&amp;"ENTRADA",Movimientos!$R$5:$R$2001,0)),"-")</f>
        <v>-</v>
      </c>
      <c r="H188" s="19" t="str">
        <f>IFERROR(IF(INDEX(Movimientos!$M$5:$M$2001,MATCH(A188&amp;"ENTRADA",Movimientos!$R$5:$R$2001,0))=0,"S/D",INDEX(Movimientos!$M$5:$M$2001,MATCH(A188&amp;"ENTRADA",Movimientos!$R$5:$R$2001,0))),"S/D")</f>
        <v>S/D</v>
      </c>
      <c r="I188" s="16" t="str">
        <f t="shared" ca="1" si="6"/>
        <v>S/D</v>
      </c>
      <c r="J188" s="6">
        <f>IF(A188="","",SUMIFS(Movimientos!$K:$K,Movimientos!$H:$H,A188))</f>
        <v>0</v>
      </c>
      <c r="K188" s="14" t="str">
        <f t="shared" ca="1" si="7"/>
        <v>OK</v>
      </c>
    </row>
    <row r="189" spans="1:11">
      <c r="A189" s="18" t="s">
        <v>2262</v>
      </c>
      <c r="B189" s="3" t="str">
        <f>IFERROR(INDEX(Movimientos!$C$5:$C$2001,MATCH(A189&amp;"ENTRADA",Movimientos!$R$5:$R$2001,0)),"-")</f>
        <v>-</v>
      </c>
      <c r="C189" s="3" t="str">
        <f>IFERROR(INDEX(Movimientos!$D$5:$D$2001,MATCH(A189&amp;"ENTRADA",Movimientos!$R$5:$R$2001,0)),"-")</f>
        <v>-</v>
      </c>
      <c r="D189" s="3" t="str">
        <f>IFERROR(INDEX(Movimientos!$E$5:$E$2001,MATCH(A189&amp;"ENTRADA",Movimientos!$R$5:$R$2001,0)),"-")</f>
        <v>-</v>
      </c>
      <c r="E189" s="3" t="str">
        <f>IFERROR(INDEX(Movimientos!$F$5:$F$2001,MATCH(A189&amp;"ENTRADA",Movimientos!$R$5:$R$2001,0)),"-")</f>
        <v>-</v>
      </c>
      <c r="F189" s="3" t="str">
        <f>IFERROR(INDEX(Movimientos!$G$5:$G$2001,MATCH(A189&amp;"ENTRADA",Movimientos!$R$5:$R$2001,0)),"-")</f>
        <v>-</v>
      </c>
      <c r="G189" s="3" t="str">
        <f>IFERROR(INDEX(Movimientos!$L$5:$L$2001,MATCH(A189&amp;"ENTRADA",Movimientos!$R$5:$R$2001,0)),"-")</f>
        <v>-</v>
      </c>
      <c r="H189" s="19" t="str">
        <f>IFERROR(IF(INDEX(Movimientos!$M$5:$M$2001,MATCH(A189&amp;"ENTRADA",Movimientos!$R$5:$R$2001,0))=0,"S/D",INDEX(Movimientos!$M$5:$M$2001,MATCH(A189&amp;"ENTRADA",Movimientos!$R$5:$R$2001,0))),"S/D")</f>
        <v>S/D</v>
      </c>
      <c r="I189" s="16" t="str">
        <f t="shared" ca="1" si="6"/>
        <v>S/D</v>
      </c>
      <c r="J189" s="6">
        <f>IF(A189="","",SUMIFS(Movimientos!$K:$K,Movimientos!$H:$H,A189))</f>
        <v>0</v>
      </c>
      <c r="K189" s="14" t="str">
        <f t="shared" ca="1" si="7"/>
        <v>OK</v>
      </c>
    </row>
    <row r="190" spans="1:11">
      <c r="A190" s="18" t="s">
        <v>2263</v>
      </c>
      <c r="B190" s="3" t="str">
        <f>IFERROR(INDEX(Movimientos!$C$5:$C$2001,MATCH(A190&amp;"ENTRADA",Movimientos!$R$5:$R$2001,0)),"-")</f>
        <v>-</v>
      </c>
      <c r="C190" s="3" t="str">
        <f>IFERROR(INDEX(Movimientos!$D$5:$D$2001,MATCH(A190&amp;"ENTRADA",Movimientos!$R$5:$R$2001,0)),"-")</f>
        <v>-</v>
      </c>
      <c r="D190" s="3" t="str">
        <f>IFERROR(INDEX(Movimientos!$E$5:$E$2001,MATCH(A190&amp;"ENTRADA",Movimientos!$R$5:$R$2001,0)),"-")</f>
        <v>-</v>
      </c>
      <c r="E190" s="3" t="str">
        <f>IFERROR(INDEX(Movimientos!$F$5:$F$2001,MATCH(A190&amp;"ENTRADA",Movimientos!$R$5:$R$2001,0)),"-")</f>
        <v>-</v>
      </c>
      <c r="F190" s="3" t="str">
        <f>IFERROR(INDEX(Movimientos!$G$5:$G$2001,MATCH(A190&amp;"ENTRADA",Movimientos!$R$5:$R$2001,0)),"-")</f>
        <v>-</v>
      </c>
      <c r="G190" s="3" t="str">
        <f>IFERROR(INDEX(Movimientos!$L$5:$L$2001,MATCH(A190&amp;"ENTRADA",Movimientos!$R$5:$R$2001,0)),"-")</f>
        <v>-</v>
      </c>
      <c r="H190" s="19" t="str">
        <f>IFERROR(IF(INDEX(Movimientos!$M$5:$M$2001,MATCH(A190&amp;"ENTRADA",Movimientos!$R$5:$R$2001,0))=0,"S/D",INDEX(Movimientos!$M$5:$M$2001,MATCH(A190&amp;"ENTRADA",Movimientos!$R$5:$R$2001,0))),"S/D")</f>
        <v>S/D</v>
      </c>
      <c r="I190" s="16" t="str">
        <f t="shared" ca="1" si="6"/>
        <v>S/D</v>
      </c>
      <c r="J190" s="6">
        <f>IF(A190="","",SUMIFS(Movimientos!$K:$K,Movimientos!$H:$H,A190))</f>
        <v>0</v>
      </c>
      <c r="K190" s="14" t="str">
        <f t="shared" ca="1" si="7"/>
        <v>OK</v>
      </c>
    </row>
    <row r="191" spans="1:11">
      <c r="A191" s="18" t="s">
        <v>2264</v>
      </c>
      <c r="B191" s="3" t="str">
        <f>IFERROR(INDEX(Movimientos!$C$5:$C$2001,MATCH(A191&amp;"ENTRADA",Movimientos!$R$5:$R$2001,0)),"-")</f>
        <v>-</v>
      </c>
      <c r="C191" s="3" t="str">
        <f>IFERROR(INDEX(Movimientos!$D$5:$D$2001,MATCH(A191&amp;"ENTRADA",Movimientos!$R$5:$R$2001,0)),"-")</f>
        <v>-</v>
      </c>
      <c r="D191" s="3" t="str">
        <f>IFERROR(INDEX(Movimientos!$E$5:$E$2001,MATCH(A191&amp;"ENTRADA",Movimientos!$R$5:$R$2001,0)),"-")</f>
        <v>-</v>
      </c>
      <c r="E191" s="3" t="str">
        <f>IFERROR(INDEX(Movimientos!$F$5:$F$2001,MATCH(A191&amp;"ENTRADA",Movimientos!$R$5:$R$2001,0)),"-")</f>
        <v>-</v>
      </c>
      <c r="F191" s="3" t="str">
        <f>IFERROR(INDEX(Movimientos!$G$5:$G$2001,MATCH(A191&amp;"ENTRADA",Movimientos!$R$5:$R$2001,0)),"-")</f>
        <v>-</v>
      </c>
      <c r="G191" s="3" t="str">
        <f>IFERROR(INDEX(Movimientos!$L$5:$L$2001,MATCH(A191&amp;"ENTRADA",Movimientos!$R$5:$R$2001,0)),"-")</f>
        <v>-</v>
      </c>
      <c r="H191" s="19" t="str">
        <f>IFERROR(IF(INDEX(Movimientos!$M$5:$M$2001,MATCH(A191&amp;"ENTRADA",Movimientos!$R$5:$R$2001,0))=0,"S/D",INDEX(Movimientos!$M$5:$M$2001,MATCH(A191&amp;"ENTRADA",Movimientos!$R$5:$R$2001,0))),"S/D")</f>
        <v>S/D</v>
      </c>
      <c r="I191" s="16" t="str">
        <f t="shared" ca="1" si="6"/>
        <v>S/D</v>
      </c>
      <c r="J191" s="6">
        <f>IF(A191="","",SUMIFS(Movimientos!$K:$K,Movimientos!$H:$H,A191))</f>
        <v>0</v>
      </c>
      <c r="K191" s="14" t="str">
        <f t="shared" ca="1" si="7"/>
        <v>OK</v>
      </c>
    </row>
    <row r="192" spans="1:11">
      <c r="A192" s="18" t="s">
        <v>2265</v>
      </c>
      <c r="B192" s="3" t="str">
        <f>IFERROR(INDEX(Movimientos!$C$5:$C$2001,MATCH(A192&amp;"ENTRADA",Movimientos!$R$5:$R$2001,0)),"-")</f>
        <v>-</v>
      </c>
      <c r="C192" s="3" t="str">
        <f>IFERROR(INDEX(Movimientos!$D$5:$D$2001,MATCH(A192&amp;"ENTRADA",Movimientos!$R$5:$R$2001,0)),"-")</f>
        <v>-</v>
      </c>
      <c r="D192" s="3" t="str">
        <f>IFERROR(INDEX(Movimientos!$E$5:$E$2001,MATCH(A192&amp;"ENTRADA",Movimientos!$R$5:$R$2001,0)),"-")</f>
        <v>-</v>
      </c>
      <c r="E192" s="3" t="str">
        <f>IFERROR(INDEX(Movimientos!$F$5:$F$2001,MATCH(A192&amp;"ENTRADA",Movimientos!$R$5:$R$2001,0)),"-")</f>
        <v>-</v>
      </c>
      <c r="F192" s="3" t="str">
        <f>IFERROR(INDEX(Movimientos!$G$5:$G$2001,MATCH(A192&amp;"ENTRADA",Movimientos!$R$5:$R$2001,0)),"-")</f>
        <v>-</v>
      </c>
      <c r="G192" s="3" t="str">
        <f>IFERROR(INDEX(Movimientos!$L$5:$L$2001,MATCH(A192&amp;"ENTRADA",Movimientos!$R$5:$R$2001,0)),"-")</f>
        <v>-</v>
      </c>
      <c r="H192" s="19" t="str">
        <f>IFERROR(IF(INDEX(Movimientos!$M$5:$M$2001,MATCH(A192&amp;"ENTRADA",Movimientos!$R$5:$R$2001,0))=0,"S/D",INDEX(Movimientos!$M$5:$M$2001,MATCH(A192&amp;"ENTRADA",Movimientos!$R$5:$R$2001,0))),"S/D")</f>
        <v>S/D</v>
      </c>
      <c r="I192" s="16" t="str">
        <f t="shared" ca="1" si="6"/>
        <v>S/D</v>
      </c>
      <c r="J192" s="6">
        <f>IF(A192="","",SUMIFS(Movimientos!$K:$K,Movimientos!$H:$H,A192))</f>
        <v>0</v>
      </c>
      <c r="K192" s="14" t="str">
        <f t="shared" ca="1" si="7"/>
        <v>OK</v>
      </c>
    </row>
    <row r="193" spans="1:11">
      <c r="A193" s="18" t="s">
        <v>2266</v>
      </c>
      <c r="B193" s="3" t="str">
        <f>IFERROR(INDEX(Movimientos!$C$5:$C$2001,MATCH(A193&amp;"ENTRADA",Movimientos!$R$5:$R$2001,0)),"-")</f>
        <v>-</v>
      </c>
      <c r="C193" s="3" t="str">
        <f>IFERROR(INDEX(Movimientos!$D$5:$D$2001,MATCH(A193&amp;"ENTRADA",Movimientos!$R$5:$R$2001,0)),"-")</f>
        <v>-</v>
      </c>
      <c r="D193" s="3" t="str">
        <f>IFERROR(INDEX(Movimientos!$E$5:$E$2001,MATCH(A193&amp;"ENTRADA",Movimientos!$R$5:$R$2001,0)),"-")</f>
        <v>-</v>
      </c>
      <c r="E193" s="3" t="str">
        <f>IFERROR(INDEX(Movimientos!$F$5:$F$2001,MATCH(A193&amp;"ENTRADA",Movimientos!$R$5:$R$2001,0)),"-")</f>
        <v>-</v>
      </c>
      <c r="F193" s="3" t="str">
        <f>IFERROR(INDEX(Movimientos!$G$5:$G$2001,MATCH(A193&amp;"ENTRADA",Movimientos!$R$5:$R$2001,0)),"-")</f>
        <v>-</v>
      </c>
      <c r="G193" s="3" t="str">
        <f>IFERROR(INDEX(Movimientos!$L$5:$L$2001,MATCH(A193&amp;"ENTRADA",Movimientos!$R$5:$R$2001,0)),"-")</f>
        <v>-</v>
      </c>
      <c r="H193" s="19" t="str">
        <f>IFERROR(IF(INDEX(Movimientos!$M$5:$M$2001,MATCH(A193&amp;"ENTRADA",Movimientos!$R$5:$R$2001,0))=0,"S/D",INDEX(Movimientos!$M$5:$M$2001,MATCH(A193&amp;"ENTRADA",Movimientos!$R$5:$R$2001,0))),"S/D")</f>
        <v>S/D</v>
      </c>
      <c r="I193" s="16" t="str">
        <f t="shared" ca="1" si="6"/>
        <v>S/D</v>
      </c>
      <c r="J193" s="6">
        <f>IF(A193="","",SUMIFS(Movimientos!$K:$K,Movimientos!$H:$H,A193))</f>
        <v>0</v>
      </c>
      <c r="K193" s="14" t="str">
        <f t="shared" ca="1" si="7"/>
        <v>OK</v>
      </c>
    </row>
    <row r="194" spans="1:11">
      <c r="A194" s="18" t="s">
        <v>2267</v>
      </c>
      <c r="B194" s="3" t="str">
        <f>IFERROR(INDEX(Movimientos!$C$5:$C$2001,MATCH(A194&amp;"ENTRADA",Movimientos!$R$5:$R$2001,0)),"-")</f>
        <v>-</v>
      </c>
      <c r="C194" s="3" t="str">
        <f>IFERROR(INDEX(Movimientos!$D$5:$D$2001,MATCH(A194&amp;"ENTRADA",Movimientos!$R$5:$R$2001,0)),"-")</f>
        <v>-</v>
      </c>
      <c r="D194" s="3" t="str">
        <f>IFERROR(INDEX(Movimientos!$E$5:$E$2001,MATCH(A194&amp;"ENTRADA",Movimientos!$R$5:$R$2001,0)),"-")</f>
        <v>-</v>
      </c>
      <c r="E194" s="3" t="str">
        <f>IFERROR(INDEX(Movimientos!$F$5:$F$2001,MATCH(A194&amp;"ENTRADA",Movimientos!$R$5:$R$2001,0)),"-")</f>
        <v>-</v>
      </c>
      <c r="F194" s="3" t="str">
        <f>IFERROR(INDEX(Movimientos!$G$5:$G$2001,MATCH(A194&amp;"ENTRADA",Movimientos!$R$5:$R$2001,0)),"-")</f>
        <v>-</v>
      </c>
      <c r="G194" s="3" t="str">
        <f>IFERROR(INDEX(Movimientos!$L$5:$L$2001,MATCH(A194&amp;"ENTRADA",Movimientos!$R$5:$R$2001,0)),"-")</f>
        <v>-</v>
      </c>
      <c r="H194" s="19" t="str">
        <f>IFERROR(IF(INDEX(Movimientos!$M$5:$M$2001,MATCH(A194&amp;"ENTRADA",Movimientos!$R$5:$R$2001,0))=0,"S/D",INDEX(Movimientos!$M$5:$M$2001,MATCH(A194&amp;"ENTRADA",Movimientos!$R$5:$R$2001,0))),"S/D")</f>
        <v>S/D</v>
      </c>
      <c r="I194" s="16" t="str">
        <f t="shared" ca="1" si="6"/>
        <v>S/D</v>
      </c>
      <c r="J194" s="6">
        <f>IF(A194="","",SUMIFS(Movimientos!$K:$K,Movimientos!$H:$H,A194))</f>
        <v>0</v>
      </c>
      <c r="K194" s="14" t="str">
        <f t="shared" ca="1" si="7"/>
        <v>OK</v>
      </c>
    </row>
    <row r="195" spans="1:11">
      <c r="A195" s="18" t="s">
        <v>2268</v>
      </c>
      <c r="B195" s="3" t="str">
        <f>IFERROR(INDEX(Movimientos!$C$5:$C$2001,MATCH(A195&amp;"ENTRADA",Movimientos!$R$5:$R$2001,0)),"-")</f>
        <v>-</v>
      </c>
      <c r="C195" s="3" t="str">
        <f>IFERROR(INDEX(Movimientos!$D$5:$D$2001,MATCH(A195&amp;"ENTRADA",Movimientos!$R$5:$R$2001,0)),"-")</f>
        <v>-</v>
      </c>
      <c r="D195" s="3" t="str">
        <f>IFERROR(INDEX(Movimientos!$E$5:$E$2001,MATCH(A195&amp;"ENTRADA",Movimientos!$R$5:$R$2001,0)),"-")</f>
        <v>-</v>
      </c>
      <c r="E195" s="3" t="str">
        <f>IFERROR(INDEX(Movimientos!$F$5:$F$2001,MATCH(A195&amp;"ENTRADA",Movimientos!$R$5:$R$2001,0)),"-")</f>
        <v>-</v>
      </c>
      <c r="F195" s="3" t="str">
        <f>IFERROR(INDEX(Movimientos!$G$5:$G$2001,MATCH(A195&amp;"ENTRADA",Movimientos!$R$5:$R$2001,0)),"-")</f>
        <v>-</v>
      </c>
      <c r="G195" s="3" t="str">
        <f>IFERROR(INDEX(Movimientos!$L$5:$L$2001,MATCH(A195&amp;"ENTRADA",Movimientos!$R$5:$R$2001,0)),"-")</f>
        <v>-</v>
      </c>
      <c r="H195" s="19" t="str">
        <f>IFERROR(IF(INDEX(Movimientos!$M$5:$M$2001,MATCH(A195&amp;"ENTRADA",Movimientos!$R$5:$R$2001,0))=0,"S/D",INDEX(Movimientos!$M$5:$M$2001,MATCH(A195&amp;"ENTRADA",Movimientos!$R$5:$R$2001,0))),"S/D")</f>
        <v>S/D</v>
      </c>
      <c r="I195" s="16" t="str">
        <f t="shared" ca="1" si="6"/>
        <v>S/D</v>
      </c>
      <c r="J195" s="6">
        <f>IF(A195="","",SUMIFS(Movimientos!$K:$K,Movimientos!$H:$H,A195))</f>
        <v>0</v>
      </c>
      <c r="K195" s="14" t="str">
        <f t="shared" ca="1" si="7"/>
        <v>OK</v>
      </c>
    </row>
    <row r="196" spans="1:11">
      <c r="A196" s="18" t="s">
        <v>2269</v>
      </c>
      <c r="B196" s="3" t="str">
        <f>IFERROR(INDEX(Movimientos!$C$5:$C$2001,MATCH(A196&amp;"ENTRADA",Movimientos!$R$5:$R$2001,0)),"-")</f>
        <v>-</v>
      </c>
      <c r="C196" s="3" t="str">
        <f>IFERROR(INDEX(Movimientos!$D$5:$D$2001,MATCH(A196&amp;"ENTRADA",Movimientos!$R$5:$R$2001,0)),"-")</f>
        <v>-</v>
      </c>
      <c r="D196" s="3" t="str">
        <f>IFERROR(INDEX(Movimientos!$E$5:$E$2001,MATCH(A196&amp;"ENTRADA",Movimientos!$R$5:$R$2001,0)),"-")</f>
        <v>-</v>
      </c>
      <c r="E196" s="3" t="str">
        <f>IFERROR(INDEX(Movimientos!$F$5:$F$2001,MATCH(A196&amp;"ENTRADA",Movimientos!$R$5:$R$2001,0)),"-")</f>
        <v>-</v>
      </c>
      <c r="F196" s="3" t="str">
        <f>IFERROR(INDEX(Movimientos!$G$5:$G$2001,MATCH(A196&amp;"ENTRADA",Movimientos!$R$5:$R$2001,0)),"-")</f>
        <v>-</v>
      </c>
      <c r="G196" s="3" t="str">
        <f>IFERROR(INDEX(Movimientos!$L$5:$L$2001,MATCH(A196&amp;"ENTRADA",Movimientos!$R$5:$R$2001,0)),"-")</f>
        <v>-</v>
      </c>
      <c r="H196" s="19" t="str">
        <f>IFERROR(IF(INDEX(Movimientos!$M$5:$M$2001,MATCH(A196&amp;"ENTRADA",Movimientos!$R$5:$R$2001,0))=0,"S/D",INDEX(Movimientos!$M$5:$M$2001,MATCH(A196&amp;"ENTRADA",Movimientos!$R$5:$R$2001,0))),"S/D")</f>
        <v>S/D</v>
      </c>
      <c r="I196" s="16" t="str">
        <f t="shared" ca="1" si="6"/>
        <v>S/D</v>
      </c>
      <c r="J196" s="6">
        <f>IF(A196="","",SUMIFS(Movimientos!$K:$K,Movimientos!$H:$H,A196))</f>
        <v>0</v>
      </c>
      <c r="K196" s="14" t="str">
        <f t="shared" ca="1" si="7"/>
        <v>OK</v>
      </c>
    </row>
    <row r="197" spans="1:11">
      <c r="A197" s="18" t="s">
        <v>2270</v>
      </c>
      <c r="B197" s="3" t="str">
        <f>IFERROR(INDEX(Movimientos!$C$5:$C$2001,MATCH(A197&amp;"ENTRADA",Movimientos!$R$5:$R$2001,0)),"-")</f>
        <v>-</v>
      </c>
      <c r="C197" s="3" t="str">
        <f>IFERROR(INDEX(Movimientos!$D$5:$D$2001,MATCH(A197&amp;"ENTRADA",Movimientos!$R$5:$R$2001,0)),"-")</f>
        <v>-</v>
      </c>
      <c r="D197" s="3" t="str">
        <f>IFERROR(INDEX(Movimientos!$E$5:$E$2001,MATCH(A197&amp;"ENTRADA",Movimientos!$R$5:$R$2001,0)),"-")</f>
        <v>-</v>
      </c>
      <c r="E197" s="3" t="str">
        <f>IFERROR(INDEX(Movimientos!$F$5:$F$2001,MATCH(A197&amp;"ENTRADA",Movimientos!$R$5:$R$2001,0)),"-")</f>
        <v>-</v>
      </c>
      <c r="F197" s="3" t="str">
        <f>IFERROR(INDEX(Movimientos!$G$5:$G$2001,MATCH(A197&amp;"ENTRADA",Movimientos!$R$5:$R$2001,0)),"-")</f>
        <v>-</v>
      </c>
      <c r="G197" s="3" t="str">
        <f>IFERROR(INDEX(Movimientos!$L$5:$L$2001,MATCH(A197&amp;"ENTRADA",Movimientos!$R$5:$R$2001,0)),"-")</f>
        <v>-</v>
      </c>
      <c r="H197" s="19" t="str">
        <f>IFERROR(IF(INDEX(Movimientos!$M$5:$M$2001,MATCH(A197&amp;"ENTRADA",Movimientos!$R$5:$R$2001,0))=0,"S/D",INDEX(Movimientos!$M$5:$M$2001,MATCH(A197&amp;"ENTRADA",Movimientos!$R$5:$R$2001,0))),"S/D")</f>
        <v>S/D</v>
      </c>
      <c r="I197" s="16" t="str">
        <f t="shared" ca="1" si="6"/>
        <v>S/D</v>
      </c>
      <c r="J197" s="6">
        <f>IF(A197="","",SUMIFS(Movimientos!$K:$K,Movimientos!$H:$H,A197))</f>
        <v>0</v>
      </c>
      <c r="K197" s="14" t="str">
        <f t="shared" ca="1" si="7"/>
        <v>OK</v>
      </c>
    </row>
    <row r="198" spans="1:11">
      <c r="A198" s="18" t="s">
        <v>2271</v>
      </c>
      <c r="B198" s="3" t="str">
        <f>IFERROR(INDEX(Movimientos!$C$5:$C$2001,MATCH(A198&amp;"ENTRADA",Movimientos!$R$5:$R$2001,0)),"-")</f>
        <v>-</v>
      </c>
      <c r="C198" s="3" t="str">
        <f>IFERROR(INDEX(Movimientos!$D$5:$D$2001,MATCH(A198&amp;"ENTRADA",Movimientos!$R$5:$R$2001,0)),"-")</f>
        <v>-</v>
      </c>
      <c r="D198" s="3" t="str">
        <f>IFERROR(INDEX(Movimientos!$E$5:$E$2001,MATCH(A198&amp;"ENTRADA",Movimientos!$R$5:$R$2001,0)),"-")</f>
        <v>-</v>
      </c>
      <c r="E198" s="3" t="str">
        <f>IFERROR(INDEX(Movimientos!$F$5:$F$2001,MATCH(A198&amp;"ENTRADA",Movimientos!$R$5:$R$2001,0)),"-")</f>
        <v>-</v>
      </c>
      <c r="F198" s="3" t="str">
        <f>IFERROR(INDEX(Movimientos!$G$5:$G$2001,MATCH(A198&amp;"ENTRADA",Movimientos!$R$5:$R$2001,0)),"-")</f>
        <v>-</v>
      </c>
      <c r="G198" s="3" t="str">
        <f>IFERROR(INDEX(Movimientos!$L$5:$L$2001,MATCH(A198&amp;"ENTRADA",Movimientos!$R$5:$R$2001,0)),"-")</f>
        <v>-</v>
      </c>
      <c r="H198" s="19" t="str">
        <f>IFERROR(IF(INDEX(Movimientos!$M$5:$M$2001,MATCH(A198&amp;"ENTRADA",Movimientos!$R$5:$R$2001,0))=0,"S/D",INDEX(Movimientos!$M$5:$M$2001,MATCH(A198&amp;"ENTRADA",Movimientos!$R$5:$R$2001,0))),"S/D")</f>
        <v>S/D</v>
      </c>
      <c r="I198" s="16" t="str">
        <f t="shared" ca="1" si="6"/>
        <v>S/D</v>
      </c>
      <c r="J198" s="6">
        <f>IF(A198="","",SUMIFS(Movimientos!$K:$K,Movimientos!$H:$H,A198))</f>
        <v>0</v>
      </c>
      <c r="K198" s="14" t="str">
        <f t="shared" ca="1" si="7"/>
        <v>OK</v>
      </c>
    </row>
    <row r="199" spans="1:11">
      <c r="A199" s="18" t="s">
        <v>2272</v>
      </c>
      <c r="B199" s="3" t="str">
        <f>IFERROR(INDEX(Movimientos!$C$5:$C$2001,MATCH(A199&amp;"ENTRADA",Movimientos!$R$5:$R$2001,0)),"-")</f>
        <v>-</v>
      </c>
      <c r="C199" s="3" t="str">
        <f>IFERROR(INDEX(Movimientos!$D$5:$D$2001,MATCH(A199&amp;"ENTRADA",Movimientos!$R$5:$R$2001,0)),"-")</f>
        <v>-</v>
      </c>
      <c r="D199" s="3" t="str">
        <f>IFERROR(INDEX(Movimientos!$E$5:$E$2001,MATCH(A199&amp;"ENTRADA",Movimientos!$R$5:$R$2001,0)),"-")</f>
        <v>-</v>
      </c>
      <c r="E199" s="3" t="str">
        <f>IFERROR(INDEX(Movimientos!$F$5:$F$2001,MATCH(A199&amp;"ENTRADA",Movimientos!$R$5:$R$2001,0)),"-")</f>
        <v>-</v>
      </c>
      <c r="F199" s="3" t="str">
        <f>IFERROR(INDEX(Movimientos!$G$5:$G$2001,MATCH(A199&amp;"ENTRADA",Movimientos!$R$5:$R$2001,0)),"-")</f>
        <v>-</v>
      </c>
      <c r="G199" s="3" t="str">
        <f>IFERROR(INDEX(Movimientos!$L$5:$L$2001,MATCH(A199&amp;"ENTRADA",Movimientos!$R$5:$R$2001,0)),"-")</f>
        <v>-</v>
      </c>
      <c r="H199" s="19" t="str">
        <f>IFERROR(IF(INDEX(Movimientos!$M$5:$M$2001,MATCH(A199&amp;"ENTRADA",Movimientos!$R$5:$R$2001,0))=0,"S/D",INDEX(Movimientos!$M$5:$M$2001,MATCH(A199&amp;"ENTRADA",Movimientos!$R$5:$R$2001,0))),"S/D")</f>
        <v>S/D</v>
      </c>
      <c r="I199" s="16" t="str">
        <f t="shared" ca="1" si="6"/>
        <v>S/D</v>
      </c>
      <c r="J199" s="6">
        <f>IF(A199="","",SUMIFS(Movimientos!$K:$K,Movimientos!$H:$H,A199))</f>
        <v>0</v>
      </c>
      <c r="K199" s="14" t="str">
        <f t="shared" ca="1" si="7"/>
        <v>OK</v>
      </c>
    </row>
    <row r="200" spans="1:11">
      <c r="A200" s="18" t="s">
        <v>2273</v>
      </c>
      <c r="B200" s="3" t="str">
        <f>IFERROR(INDEX(Movimientos!$C$5:$C$2001,MATCH(A200&amp;"ENTRADA",Movimientos!$R$5:$R$2001,0)),"-")</f>
        <v>-</v>
      </c>
      <c r="C200" s="3" t="str">
        <f>IFERROR(INDEX(Movimientos!$D$5:$D$2001,MATCH(A200&amp;"ENTRADA",Movimientos!$R$5:$R$2001,0)),"-")</f>
        <v>-</v>
      </c>
      <c r="D200" s="3" t="str">
        <f>IFERROR(INDEX(Movimientos!$E$5:$E$2001,MATCH(A200&amp;"ENTRADA",Movimientos!$R$5:$R$2001,0)),"-")</f>
        <v>-</v>
      </c>
      <c r="E200" s="3" t="str">
        <f>IFERROR(INDEX(Movimientos!$F$5:$F$2001,MATCH(A200&amp;"ENTRADA",Movimientos!$R$5:$R$2001,0)),"-")</f>
        <v>-</v>
      </c>
      <c r="F200" s="3" t="str">
        <f>IFERROR(INDEX(Movimientos!$G$5:$G$2001,MATCH(A200&amp;"ENTRADA",Movimientos!$R$5:$R$2001,0)),"-")</f>
        <v>-</v>
      </c>
      <c r="G200" s="3" t="str">
        <f>IFERROR(INDEX(Movimientos!$L$5:$L$2001,MATCH(A200&amp;"ENTRADA",Movimientos!$R$5:$R$2001,0)),"-")</f>
        <v>-</v>
      </c>
      <c r="H200" s="19" t="str">
        <f>IFERROR(IF(INDEX(Movimientos!$M$5:$M$2001,MATCH(A200&amp;"ENTRADA",Movimientos!$R$5:$R$2001,0))=0,"S/D",INDEX(Movimientos!$M$5:$M$2001,MATCH(A200&amp;"ENTRADA",Movimientos!$R$5:$R$2001,0))),"S/D")</f>
        <v>S/D</v>
      </c>
      <c r="I200" s="16" t="str">
        <f t="shared" ca="1" si="6"/>
        <v>S/D</v>
      </c>
      <c r="J200" s="6">
        <f>IF(A200="","",SUMIFS(Movimientos!$K:$K,Movimientos!$H:$H,A200))</f>
        <v>0</v>
      </c>
      <c r="K200" s="14" t="str">
        <f t="shared" ca="1" si="7"/>
        <v>OK</v>
      </c>
    </row>
    <row r="201" spans="1:11">
      <c r="A201" s="18" t="s">
        <v>2274</v>
      </c>
      <c r="B201" s="3" t="str">
        <f>IFERROR(INDEX(Movimientos!$C$5:$C$2001,MATCH(A201&amp;"ENTRADA",Movimientos!$R$5:$R$2001,0)),"-")</f>
        <v>-</v>
      </c>
      <c r="C201" s="3" t="str">
        <f>IFERROR(INDEX(Movimientos!$D$5:$D$2001,MATCH(A201&amp;"ENTRADA",Movimientos!$R$5:$R$2001,0)),"-")</f>
        <v>-</v>
      </c>
      <c r="D201" s="3" t="str">
        <f>IFERROR(INDEX(Movimientos!$E$5:$E$2001,MATCH(A201&amp;"ENTRADA",Movimientos!$R$5:$R$2001,0)),"-")</f>
        <v>-</v>
      </c>
      <c r="E201" s="3" t="str">
        <f>IFERROR(INDEX(Movimientos!$F$5:$F$2001,MATCH(A201&amp;"ENTRADA",Movimientos!$R$5:$R$2001,0)),"-")</f>
        <v>-</v>
      </c>
      <c r="F201" s="3" t="str">
        <f>IFERROR(INDEX(Movimientos!$G$5:$G$2001,MATCH(A201&amp;"ENTRADA",Movimientos!$R$5:$R$2001,0)),"-")</f>
        <v>-</v>
      </c>
      <c r="G201" s="3" t="str">
        <f>IFERROR(INDEX(Movimientos!$L$5:$L$2001,MATCH(A201&amp;"ENTRADA",Movimientos!$R$5:$R$2001,0)),"-")</f>
        <v>-</v>
      </c>
      <c r="H201" s="19" t="str">
        <f>IFERROR(IF(INDEX(Movimientos!$M$5:$M$2001,MATCH(A201&amp;"ENTRADA",Movimientos!$R$5:$R$2001,0))=0,"S/D",INDEX(Movimientos!$M$5:$M$2001,MATCH(A201&amp;"ENTRADA",Movimientos!$R$5:$R$2001,0))),"S/D")</f>
        <v>S/D</v>
      </c>
      <c r="I201" s="16" t="str">
        <f t="shared" ca="1" si="6"/>
        <v>S/D</v>
      </c>
      <c r="J201" s="6">
        <f>IF(A201="","",SUMIFS(Movimientos!$K:$K,Movimientos!$H:$H,A201))</f>
        <v>0</v>
      </c>
      <c r="K201" s="14" t="str">
        <f t="shared" ca="1" si="7"/>
        <v>OK</v>
      </c>
    </row>
    <row r="202" spans="1:11">
      <c r="A202" s="18" t="s">
        <v>2275</v>
      </c>
      <c r="B202" s="3" t="str">
        <f>IFERROR(INDEX(Movimientos!$C$5:$C$2001,MATCH(A202&amp;"ENTRADA",Movimientos!$R$5:$R$2001,0)),"-")</f>
        <v>-</v>
      </c>
      <c r="C202" s="3" t="str">
        <f>IFERROR(INDEX(Movimientos!$D$5:$D$2001,MATCH(A202&amp;"ENTRADA",Movimientos!$R$5:$R$2001,0)),"-")</f>
        <v>-</v>
      </c>
      <c r="D202" s="3" t="str">
        <f>IFERROR(INDEX(Movimientos!$E$5:$E$2001,MATCH(A202&amp;"ENTRADA",Movimientos!$R$5:$R$2001,0)),"-")</f>
        <v>-</v>
      </c>
      <c r="E202" s="3" t="str">
        <f>IFERROR(INDEX(Movimientos!$F$5:$F$2001,MATCH(A202&amp;"ENTRADA",Movimientos!$R$5:$R$2001,0)),"-")</f>
        <v>-</v>
      </c>
      <c r="F202" s="3" t="str">
        <f>IFERROR(INDEX(Movimientos!$G$5:$G$2001,MATCH(A202&amp;"ENTRADA",Movimientos!$R$5:$R$2001,0)),"-")</f>
        <v>-</v>
      </c>
      <c r="G202" s="3" t="str">
        <f>IFERROR(INDEX(Movimientos!$L$5:$L$2001,MATCH(A202&amp;"ENTRADA",Movimientos!$R$5:$R$2001,0)),"-")</f>
        <v>-</v>
      </c>
      <c r="H202" s="19" t="str">
        <f>IFERROR(IF(INDEX(Movimientos!$M$5:$M$2001,MATCH(A202&amp;"ENTRADA",Movimientos!$R$5:$R$2001,0))=0,"S/D",INDEX(Movimientos!$M$5:$M$2001,MATCH(A202&amp;"ENTRADA",Movimientos!$R$5:$R$2001,0))),"S/D")</f>
        <v>S/D</v>
      </c>
      <c r="I202" s="16" t="str">
        <f t="shared" ca="1" si="6"/>
        <v>S/D</v>
      </c>
      <c r="J202" s="6">
        <f>IF(A202="","",SUMIFS(Movimientos!$K:$K,Movimientos!$H:$H,A202))</f>
        <v>0</v>
      </c>
      <c r="K202" s="14" t="str">
        <f t="shared" ca="1" si="7"/>
        <v>OK</v>
      </c>
    </row>
    <row r="203" spans="1:11">
      <c r="A203" s="18" t="s">
        <v>2276</v>
      </c>
      <c r="B203" s="3" t="str">
        <f>IFERROR(INDEX(Movimientos!$C$5:$C$2001,MATCH(A203&amp;"ENTRADA",Movimientos!$R$5:$R$2001,0)),"-")</f>
        <v>-</v>
      </c>
      <c r="C203" s="3" t="str">
        <f>IFERROR(INDEX(Movimientos!$D$5:$D$2001,MATCH(A203&amp;"ENTRADA",Movimientos!$R$5:$R$2001,0)),"-")</f>
        <v>-</v>
      </c>
      <c r="D203" s="3" t="str">
        <f>IFERROR(INDEX(Movimientos!$E$5:$E$2001,MATCH(A203&amp;"ENTRADA",Movimientos!$R$5:$R$2001,0)),"-")</f>
        <v>-</v>
      </c>
      <c r="E203" s="3" t="str">
        <f>IFERROR(INDEX(Movimientos!$F$5:$F$2001,MATCH(A203&amp;"ENTRADA",Movimientos!$R$5:$R$2001,0)),"-")</f>
        <v>-</v>
      </c>
      <c r="F203" s="3" t="str">
        <f>IFERROR(INDEX(Movimientos!$G$5:$G$2001,MATCH(A203&amp;"ENTRADA",Movimientos!$R$5:$R$2001,0)),"-")</f>
        <v>-</v>
      </c>
      <c r="G203" s="3" t="str">
        <f>IFERROR(INDEX(Movimientos!$L$5:$L$2001,MATCH(A203&amp;"ENTRADA",Movimientos!$R$5:$R$2001,0)),"-")</f>
        <v>-</v>
      </c>
      <c r="H203" s="19" t="str">
        <f>IFERROR(IF(INDEX(Movimientos!$M$5:$M$2001,MATCH(A203&amp;"ENTRADA",Movimientos!$R$5:$R$2001,0))=0,"S/D",INDEX(Movimientos!$M$5:$M$2001,MATCH(A203&amp;"ENTRADA",Movimientos!$R$5:$R$2001,0))),"S/D")</f>
        <v>S/D</v>
      </c>
      <c r="I203" s="16" t="str">
        <f t="shared" ref="I203:I266" ca="1" si="8">IF(OR(A203="",H203="S/D"),"S/D",H203-TODAY())</f>
        <v>S/D</v>
      </c>
      <c r="J203" s="6">
        <f>IF(A203="","",SUMIFS(Movimientos!$K:$K,Movimientos!$H:$H,A203))</f>
        <v>0</v>
      </c>
      <c r="K203" s="14" t="str">
        <f t="shared" ref="K203:K266" ca="1" si="9">IF(A203="","",IF(H203="S/D","OK",IF(H203&lt;TODAY(),"VENCIDO",IF(J203&lt;=0,"SIN STOCK",IF(I203&gt;=180,"OK","PRÓXIMO A VENCER")))))</f>
        <v>OK</v>
      </c>
    </row>
    <row r="204" spans="1:11">
      <c r="A204" s="18" t="s">
        <v>2277</v>
      </c>
      <c r="B204" s="3" t="str">
        <f>IFERROR(INDEX(Movimientos!$C$5:$C$2001,MATCH(A204&amp;"ENTRADA",Movimientos!$R$5:$R$2001,0)),"-")</f>
        <v>-</v>
      </c>
      <c r="C204" s="3" t="str">
        <f>IFERROR(INDEX(Movimientos!$D$5:$D$2001,MATCH(A204&amp;"ENTRADA",Movimientos!$R$5:$R$2001,0)),"-")</f>
        <v>-</v>
      </c>
      <c r="D204" s="3" t="str">
        <f>IFERROR(INDEX(Movimientos!$E$5:$E$2001,MATCH(A204&amp;"ENTRADA",Movimientos!$R$5:$R$2001,0)),"-")</f>
        <v>-</v>
      </c>
      <c r="E204" s="3" t="str">
        <f>IFERROR(INDEX(Movimientos!$F$5:$F$2001,MATCH(A204&amp;"ENTRADA",Movimientos!$R$5:$R$2001,0)),"-")</f>
        <v>-</v>
      </c>
      <c r="F204" s="3" t="str">
        <f>IFERROR(INDEX(Movimientos!$G$5:$G$2001,MATCH(A204&amp;"ENTRADA",Movimientos!$R$5:$R$2001,0)),"-")</f>
        <v>-</v>
      </c>
      <c r="G204" s="3" t="str">
        <f>IFERROR(INDEX(Movimientos!$L$5:$L$2001,MATCH(A204&amp;"ENTRADA",Movimientos!$R$5:$R$2001,0)),"-")</f>
        <v>-</v>
      </c>
      <c r="H204" s="19" t="str">
        <f>IFERROR(IF(INDEX(Movimientos!$M$5:$M$2001,MATCH(A204&amp;"ENTRADA",Movimientos!$R$5:$R$2001,0))=0,"S/D",INDEX(Movimientos!$M$5:$M$2001,MATCH(A204&amp;"ENTRADA",Movimientos!$R$5:$R$2001,0))),"S/D")</f>
        <v>S/D</v>
      </c>
      <c r="I204" s="16" t="str">
        <f t="shared" ca="1" si="8"/>
        <v>S/D</v>
      </c>
      <c r="J204" s="6">
        <f>IF(A204="","",SUMIFS(Movimientos!$K:$K,Movimientos!$H:$H,A204))</f>
        <v>0</v>
      </c>
      <c r="K204" s="14" t="str">
        <f t="shared" ca="1" si="9"/>
        <v>OK</v>
      </c>
    </row>
    <row r="205" spans="1:11">
      <c r="A205" s="18" t="s">
        <v>2278</v>
      </c>
      <c r="B205" s="3" t="str">
        <f>IFERROR(INDEX(Movimientos!$C$5:$C$2001,MATCH(A205&amp;"ENTRADA",Movimientos!$R$5:$R$2001,0)),"-")</f>
        <v>-</v>
      </c>
      <c r="C205" s="3" t="str">
        <f>IFERROR(INDEX(Movimientos!$D$5:$D$2001,MATCH(A205&amp;"ENTRADA",Movimientos!$R$5:$R$2001,0)),"-")</f>
        <v>-</v>
      </c>
      <c r="D205" s="3" t="str">
        <f>IFERROR(INDEX(Movimientos!$E$5:$E$2001,MATCH(A205&amp;"ENTRADA",Movimientos!$R$5:$R$2001,0)),"-")</f>
        <v>-</v>
      </c>
      <c r="E205" s="3" t="str">
        <f>IFERROR(INDEX(Movimientos!$F$5:$F$2001,MATCH(A205&amp;"ENTRADA",Movimientos!$R$5:$R$2001,0)),"-")</f>
        <v>-</v>
      </c>
      <c r="F205" s="3" t="str">
        <f>IFERROR(INDEX(Movimientos!$G$5:$G$2001,MATCH(A205&amp;"ENTRADA",Movimientos!$R$5:$R$2001,0)),"-")</f>
        <v>-</v>
      </c>
      <c r="G205" s="3" t="str">
        <f>IFERROR(INDEX(Movimientos!$L$5:$L$2001,MATCH(A205&amp;"ENTRADA",Movimientos!$R$5:$R$2001,0)),"-")</f>
        <v>-</v>
      </c>
      <c r="H205" s="19" t="str">
        <f>IFERROR(IF(INDEX(Movimientos!$M$5:$M$2001,MATCH(A205&amp;"ENTRADA",Movimientos!$R$5:$R$2001,0))=0,"S/D",INDEX(Movimientos!$M$5:$M$2001,MATCH(A205&amp;"ENTRADA",Movimientos!$R$5:$R$2001,0))),"S/D")</f>
        <v>S/D</v>
      </c>
      <c r="I205" s="16" t="str">
        <f t="shared" ca="1" si="8"/>
        <v>S/D</v>
      </c>
      <c r="J205" s="6">
        <f>IF(A205="","",SUMIFS(Movimientos!$K:$K,Movimientos!$H:$H,A205))</f>
        <v>0</v>
      </c>
      <c r="K205" s="14" t="str">
        <f t="shared" ca="1" si="9"/>
        <v>OK</v>
      </c>
    </row>
    <row r="206" spans="1:11">
      <c r="A206" s="18" t="s">
        <v>2279</v>
      </c>
      <c r="B206" s="3" t="str">
        <f>IFERROR(INDEX(Movimientos!$C$5:$C$2001,MATCH(A206&amp;"ENTRADA",Movimientos!$R$5:$R$2001,0)),"-")</f>
        <v>-</v>
      </c>
      <c r="C206" s="3" t="str">
        <f>IFERROR(INDEX(Movimientos!$D$5:$D$2001,MATCH(A206&amp;"ENTRADA",Movimientos!$R$5:$R$2001,0)),"-")</f>
        <v>-</v>
      </c>
      <c r="D206" s="3" t="str">
        <f>IFERROR(INDEX(Movimientos!$E$5:$E$2001,MATCH(A206&amp;"ENTRADA",Movimientos!$R$5:$R$2001,0)),"-")</f>
        <v>-</v>
      </c>
      <c r="E206" s="3" t="str">
        <f>IFERROR(INDEX(Movimientos!$F$5:$F$2001,MATCH(A206&amp;"ENTRADA",Movimientos!$R$5:$R$2001,0)),"-")</f>
        <v>-</v>
      </c>
      <c r="F206" s="3" t="str">
        <f>IFERROR(INDEX(Movimientos!$G$5:$G$2001,MATCH(A206&amp;"ENTRADA",Movimientos!$R$5:$R$2001,0)),"-")</f>
        <v>-</v>
      </c>
      <c r="G206" s="3" t="str">
        <f>IFERROR(INDEX(Movimientos!$L$5:$L$2001,MATCH(A206&amp;"ENTRADA",Movimientos!$R$5:$R$2001,0)),"-")</f>
        <v>-</v>
      </c>
      <c r="H206" s="19" t="str">
        <f>IFERROR(IF(INDEX(Movimientos!$M$5:$M$2001,MATCH(A206&amp;"ENTRADA",Movimientos!$R$5:$R$2001,0))=0,"S/D",INDEX(Movimientos!$M$5:$M$2001,MATCH(A206&amp;"ENTRADA",Movimientos!$R$5:$R$2001,0))),"S/D")</f>
        <v>S/D</v>
      </c>
      <c r="I206" s="16" t="str">
        <f t="shared" ca="1" si="8"/>
        <v>S/D</v>
      </c>
      <c r="J206" s="6">
        <f>IF(A206="","",SUMIFS(Movimientos!$K:$K,Movimientos!$H:$H,A206))</f>
        <v>0</v>
      </c>
      <c r="K206" s="14" t="str">
        <f t="shared" ca="1" si="9"/>
        <v>OK</v>
      </c>
    </row>
    <row r="207" spans="1:11">
      <c r="A207" s="18" t="s">
        <v>2280</v>
      </c>
      <c r="B207" s="3" t="str">
        <f>IFERROR(INDEX(Movimientos!$C$5:$C$2001,MATCH(A207&amp;"ENTRADA",Movimientos!$R$5:$R$2001,0)),"-")</f>
        <v>-</v>
      </c>
      <c r="C207" s="3" t="str">
        <f>IFERROR(INDEX(Movimientos!$D$5:$D$2001,MATCH(A207&amp;"ENTRADA",Movimientos!$R$5:$R$2001,0)),"-")</f>
        <v>-</v>
      </c>
      <c r="D207" s="3" t="str">
        <f>IFERROR(INDEX(Movimientos!$E$5:$E$2001,MATCH(A207&amp;"ENTRADA",Movimientos!$R$5:$R$2001,0)),"-")</f>
        <v>-</v>
      </c>
      <c r="E207" s="3" t="str">
        <f>IFERROR(INDEX(Movimientos!$F$5:$F$2001,MATCH(A207&amp;"ENTRADA",Movimientos!$R$5:$R$2001,0)),"-")</f>
        <v>-</v>
      </c>
      <c r="F207" s="3" t="str">
        <f>IFERROR(INDEX(Movimientos!$G$5:$G$2001,MATCH(A207&amp;"ENTRADA",Movimientos!$R$5:$R$2001,0)),"-")</f>
        <v>-</v>
      </c>
      <c r="G207" s="3" t="str">
        <f>IFERROR(INDEX(Movimientos!$L$5:$L$2001,MATCH(A207&amp;"ENTRADA",Movimientos!$R$5:$R$2001,0)),"-")</f>
        <v>-</v>
      </c>
      <c r="H207" s="19" t="str">
        <f>IFERROR(IF(INDEX(Movimientos!$M$5:$M$2001,MATCH(A207&amp;"ENTRADA",Movimientos!$R$5:$R$2001,0))=0,"S/D",INDEX(Movimientos!$M$5:$M$2001,MATCH(A207&amp;"ENTRADA",Movimientos!$R$5:$R$2001,0))),"S/D")</f>
        <v>S/D</v>
      </c>
      <c r="I207" s="16" t="str">
        <f t="shared" ca="1" si="8"/>
        <v>S/D</v>
      </c>
      <c r="J207" s="6">
        <f>IF(A207="","",SUMIFS(Movimientos!$K:$K,Movimientos!$H:$H,A207))</f>
        <v>0</v>
      </c>
      <c r="K207" s="14" t="str">
        <f t="shared" ca="1" si="9"/>
        <v>OK</v>
      </c>
    </row>
    <row r="208" spans="1:11">
      <c r="A208" s="18" t="s">
        <v>2281</v>
      </c>
      <c r="B208" s="3" t="str">
        <f>IFERROR(INDEX(Movimientos!$C$5:$C$2001,MATCH(A208&amp;"ENTRADA",Movimientos!$R$5:$R$2001,0)),"-")</f>
        <v>-</v>
      </c>
      <c r="C208" s="3" t="str">
        <f>IFERROR(INDEX(Movimientos!$D$5:$D$2001,MATCH(A208&amp;"ENTRADA",Movimientos!$R$5:$R$2001,0)),"-")</f>
        <v>-</v>
      </c>
      <c r="D208" s="3" t="str">
        <f>IFERROR(INDEX(Movimientos!$E$5:$E$2001,MATCH(A208&amp;"ENTRADA",Movimientos!$R$5:$R$2001,0)),"-")</f>
        <v>-</v>
      </c>
      <c r="E208" s="3" t="str">
        <f>IFERROR(INDEX(Movimientos!$F$5:$F$2001,MATCH(A208&amp;"ENTRADA",Movimientos!$R$5:$R$2001,0)),"-")</f>
        <v>-</v>
      </c>
      <c r="F208" s="3" t="str">
        <f>IFERROR(INDEX(Movimientos!$G$5:$G$2001,MATCH(A208&amp;"ENTRADA",Movimientos!$R$5:$R$2001,0)),"-")</f>
        <v>-</v>
      </c>
      <c r="G208" s="3" t="str">
        <f>IFERROR(INDEX(Movimientos!$L$5:$L$2001,MATCH(A208&amp;"ENTRADA",Movimientos!$R$5:$R$2001,0)),"-")</f>
        <v>-</v>
      </c>
      <c r="H208" s="19" t="str">
        <f>IFERROR(IF(INDEX(Movimientos!$M$5:$M$2001,MATCH(A208&amp;"ENTRADA",Movimientos!$R$5:$R$2001,0))=0,"S/D",INDEX(Movimientos!$M$5:$M$2001,MATCH(A208&amp;"ENTRADA",Movimientos!$R$5:$R$2001,0))),"S/D")</f>
        <v>S/D</v>
      </c>
      <c r="I208" s="16" t="str">
        <f t="shared" ca="1" si="8"/>
        <v>S/D</v>
      </c>
      <c r="J208" s="6">
        <f>IF(A208="","",SUMIFS(Movimientos!$K:$K,Movimientos!$H:$H,A208))</f>
        <v>0</v>
      </c>
      <c r="K208" s="14" t="str">
        <f t="shared" ca="1" si="9"/>
        <v>OK</v>
      </c>
    </row>
    <row r="209" spans="1:11">
      <c r="A209" s="18" t="s">
        <v>2282</v>
      </c>
      <c r="B209" s="3" t="str">
        <f>IFERROR(INDEX(Movimientos!$C$5:$C$2001,MATCH(A209&amp;"ENTRADA",Movimientos!$R$5:$R$2001,0)),"-")</f>
        <v>-</v>
      </c>
      <c r="C209" s="3" t="str">
        <f>IFERROR(INDEX(Movimientos!$D$5:$D$2001,MATCH(A209&amp;"ENTRADA",Movimientos!$R$5:$R$2001,0)),"-")</f>
        <v>-</v>
      </c>
      <c r="D209" s="3" t="str">
        <f>IFERROR(INDEX(Movimientos!$E$5:$E$2001,MATCH(A209&amp;"ENTRADA",Movimientos!$R$5:$R$2001,0)),"-")</f>
        <v>-</v>
      </c>
      <c r="E209" s="3" t="str">
        <f>IFERROR(INDEX(Movimientos!$F$5:$F$2001,MATCH(A209&amp;"ENTRADA",Movimientos!$R$5:$R$2001,0)),"-")</f>
        <v>-</v>
      </c>
      <c r="F209" s="3" t="str">
        <f>IFERROR(INDEX(Movimientos!$G$5:$G$2001,MATCH(A209&amp;"ENTRADA",Movimientos!$R$5:$R$2001,0)),"-")</f>
        <v>-</v>
      </c>
      <c r="G209" s="3" t="str">
        <f>IFERROR(INDEX(Movimientos!$L$5:$L$2001,MATCH(A209&amp;"ENTRADA",Movimientos!$R$5:$R$2001,0)),"-")</f>
        <v>-</v>
      </c>
      <c r="H209" s="19" t="str">
        <f>IFERROR(IF(INDEX(Movimientos!$M$5:$M$2001,MATCH(A209&amp;"ENTRADA",Movimientos!$R$5:$R$2001,0))=0,"S/D",INDEX(Movimientos!$M$5:$M$2001,MATCH(A209&amp;"ENTRADA",Movimientos!$R$5:$R$2001,0))),"S/D")</f>
        <v>S/D</v>
      </c>
      <c r="I209" s="16" t="str">
        <f t="shared" ca="1" si="8"/>
        <v>S/D</v>
      </c>
      <c r="J209" s="6">
        <f>IF(A209="","",SUMIFS(Movimientos!$K:$K,Movimientos!$H:$H,A209))</f>
        <v>0</v>
      </c>
      <c r="K209" s="14" t="str">
        <f t="shared" ca="1" si="9"/>
        <v>OK</v>
      </c>
    </row>
    <row r="210" spans="1:11">
      <c r="A210" s="18" t="s">
        <v>2283</v>
      </c>
      <c r="B210" s="3" t="str">
        <f>IFERROR(INDEX(Movimientos!$C$5:$C$2001,MATCH(A210&amp;"ENTRADA",Movimientos!$R$5:$R$2001,0)),"-")</f>
        <v>-</v>
      </c>
      <c r="C210" s="3" t="str">
        <f>IFERROR(INDEX(Movimientos!$D$5:$D$2001,MATCH(A210&amp;"ENTRADA",Movimientos!$R$5:$R$2001,0)),"-")</f>
        <v>-</v>
      </c>
      <c r="D210" s="3" t="str">
        <f>IFERROR(INDEX(Movimientos!$E$5:$E$2001,MATCH(A210&amp;"ENTRADA",Movimientos!$R$5:$R$2001,0)),"-")</f>
        <v>-</v>
      </c>
      <c r="E210" s="3" t="str">
        <f>IFERROR(INDEX(Movimientos!$F$5:$F$2001,MATCH(A210&amp;"ENTRADA",Movimientos!$R$5:$R$2001,0)),"-")</f>
        <v>-</v>
      </c>
      <c r="F210" s="3" t="str">
        <f>IFERROR(INDEX(Movimientos!$G$5:$G$2001,MATCH(A210&amp;"ENTRADA",Movimientos!$R$5:$R$2001,0)),"-")</f>
        <v>-</v>
      </c>
      <c r="G210" s="3" t="str">
        <f>IFERROR(INDEX(Movimientos!$L$5:$L$2001,MATCH(A210&amp;"ENTRADA",Movimientos!$R$5:$R$2001,0)),"-")</f>
        <v>-</v>
      </c>
      <c r="H210" s="19" t="str">
        <f>IFERROR(IF(INDEX(Movimientos!$M$5:$M$2001,MATCH(A210&amp;"ENTRADA",Movimientos!$R$5:$R$2001,0))=0,"S/D",INDEX(Movimientos!$M$5:$M$2001,MATCH(A210&amp;"ENTRADA",Movimientos!$R$5:$R$2001,0))),"S/D")</f>
        <v>S/D</v>
      </c>
      <c r="I210" s="16" t="str">
        <f t="shared" ca="1" si="8"/>
        <v>S/D</v>
      </c>
      <c r="J210" s="6">
        <f>IF(A210="","",SUMIFS(Movimientos!$K:$K,Movimientos!$H:$H,A210))</f>
        <v>0</v>
      </c>
      <c r="K210" s="14" t="str">
        <f t="shared" ca="1" si="9"/>
        <v>OK</v>
      </c>
    </row>
    <row r="211" spans="1:11">
      <c r="A211" s="18" t="s">
        <v>2284</v>
      </c>
      <c r="B211" s="3" t="str">
        <f>IFERROR(INDEX(Movimientos!$C$5:$C$2001,MATCH(A211&amp;"ENTRADA",Movimientos!$R$5:$R$2001,0)),"-")</f>
        <v>-</v>
      </c>
      <c r="C211" s="3" t="str">
        <f>IFERROR(INDEX(Movimientos!$D$5:$D$2001,MATCH(A211&amp;"ENTRADA",Movimientos!$R$5:$R$2001,0)),"-")</f>
        <v>-</v>
      </c>
      <c r="D211" s="3" t="str">
        <f>IFERROR(INDEX(Movimientos!$E$5:$E$2001,MATCH(A211&amp;"ENTRADA",Movimientos!$R$5:$R$2001,0)),"-")</f>
        <v>-</v>
      </c>
      <c r="E211" s="3" t="str">
        <f>IFERROR(INDEX(Movimientos!$F$5:$F$2001,MATCH(A211&amp;"ENTRADA",Movimientos!$R$5:$R$2001,0)),"-")</f>
        <v>-</v>
      </c>
      <c r="F211" s="3" t="str">
        <f>IFERROR(INDEX(Movimientos!$G$5:$G$2001,MATCH(A211&amp;"ENTRADA",Movimientos!$R$5:$R$2001,0)),"-")</f>
        <v>-</v>
      </c>
      <c r="G211" s="3" t="str">
        <f>IFERROR(INDEX(Movimientos!$L$5:$L$2001,MATCH(A211&amp;"ENTRADA",Movimientos!$R$5:$R$2001,0)),"-")</f>
        <v>-</v>
      </c>
      <c r="H211" s="19" t="str">
        <f>IFERROR(IF(INDEX(Movimientos!$M$5:$M$2001,MATCH(A211&amp;"ENTRADA",Movimientos!$R$5:$R$2001,0))=0,"S/D",INDEX(Movimientos!$M$5:$M$2001,MATCH(A211&amp;"ENTRADA",Movimientos!$R$5:$R$2001,0))),"S/D")</f>
        <v>S/D</v>
      </c>
      <c r="I211" s="16" t="str">
        <f t="shared" ca="1" si="8"/>
        <v>S/D</v>
      </c>
      <c r="J211" s="6">
        <f>IF(A211="","",SUMIFS(Movimientos!$K:$K,Movimientos!$H:$H,A211))</f>
        <v>0</v>
      </c>
      <c r="K211" s="14" t="str">
        <f t="shared" ca="1" si="9"/>
        <v>OK</v>
      </c>
    </row>
    <row r="212" spans="1:11">
      <c r="A212" s="18" t="s">
        <v>2285</v>
      </c>
      <c r="B212" s="3" t="str">
        <f>IFERROR(INDEX(Movimientos!$C$5:$C$2001,MATCH(A212&amp;"ENTRADA",Movimientos!$R$5:$R$2001,0)),"-")</f>
        <v>-</v>
      </c>
      <c r="C212" s="3" t="str">
        <f>IFERROR(INDEX(Movimientos!$D$5:$D$2001,MATCH(A212&amp;"ENTRADA",Movimientos!$R$5:$R$2001,0)),"-")</f>
        <v>-</v>
      </c>
      <c r="D212" s="3" t="str">
        <f>IFERROR(INDEX(Movimientos!$E$5:$E$2001,MATCH(A212&amp;"ENTRADA",Movimientos!$R$5:$R$2001,0)),"-")</f>
        <v>-</v>
      </c>
      <c r="E212" s="3" t="str">
        <f>IFERROR(INDEX(Movimientos!$F$5:$F$2001,MATCH(A212&amp;"ENTRADA",Movimientos!$R$5:$R$2001,0)),"-")</f>
        <v>-</v>
      </c>
      <c r="F212" s="3" t="str">
        <f>IFERROR(INDEX(Movimientos!$G$5:$G$2001,MATCH(A212&amp;"ENTRADA",Movimientos!$R$5:$R$2001,0)),"-")</f>
        <v>-</v>
      </c>
      <c r="G212" s="3" t="str">
        <f>IFERROR(INDEX(Movimientos!$L$5:$L$2001,MATCH(A212&amp;"ENTRADA",Movimientos!$R$5:$R$2001,0)),"-")</f>
        <v>-</v>
      </c>
      <c r="H212" s="19" t="str">
        <f>IFERROR(IF(INDEX(Movimientos!$M$5:$M$2001,MATCH(A212&amp;"ENTRADA",Movimientos!$R$5:$R$2001,0))=0,"S/D",INDEX(Movimientos!$M$5:$M$2001,MATCH(A212&amp;"ENTRADA",Movimientos!$R$5:$R$2001,0))),"S/D")</f>
        <v>S/D</v>
      </c>
      <c r="I212" s="16" t="str">
        <f t="shared" ca="1" si="8"/>
        <v>S/D</v>
      </c>
      <c r="J212" s="6">
        <f>IF(A212="","",SUMIFS(Movimientos!$K:$K,Movimientos!$H:$H,A212))</f>
        <v>0</v>
      </c>
      <c r="K212" s="14" t="str">
        <f t="shared" ca="1" si="9"/>
        <v>OK</v>
      </c>
    </row>
    <row r="213" spans="1:11">
      <c r="A213" s="18" t="s">
        <v>2286</v>
      </c>
      <c r="B213" s="3" t="str">
        <f>IFERROR(INDEX(Movimientos!$C$5:$C$2001,MATCH(A213&amp;"ENTRADA",Movimientos!$R$5:$R$2001,0)),"-")</f>
        <v>-</v>
      </c>
      <c r="C213" s="3" t="str">
        <f>IFERROR(INDEX(Movimientos!$D$5:$D$2001,MATCH(A213&amp;"ENTRADA",Movimientos!$R$5:$R$2001,0)),"-")</f>
        <v>-</v>
      </c>
      <c r="D213" s="3" t="str">
        <f>IFERROR(INDEX(Movimientos!$E$5:$E$2001,MATCH(A213&amp;"ENTRADA",Movimientos!$R$5:$R$2001,0)),"-")</f>
        <v>-</v>
      </c>
      <c r="E213" s="3" t="str">
        <f>IFERROR(INDEX(Movimientos!$F$5:$F$2001,MATCH(A213&amp;"ENTRADA",Movimientos!$R$5:$R$2001,0)),"-")</f>
        <v>-</v>
      </c>
      <c r="F213" s="3" t="str">
        <f>IFERROR(INDEX(Movimientos!$G$5:$G$2001,MATCH(A213&amp;"ENTRADA",Movimientos!$R$5:$R$2001,0)),"-")</f>
        <v>-</v>
      </c>
      <c r="G213" s="3" t="str">
        <f>IFERROR(INDEX(Movimientos!$L$5:$L$2001,MATCH(A213&amp;"ENTRADA",Movimientos!$R$5:$R$2001,0)),"-")</f>
        <v>-</v>
      </c>
      <c r="H213" s="19" t="str">
        <f>IFERROR(IF(INDEX(Movimientos!$M$5:$M$2001,MATCH(A213&amp;"ENTRADA",Movimientos!$R$5:$R$2001,0))=0,"S/D",INDEX(Movimientos!$M$5:$M$2001,MATCH(A213&amp;"ENTRADA",Movimientos!$R$5:$R$2001,0))),"S/D")</f>
        <v>S/D</v>
      </c>
      <c r="I213" s="16" t="str">
        <f t="shared" ca="1" si="8"/>
        <v>S/D</v>
      </c>
      <c r="J213" s="6">
        <f>IF(A213="","",SUMIFS(Movimientos!$K:$K,Movimientos!$H:$H,A213))</f>
        <v>0</v>
      </c>
      <c r="K213" s="14" t="str">
        <f t="shared" ca="1" si="9"/>
        <v>OK</v>
      </c>
    </row>
    <row r="214" spans="1:11">
      <c r="A214" s="18" t="s">
        <v>2287</v>
      </c>
      <c r="B214" s="3" t="str">
        <f>IFERROR(INDEX(Movimientos!$C$5:$C$2001,MATCH(A214&amp;"ENTRADA",Movimientos!$R$5:$R$2001,0)),"-")</f>
        <v>-</v>
      </c>
      <c r="C214" s="3" t="str">
        <f>IFERROR(INDEX(Movimientos!$D$5:$D$2001,MATCH(A214&amp;"ENTRADA",Movimientos!$R$5:$R$2001,0)),"-")</f>
        <v>-</v>
      </c>
      <c r="D214" s="3" t="str">
        <f>IFERROR(INDEX(Movimientos!$E$5:$E$2001,MATCH(A214&amp;"ENTRADA",Movimientos!$R$5:$R$2001,0)),"-")</f>
        <v>-</v>
      </c>
      <c r="E214" s="3" t="str">
        <f>IFERROR(INDEX(Movimientos!$F$5:$F$2001,MATCH(A214&amp;"ENTRADA",Movimientos!$R$5:$R$2001,0)),"-")</f>
        <v>-</v>
      </c>
      <c r="F214" s="3" t="str">
        <f>IFERROR(INDEX(Movimientos!$G$5:$G$2001,MATCH(A214&amp;"ENTRADA",Movimientos!$R$5:$R$2001,0)),"-")</f>
        <v>-</v>
      </c>
      <c r="G214" s="3" t="str">
        <f>IFERROR(INDEX(Movimientos!$L$5:$L$2001,MATCH(A214&amp;"ENTRADA",Movimientos!$R$5:$R$2001,0)),"-")</f>
        <v>-</v>
      </c>
      <c r="H214" s="19" t="str">
        <f>IFERROR(IF(INDEX(Movimientos!$M$5:$M$2001,MATCH(A214&amp;"ENTRADA",Movimientos!$R$5:$R$2001,0))=0,"S/D",INDEX(Movimientos!$M$5:$M$2001,MATCH(A214&amp;"ENTRADA",Movimientos!$R$5:$R$2001,0))),"S/D")</f>
        <v>S/D</v>
      </c>
      <c r="I214" s="16" t="str">
        <f t="shared" ca="1" si="8"/>
        <v>S/D</v>
      </c>
      <c r="J214" s="6">
        <f>IF(A214="","",SUMIFS(Movimientos!$K:$K,Movimientos!$H:$H,A214))</f>
        <v>0</v>
      </c>
      <c r="K214" s="14" t="str">
        <f t="shared" ca="1" si="9"/>
        <v>OK</v>
      </c>
    </row>
    <row r="215" spans="1:11">
      <c r="A215" s="18" t="s">
        <v>2288</v>
      </c>
      <c r="B215" s="3" t="str">
        <f>IFERROR(INDEX(Movimientos!$C$5:$C$2001,MATCH(A215&amp;"ENTRADA",Movimientos!$R$5:$R$2001,0)),"-")</f>
        <v>-</v>
      </c>
      <c r="C215" s="3" t="str">
        <f>IFERROR(INDEX(Movimientos!$D$5:$D$2001,MATCH(A215&amp;"ENTRADA",Movimientos!$R$5:$R$2001,0)),"-")</f>
        <v>-</v>
      </c>
      <c r="D215" s="3" t="str">
        <f>IFERROR(INDEX(Movimientos!$E$5:$E$2001,MATCH(A215&amp;"ENTRADA",Movimientos!$R$5:$R$2001,0)),"-")</f>
        <v>-</v>
      </c>
      <c r="E215" s="3" t="str">
        <f>IFERROR(INDEX(Movimientos!$F$5:$F$2001,MATCH(A215&amp;"ENTRADA",Movimientos!$R$5:$R$2001,0)),"-")</f>
        <v>-</v>
      </c>
      <c r="F215" s="3" t="str">
        <f>IFERROR(INDEX(Movimientos!$G$5:$G$2001,MATCH(A215&amp;"ENTRADA",Movimientos!$R$5:$R$2001,0)),"-")</f>
        <v>-</v>
      </c>
      <c r="G215" s="3" t="str">
        <f>IFERROR(INDEX(Movimientos!$L$5:$L$2001,MATCH(A215&amp;"ENTRADA",Movimientos!$R$5:$R$2001,0)),"-")</f>
        <v>-</v>
      </c>
      <c r="H215" s="19" t="str">
        <f>IFERROR(IF(INDEX(Movimientos!$M$5:$M$2001,MATCH(A215&amp;"ENTRADA",Movimientos!$R$5:$R$2001,0))=0,"S/D",INDEX(Movimientos!$M$5:$M$2001,MATCH(A215&amp;"ENTRADA",Movimientos!$R$5:$R$2001,0))),"S/D")</f>
        <v>S/D</v>
      </c>
      <c r="I215" s="16" t="str">
        <f t="shared" ca="1" si="8"/>
        <v>S/D</v>
      </c>
      <c r="J215" s="6">
        <f>IF(A215="","",SUMIFS(Movimientos!$K:$K,Movimientos!$H:$H,A215))</f>
        <v>0</v>
      </c>
      <c r="K215" s="14" t="str">
        <f t="shared" ca="1" si="9"/>
        <v>OK</v>
      </c>
    </row>
    <row r="216" spans="1:11">
      <c r="A216" s="18" t="s">
        <v>2289</v>
      </c>
      <c r="B216" s="3" t="str">
        <f>IFERROR(INDEX(Movimientos!$C$5:$C$2001,MATCH(A216&amp;"ENTRADA",Movimientos!$R$5:$R$2001,0)),"-")</f>
        <v>-</v>
      </c>
      <c r="C216" s="3" t="str">
        <f>IFERROR(INDEX(Movimientos!$D$5:$D$2001,MATCH(A216&amp;"ENTRADA",Movimientos!$R$5:$R$2001,0)),"-")</f>
        <v>-</v>
      </c>
      <c r="D216" s="3" t="str">
        <f>IFERROR(INDEX(Movimientos!$E$5:$E$2001,MATCH(A216&amp;"ENTRADA",Movimientos!$R$5:$R$2001,0)),"-")</f>
        <v>-</v>
      </c>
      <c r="E216" s="3" t="str">
        <f>IFERROR(INDEX(Movimientos!$F$5:$F$2001,MATCH(A216&amp;"ENTRADA",Movimientos!$R$5:$R$2001,0)),"-")</f>
        <v>-</v>
      </c>
      <c r="F216" s="3" t="str">
        <f>IFERROR(INDEX(Movimientos!$G$5:$G$2001,MATCH(A216&amp;"ENTRADA",Movimientos!$R$5:$R$2001,0)),"-")</f>
        <v>-</v>
      </c>
      <c r="G216" s="3" t="str">
        <f>IFERROR(INDEX(Movimientos!$L$5:$L$2001,MATCH(A216&amp;"ENTRADA",Movimientos!$R$5:$R$2001,0)),"-")</f>
        <v>-</v>
      </c>
      <c r="H216" s="19" t="str">
        <f>IFERROR(IF(INDEX(Movimientos!$M$5:$M$2001,MATCH(A216&amp;"ENTRADA",Movimientos!$R$5:$R$2001,0))=0,"S/D",INDEX(Movimientos!$M$5:$M$2001,MATCH(A216&amp;"ENTRADA",Movimientos!$R$5:$R$2001,0))),"S/D")</f>
        <v>S/D</v>
      </c>
      <c r="I216" s="16" t="str">
        <f t="shared" ca="1" si="8"/>
        <v>S/D</v>
      </c>
      <c r="J216" s="6">
        <f>IF(A216="","",SUMIFS(Movimientos!$K:$K,Movimientos!$H:$H,A216))</f>
        <v>0</v>
      </c>
      <c r="K216" s="14" t="str">
        <f t="shared" ca="1" si="9"/>
        <v>OK</v>
      </c>
    </row>
    <row r="217" spans="1:11">
      <c r="A217" s="18" t="s">
        <v>2290</v>
      </c>
      <c r="B217" s="3" t="str">
        <f>IFERROR(INDEX(Movimientos!$C$5:$C$2001,MATCH(A217&amp;"ENTRADA",Movimientos!$R$5:$R$2001,0)),"-")</f>
        <v>-</v>
      </c>
      <c r="C217" s="3" t="str">
        <f>IFERROR(INDEX(Movimientos!$D$5:$D$2001,MATCH(A217&amp;"ENTRADA",Movimientos!$R$5:$R$2001,0)),"-")</f>
        <v>-</v>
      </c>
      <c r="D217" s="3" t="str">
        <f>IFERROR(INDEX(Movimientos!$E$5:$E$2001,MATCH(A217&amp;"ENTRADA",Movimientos!$R$5:$R$2001,0)),"-")</f>
        <v>-</v>
      </c>
      <c r="E217" s="3" t="str">
        <f>IFERROR(INDEX(Movimientos!$F$5:$F$2001,MATCH(A217&amp;"ENTRADA",Movimientos!$R$5:$R$2001,0)),"-")</f>
        <v>-</v>
      </c>
      <c r="F217" s="3" t="str">
        <f>IFERROR(INDEX(Movimientos!$G$5:$G$2001,MATCH(A217&amp;"ENTRADA",Movimientos!$R$5:$R$2001,0)),"-")</f>
        <v>-</v>
      </c>
      <c r="G217" s="3" t="str">
        <f>IFERROR(INDEX(Movimientos!$L$5:$L$2001,MATCH(A217&amp;"ENTRADA",Movimientos!$R$5:$R$2001,0)),"-")</f>
        <v>-</v>
      </c>
      <c r="H217" s="19" t="str">
        <f>IFERROR(IF(INDEX(Movimientos!$M$5:$M$2001,MATCH(A217&amp;"ENTRADA",Movimientos!$R$5:$R$2001,0))=0,"S/D",INDEX(Movimientos!$M$5:$M$2001,MATCH(A217&amp;"ENTRADA",Movimientos!$R$5:$R$2001,0))),"S/D")</f>
        <v>S/D</v>
      </c>
      <c r="I217" s="16" t="str">
        <f t="shared" ca="1" si="8"/>
        <v>S/D</v>
      </c>
      <c r="J217" s="6">
        <f>IF(A217="","",SUMIFS(Movimientos!$K:$K,Movimientos!$H:$H,A217))</f>
        <v>0</v>
      </c>
      <c r="K217" s="14" t="str">
        <f t="shared" ca="1" si="9"/>
        <v>OK</v>
      </c>
    </row>
    <row r="218" spans="1:11">
      <c r="A218" s="18" t="s">
        <v>2291</v>
      </c>
      <c r="B218" s="3" t="str">
        <f>IFERROR(INDEX(Movimientos!$C$5:$C$2001,MATCH(A218&amp;"ENTRADA",Movimientos!$R$5:$R$2001,0)),"-")</f>
        <v>-</v>
      </c>
      <c r="C218" s="3" t="str">
        <f>IFERROR(INDEX(Movimientos!$D$5:$D$2001,MATCH(A218&amp;"ENTRADA",Movimientos!$R$5:$R$2001,0)),"-")</f>
        <v>-</v>
      </c>
      <c r="D218" s="3" t="str">
        <f>IFERROR(INDEX(Movimientos!$E$5:$E$2001,MATCH(A218&amp;"ENTRADA",Movimientos!$R$5:$R$2001,0)),"-")</f>
        <v>-</v>
      </c>
      <c r="E218" s="3" t="str">
        <f>IFERROR(INDEX(Movimientos!$F$5:$F$2001,MATCH(A218&amp;"ENTRADA",Movimientos!$R$5:$R$2001,0)),"-")</f>
        <v>-</v>
      </c>
      <c r="F218" s="3" t="str">
        <f>IFERROR(INDEX(Movimientos!$G$5:$G$2001,MATCH(A218&amp;"ENTRADA",Movimientos!$R$5:$R$2001,0)),"-")</f>
        <v>-</v>
      </c>
      <c r="G218" s="3" t="str">
        <f>IFERROR(INDEX(Movimientos!$L$5:$L$2001,MATCH(A218&amp;"ENTRADA",Movimientos!$R$5:$R$2001,0)),"-")</f>
        <v>-</v>
      </c>
      <c r="H218" s="19" t="str">
        <f>IFERROR(IF(INDEX(Movimientos!$M$5:$M$2001,MATCH(A218&amp;"ENTRADA",Movimientos!$R$5:$R$2001,0))=0,"S/D",INDEX(Movimientos!$M$5:$M$2001,MATCH(A218&amp;"ENTRADA",Movimientos!$R$5:$R$2001,0))),"S/D")</f>
        <v>S/D</v>
      </c>
      <c r="I218" s="16" t="str">
        <f t="shared" ca="1" si="8"/>
        <v>S/D</v>
      </c>
      <c r="J218" s="6">
        <f>IF(A218="","",SUMIFS(Movimientos!$K:$K,Movimientos!$H:$H,A218))</f>
        <v>0</v>
      </c>
      <c r="K218" s="14" t="str">
        <f t="shared" ca="1" si="9"/>
        <v>OK</v>
      </c>
    </row>
    <row r="219" spans="1:11">
      <c r="A219" s="18" t="s">
        <v>2292</v>
      </c>
      <c r="B219" s="3" t="str">
        <f>IFERROR(INDEX(Movimientos!$C$5:$C$2001,MATCH(A219&amp;"ENTRADA",Movimientos!$R$5:$R$2001,0)),"-")</f>
        <v>-</v>
      </c>
      <c r="C219" s="3" t="str">
        <f>IFERROR(INDEX(Movimientos!$D$5:$D$2001,MATCH(A219&amp;"ENTRADA",Movimientos!$R$5:$R$2001,0)),"-")</f>
        <v>-</v>
      </c>
      <c r="D219" s="3" t="str">
        <f>IFERROR(INDEX(Movimientos!$E$5:$E$2001,MATCH(A219&amp;"ENTRADA",Movimientos!$R$5:$R$2001,0)),"-")</f>
        <v>-</v>
      </c>
      <c r="E219" s="3" t="str">
        <f>IFERROR(INDEX(Movimientos!$F$5:$F$2001,MATCH(A219&amp;"ENTRADA",Movimientos!$R$5:$R$2001,0)),"-")</f>
        <v>-</v>
      </c>
      <c r="F219" s="3" t="str">
        <f>IFERROR(INDEX(Movimientos!$G$5:$G$2001,MATCH(A219&amp;"ENTRADA",Movimientos!$R$5:$R$2001,0)),"-")</f>
        <v>-</v>
      </c>
      <c r="G219" s="3" t="str">
        <f>IFERROR(INDEX(Movimientos!$L$5:$L$2001,MATCH(A219&amp;"ENTRADA",Movimientos!$R$5:$R$2001,0)),"-")</f>
        <v>-</v>
      </c>
      <c r="H219" s="19" t="str">
        <f>IFERROR(IF(INDEX(Movimientos!$M$5:$M$2001,MATCH(A219&amp;"ENTRADA",Movimientos!$R$5:$R$2001,0))=0,"S/D",INDEX(Movimientos!$M$5:$M$2001,MATCH(A219&amp;"ENTRADA",Movimientos!$R$5:$R$2001,0))),"S/D")</f>
        <v>S/D</v>
      </c>
      <c r="I219" s="16" t="str">
        <f t="shared" ca="1" si="8"/>
        <v>S/D</v>
      </c>
      <c r="J219" s="6">
        <f>IF(A219="","",SUMIFS(Movimientos!$K:$K,Movimientos!$H:$H,A219))</f>
        <v>0</v>
      </c>
      <c r="K219" s="14" t="str">
        <f t="shared" ca="1" si="9"/>
        <v>OK</v>
      </c>
    </row>
    <row r="220" spans="1:11">
      <c r="A220" s="18" t="s">
        <v>2293</v>
      </c>
      <c r="B220" s="3" t="str">
        <f>IFERROR(INDEX(Movimientos!$C$5:$C$2001,MATCH(A220&amp;"ENTRADA",Movimientos!$R$5:$R$2001,0)),"-")</f>
        <v>-</v>
      </c>
      <c r="C220" s="3" t="str">
        <f>IFERROR(INDEX(Movimientos!$D$5:$D$2001,MATCH(A220&amp;"ENTRADA",Movimientos!$R$5:$R$2001,0)),"-")</f>
        <v>-</v>
      </c>
      <c r="D220" s="3" t="str">
        <f>IFERROR(INDEX(Movimientos!$E$5:$E$2001,MATCH(A220&amp;"ENTRADA",Movimientos!$R$5:$R$2001,0)),"-")</f>
        <v>-</v>
      </c>
      <c r="E220" s="3" t="str">
        <f>IFERROR(INDEX(Movimientos!$F$5:$F$2001,MATCH(A220&amp;"ENTRADA",Movimientos!$R$5:$R$2001,0)),"-")</f>
        <v>-</v>
      </c>
      <c r="F220" s="3" t="str">
        <f>IFERROR(INDEX(Movimientos!$G$5:$G$2001,MATCH(A220&amp;"ENTRADA",Movimientos!$R$5:$R$2001,0)),"-")</f>
        <v>-</v>
      </c>
      <c r="G220" s="3" t="str">
        <f>IFERROR(INDEX(Movimientos!$L$5:$L$2001,MATCH(A220&amp;"ENTRADA",Movimientos!$R$5:$R$2001,0)),"-")</f>
        <v>-</v>
      </c>
      <c r="H220" s="19" t="str">
        <f>IFERROR(IF(INDEX(Movimientos!$M$5:$M$2001,MATCH(A220&amp;"ENTRADA",Movimientos!$R$5:$R$2001,0))=0,"S/D",INDEX(Movimientos!$M$5:$M$2001,MATCH(A220&amp;"ENTRADA",Movimientos!$R$5:$R$2001,0))),"S/D")</f>
        <v>S/D</v>
      </c>
      <c r="I220" s="16" t="str">
        <f t="shared" ca="1" si="8"/>
        <v>S/D</v>
      </c>
      <c r="J220" s="6">
        <f>IF(A220="","",SUMIFS(Movimientos!$K:$K,Movimientos!$H:$H,A220))</f>
        <v>0</v>
      </c>
      <c r="K220" s="14" t="str">
        <f t="shared" ca="1" si="9"/>
        <v>OK</v>
      </c>
    </row>
    <row r="221" spans="1:11">
      <c r="A221" s="18" t="s">
        <v>2294</v>
      </c>
      <c r="B221" s="3" t="str">
        <f>IFERROR(INDEX(Movimientos!$C$5:$C$2001,MATCH(A221&amp;"ENTRADA",Movimientos!$R$5:$R$2001,0)),"-")</f>
        <v>-</v>
      </c>
      <c r="C221" s="3" t="str">
        <f>IFERROR(INDEX(Movimientos!$D$5:$D$2001,MATCH(A221&amp;"ENTRADA",Movimientos!$R$5:$R$2001,0)),"-")</f>
        <v>-</v>
      </c>
      <c r="D221" s="3" t="str">
        <f>IFERROR(INDEX(Movimientos!$E$5:$E$2001,MATCH(A221&amp;"ENTRADA",Movimientos!$R$5:$R$2001,0)),"-")</f>
        <v>-</v>
      </c>
      <c r="E221" s="3" t="str">
        <f>IFERROR(INDEX(Movimientos!$F$5:$F$2001,MATCH(A221&amp;"ENTRADA",Movimientos!$R$5:$R$2001,0)),"-")</f>
        <v>-</v>
      </c>
      <c r="F221" s="3" t="str">
        <f>IFERROR(INDEX(Movimientos!$G$5:$G$2001,MATCH(A221&amp;"ENTRADA",Movimientos!$R$5:$R$2001,0)),"-")</f>
        <v>-</v>
      </c>
      <c r="G221" s="3" t="str">
        <f>IFERROR(INDEX(Movimientos!$L$5:$L$2001,MATCH(A221&amp;"ENTRADA",Movimientos!$R$5:$R$2001,0)),"-")</f>
        <v>-</v>
      </c>
      <c r="H221" s="19" t="str">
        <f>IFERROR(IF(INDEX(Movimientos!$M$5:$M$2001,MATCH(A221&amp;"ENTRADA",Movimientos!$R$5:$R$2001,0))=0,"S/D",INDEX(Movimientos!$M$5:$M$2001,MATCH(A221&amp;"ENTRADA",Movimientos!$R$5:$R$2001,0))),"S/D")</f>
        <v>S/D</v>
      </c>
      <c r="I221" s="16" t="str">
        <f t="shared" ca="1" si="8"/>
        <v>S/D</v>
      </c>
      <c r="J221" s="6">
        <f>IF(A221="","",SUMIFS(Movimientos!$K:$K,Movimientos!$H:$H,A221))</f>
        <v>0</v>
      </c>
      <c r="K221" s="14" t="str">
        <f t="shared" ca="1" si="9"/>
        <v>OK</v>
      </c>
    </row>
    <row r="222" spans="1:11">
      <c r="A222" s="18" t="s">
        <v>2295</v>
      </c>
      <c r="B222" s="3" t="str">
        <f>IFERROR(INDEX(Movimientos!$C$5:$C$2001,MATCH(A222&amp;"ENTRADA",Movimientos!$R$5:$R$2001,0)),"-")</f>
        <v>-</v>
      </c>
      <c r="C222" s="3" t="str">
        <f>IFERROR(INDEX(Movimientos!$D$5:$D$2001,MATCH(A222&amp;"ENTRADA",Movimientos!$R$5:$R$2001,0)),"-")</f>
        <v>-</v>
      </c>
      <c r="D222" s="3" t="str">
        <f>IFERROR(INDEX(Movimientos!$E$5:$E$2001,MATCH(A222&amp;"ENTRADA",Movimientos!$R$5:$R$2001,0)),"-")</f>
        <v>-</v>
      </c>
      <c r="E222" s="3" t="str">
        <f>IFERROR(INDEX(Movimientos!$F$5:$F$2001,MATCH(A222&amp;"ENTRADA",Movimientos!$R$5:$R$2001,0)),"-")</f>
        <v>-</v>
      </c>
      <c r="F222" s="3" t="str">
        <f>IFERROR(INDEX(Movimientos!$G$5:$G$2001,MATCH(A222&amp;"ENTRADA",Movimientos!$R$5:$R$2001,0)),"-")</f>
        <v>-</v>
      </c>
      <c r="G222" s="3" t="str">
        <f>IFERROR(INDEX(Movimientos!$L$5:$L$2001,MATCH(A222&amp;"ENTRADA",Movimientos!$R$5:$R$2001,0)),"-")</f>
        <v>-</v>
      </c>
      <c r="H222" s="19" t="str">
        <f>IFERROR(IF(INDEX(Movimientos!$M$5:$M$2001,MATCH(A222&amp;"ENTRADA",Movimientos!$R$5:$R$2001,0))=0,"S/D",INDEX(Movimientos!$M$5:$M$2001,MATCH(A222&amp;"ENTRADA",Movimientos!$R$5:$R$2001,0))),"S/D")</f>
        <v>S/D</v>
      </c>
      <c r="I222" s="16" t="str">
        <f t="shared" ca="1" si="8"/>
        <v>S/D</v>
      </c>
      <c r="J222" s="6">
        <f>IF(A222="","",SUMIFS(Movimientos!$K:$K,Movimientos!$H:$H,A222))</f>
        <v>0</v>
      </c>
      <c r="K222" s="14" t="str">
        <f t="shared" ca="1" si="9"/>
        <v>OK</v>
      </c>
    </row>
    <row r="223" spans="1:11">
      <c r="A223" s="18" t="s">
        <v>2296</v>
      </c>
      <c r="B223" s="3" t="str">
        <f>IFERROR(INDEX(Movimientos!$C$5:$C$2001,MATCH(A223&amp;"ENTRADA",Movimientos!$R$5:$R$2001,0)),"-")</f>
        <v>-</v>
      </c>
      <c r="C223" s="3" t="str">
        <f>IFERROR(INDEX(Movimientos!$D$5:$D$2001,MATCH(A223&amp;"ENTRADA",Movimientos!$R$5:$R$2001,0)),"-")</f>
        <v>-</v>
      </c>
      <c r="D223" s="3" t="str">
        <f>IFERROR(INDEX(Movimientos!$E$5:$E$2001,MATCH(A223&amp;"ENTRADA",Movimientos!$R$5:$R$2001,0)),"-")</f>
        <v>-</v>
      </c>
      <c r="E223" s="3" t="str">
        <f>IFERROR(INDEX(Movimientos!$F$5:$F$2001,MATCH(A223&amp;"ENTRADA",Movimientos!$R$5:$R$2001,0)),"-")</f>
        <v>-</v>
      </c>
      <c r="F223" s="3" t="str">
        <f>IFERROR(INDEX(Movimientos!$G$5:$G$2001,MATCH(A223&amp;"ENTRADA",Movimientos!$R$5:$R$2001,0)),"-")</f>
        <v>-</v>
      </c>
      <c r="G223" s="3" t="str">
        <f>IFERROR(INDEX(Movimientos!$L$5:$L$2001,MATCH(A223&amp;"ENTRADA",Movimientos!$R$5:$R$2001,0)),"-")</f>
        <v>-</v>
      </c>
      <c r="H223" s="19" t="str">
        <f>IFERROR(IF(INDEX(Movimientos!$M$5:$M$2001,MATCH(A223&amp;"ENTRADA",Movimientos!$R$5:$R$2001,0))=0,"S/D",INDEX(Movimientos!$M$5:$M$2001,MATCH(A223&amp;"ENTRADA",Movimientos!$R$5:$R$2001,0))),"S/D")</f>
        <v>S/D</v>
      </c>
      <c r="I223" s="16" t="str">
        <f t="shared" ca="1" si="8"/>
        <v>S/D</v>
      </c>
      <c r="J223" s="6">
        <f>IF(A223="","",SUMIFS(Movimientos!$K:$K,Movimientos!$H:$H,A223))</f>
        <v>0</v>
      </c>
      <c r="K223" s="14" t="str">
        <f t="shared" ca="1" si="9"/>
        <v>OK</v>
      </c>
    </row>
    <row r="224" spans="1:11">
      <c r="A224" s="18" t="s">
        <v>2297</v>
      </c>
      <c r="B224" s="3" t="str">
        <f>IFERROR(INDEX(Movimientos!$C$5:$C$2001,MATCH(A224&amp;"ENTRADA",Movimientos!$R$5:$R$2001,0)),"-")</f>
        <v>-</v>
      </c>
      <c r="C224" s="3" t="str">
        <f>IFERROR(INDEX(Movimientos!$D$5:$D$2001,MATCH(A224&amp;"ENTRADA",Movimientos!$R$5:$R$2001,0)),"-")</f>
        <v>-</v>
      </c>
      <c r="D224" s="3" t="str">
        <f>IFERROR(INDEX(Movimientos!$E$5:$E$2001,MATCH(A224&amp;"ENTRADA",Movimientos!$R$5:$R$2001,0)),"-")</f>
        <v>-</v>
      </c>
      <c r="E224" s="3" t="str">
        <f>IFERROR(INDEX(Movimientos!$F$5:$F$2001,MATCH(A224&amp;"ENTRADA",Movimientos!$R$5:$R$2001,0)),"-")</f>
        <v>-</v>
      </c>
      <c r="F224" s="3" t="str">
        <f>IFERROR(INDEX(Movimientos!$G$5:$G$2001,MATCH(A224&amp;"ENTRADA",Movimientos!$R$5:$R$2001,0)),"-")</f>
        <v>-</v>
      </c>
      <c r="G224" s="3" t="str">
        <f>IFERROR(INDEX(Movimientos!$L$5:$L$2001,MATCH(A224&amp;"ENTRADA",Movimientos!$R$5:$R$2001,0)),"-")</f>
        <v>-</v>
      </c>
      <c r="H224" s="19" t="str">
        <f>IFERROR(IF(INDEX(Movimientos!$M$5:$M$2001,MATCH(A224&amp;"ENTRADA",Movimientos!$R$5:$R$2001,0))=0,"S/D",INDEX(Movimientos!$M$5:$M$2001,MATCH(A224&amp;"ENTRADA",Movimientos!$R$5:$R$2001,0))),"S/D")</f>
        <v>S/D</v>
      </c>
      <c r="I224" s="16" t="str">
        <f t="shared" ca="1" si="8"/>
        <v>S/D</v>
      </c>
      <c r="J224" s="6">
        <f>IF(A224="","",SUMIFS(Movimientos!$K:$K,Movimientos!$H:$H,A224))</f>
        <v>0</v>
      </c>
      <c r="K224" s="14" t="str">
        <f t="shared" ca="1" si="9"/>
        <v>OK</v>
      </c>
    </row>
    <row r="225" spans="1:11">
      <c r="A225" s="18" t="s">
        <v>2298</v>
      </c>
      <c r="B225" s="3" t="str">
        <f>IFERROR(INDEX(Movimientos!$C$5:$C$2001,MATCH(A225&amp;"ENTRADA",Movimientos!$R$5:$R$2001,0)),"-")</f>
        <v>-</v>
      </c>
      <c r="C225" s="3" t="str">
        <f>IFERROR(INDEX(Movimientos!$D$5:$D$2001,MATCH(A225&amp;"ENTRADA",Movimientos!$R$5:$R$2001,0)),"-")</f>
        <v>-</v>
      </c>
      <c r="D225" s="3" t="str">
        <f>IFERROR(INDEX(Movimientos!$E$5:$E$2001,MATCH(A225&amp;"ENTRADA",Movimientos!$R$5:$R$2001,0)),"-")</f>
        <v>-</v>
      </c>
      <c r="E225" s="3" t="str">
        <f>IFERROR(INDEX(Movimientos!$F$5:$F$2001,MATCH(A225&amp;"ENTRADA",Movimientos!$R$5:$R$2001,0)),"-")</f>
        <v>-</v>
      </c>
      <c r="F225" s="3" t="str">
        <f>IFERROR(INDEX(Movimientos!$G$5:$G$2001,MATCH(A225&amp;"ENTRADA",Movimientos!$R$5:$R$2001,0)),"-")</f>
        <v>-</v>
      </c>
      <c r="G225" s="3" t="str">
        <f>IFERROR(INDEX(Movimientos!$L$5:$L$2001,MATCH(A225&amp;"ENTRADA",Movimientos!$R$5:$R$2001,0)),"-")</f>
        <v>-</v>
      </c>
      <c r="H225" s="19" t="str">
        <f>IFERROR(IF(INDEX(Movimientos!$M$5:$M$2001,MATCH(A225&amp;"ENTRADA",Movimientos!$R$5:$R$2001,0))=0,"S/D",INDEX(Movimientos!$M$5:$M$2001,MATCH(A225&amp;"ENTRADA",Movimientos!$R$5:$R$2001,0))),"S/D")</f>
        <v>S/D</v>
      </c>
      <c r="I225" s="16" t="str">
        <f t="shared" ca="1" si="8"/>
        <v>S/D</v>
      </c>
      <c r="J225" s="6">
        <f>IF(A225="","",SUMIFS(Movimientos!$K:$K,Movimientos!$H:$H,A225))</f>
        <v>0</v>
      </c>
      <c r="K225" s="14" t="str">
        <f t="shared" ca="1" si="9"/>
        <v>OK</v>
      </c>
    </row>
    <row r="226" spans="1:11">
      <c r="A226" s="18" t="s">
        <v>2299</v>
      </c>
      <c r="B226" s="3" t="str">
        <f>IFERROR(INDEX(Movimientos!$C$5:$C$2001,MATCH(A226&amp;"ENTRADA",Movimientos!$R$5:$R$2001,0)),"-")</f>
        <v>-</v>
      </c>
      <c r="C226" s="3" t="str">
        <f>IFERROR(INDEX(Movimientos!$D$5:$D$2001,MATCH(A226&amp;"ENTRADA",Movimientos!$R$5:$R$2001,0)),"-")</f>
        <v>-</v>
      </c>
      <c r="D226" s="3" t="str">
        <f>IFERROR(INDEX(Movimientos!$E$5:$E$2001,MATCH(A226&amp;"ENTRADA",Movimientos!$R$5:$R$2001,0)),"-")</f>
        <v>-</v>
      </c>
      <c r="E226" s="3" t="str">
        <f>IFERROR(INDEX(Movimientos!$F$5:$F$2001,MATCH(A226&amp;"ENTRADA",Movimientos!$R$5:$R$2001,0)),"-")</f>
        <v>-</v>
      </c>
      <c r="F226" s="3" t="str">
        <f>IFERROR(INDEX(Movimientos!$G$5:$G$2001,MATCH(A226&amp;"ENTRADA",Movimientos!$R$5:$R$2001,0)),"-")</f>
        <v>-</v>
      </c>
      <c r="G226" s="3" t="str">
        <f>IFERROR(INDEX(Movimientos!$L$5:$L$2001,MATCH(A226&amp;"ENTRADA",Movimientos!$R$5:$R$2001,0)),"-")</f>
        <v>-</v>
      </c>
      <c r="H226" s="19" t="str">
        <f>IFERROR(IF(INDEX(Movimientos!$M$5:$M$2001,MATCH(A226&amp;"ENTRADA",Movimientos!$R$5:$R$2001,0))=0,"S/D",INDEX(Movimientos!$M$5:$M$2001,MATCH(A226&amp;"ENTRADA",Movimientos!$R$5:$R$2001,0))),"S/D")</f>
        <v>S/D</v>
      </c>
      <c r="I226" s="16" t="str">
        <f t="shared" ca="1" si="8"/>
        <v>S/D</v>
      </c>
      <c r="J226" s="6">
        <f>IF(A226="","",SUMIFS(Movimientos!$K:$K,Movimientos!$H:$H,A226))</f>
        <v>0</v>
      </c>
      <c r="K226" s="14" t="str">
        <f t="shared" ca="1" si="9"/>
        <v>OK</v>
      </c>
    </row>
    <row r="227" spans="1:11">
      <c r="A227" s="18" t="s">
        <v>2300</v>
      </c>
      <c r="B227" s="3" t="str">
        <f>IFERROR(INDEX(Movimientos!$C$5:$C$2001,MATCH(A227&amp;"ENTRADA",Movimientos!$R$5:$R$2001,0)),"-")</f>
        <v>-</v>
      </c>
      <c r="C227" s="3" t="str">
        <f>IFERROR(INDEX(Movimientos!$D$5:$D$2001,MATCH(A227&amp;"ENTRADA",Movimientos!$R$5:$R$2001,0)),"-")</f>
        <v>-</v>
      </c>
      <c r="D227" s="3" t="str">
        <f>IFERROR(INDEX(Movimientos!$E$5:$E$2001,MATCH(A227&amp;"ENTRADA",Movimientos!$R$5:$R$2001,0)),"-")</f>
        <v>-</v>
      </c>
      <c r="E227" s="3" t="str">
        <f>IFERROR(INDEX(Movimientos!$F$5:$F$2001,MATCH(A227&amp;"ENTRADA",Movimientos!$R$5:$R$2001,0)),"-")</f>
        <v>-</v>
      </c>
      <c r="F227" s="3" t="str">
        <f>IFERROR(INDEX(Movimientos!$G$5:$G$2001,MATCH(A227&amp;"ENTRADA",Movimientos!$R$5:$R$2001,0)),"-")</f>
        <v>-</v>
      </c>
      <c r="G227" s="3" t="str">
        <f>IFERROR(INDEX(Movimientos!$L$5:$L$2001,MATCH(A227&amp;"ENTRADA",Movimientos!$R$5:$R$2001,0)),"-")</f>
        <v>-</v>
      </c>
      <c r="H227" s="19" t="str">
        <f>IFERROR(IF(INDEX(Movimientos!$M$5:$M$2001,MATCH(A227&amp;"ENTRADA",Movimientos!$R$5:$R$2001,0))=0,"S/D",INDEX(Movimientos!$M$5:$M$2001,MATCH(A227&amp;"ENTRADA",Movimientos!$R$5:$R$2001,0))),"S/D")</f>
        <v>S/D</v>
      </c>
      <c r="I227" s="16" t="str">
        <f t="shared" ca="1" si="8"/>
        <v>S/D</v>
      </c>
      <c r="J227" s="6">
        <f>IF(A227="","",SUMIFS(Movimientos!$K:$K,Movimientos!$H:$H,A227))</f>
        <v>0</v>
      </c>
      <c r="K227" s="14" t="str">
        <f t="shared" ca="1" si="9"/>
        <v>OK</v>
      </c>
    </row>
    <row r="228" spans="1:11">
      <c r="A228" s="18" t="s">
        <v>2301</v>
      </c>
      <c r="B228" s="3" t="str">
        <f>IFERROR(INDEX(Movimientos!$C$5:$C$2001,MATCH(A228&amp;"ENTRADA",Movimientos!$R$5:$R$2001,0)),"-")</f>
        <v>-</v>
      </c>
      <c r="C228" s="3" t="str">
        <f>IFERROR(INDEX(Movimientos!$D$5:$D$2001,MATCH(A228&amp;"ENTRADA",Movimientos!$R$5:$R$2001,0)),"-")</f>
        <v>-</v>
      </c>
      <c r="D228" s="3" t="str">
        <f>IFERROR(INDEX(Movimientos!$E$5:$E$2001,MATCH(A228&amp;"ENTRADA",Movimientos!$R$5:$R$2001,0)),"-")</f>
        <v>-</v>
      </c>
      <c r="E228" s="3" t="str">
        <f>IFERROR(INDEX(Movimientos!$F$5:$F$2001,MATCH(A228&amp;"ENTRADA",Movimientos!$R$5:$R$2001,0)),"-")</f>
        <v>-</v>
      </c>
      <c r="F228" s="3" t="str">
        <f>IFERROR(INDEX(Movimientos!$G$5:$G$2001,MATCH(A228&amp;"ENTRADA",Movimientos!$R$5:$R$2001,0)),"-")</f>
        <v>-</v>
      </c>
      <c r="G228" s="3" t="str">
        <f>IFERROR(INDEX(Movimientos!$L$5:$L$2001,MATCH(A228&amp;"ENTRADA",Movimientos!$R$5:$R$2001,0)),"-")</f>
        <v>-</v>
      </c>
      <c r="H228" s="19" t="str">
        <f>IFERROR(IF(INDEX(Movimientos!$M$5:$M$2001,MATCH(A228&amp;"ENTRADA",Movimientos!$R$5:$R$2001,0))=0,"S/D",INDEX(Movimientos!$M$5:$M$2001,MATCH(A228&amp;"ENTRADA",Movimientos!$R$5:$R$2001,0))),"S/D")</f>
        <v>S/D</v>
      </c>
      <c r="I228" s="16" t="str">
        <f t="shared" ca="1" si="8"/>
        <v>S/D</v>
      </c>
      <c r="J228" s="6">
        <f>IF(A228="","",SUMIFS(Movimientos!$K:$K,Movimientos!$H:$H,A228))</f>
        <v>0</v>
      </c>
      <c r="K228" s="14" t="str">
        <f t="shared" ca="1" si="9"/>
        <v>OK</v>
      </c>
    </row>
    <row r="229" spans="1:11">
      <c r="A229" s="18" t="s">
        <v>2302</v>
      </c>
      <c r="B229" s="3" t="str">
        <f>IFERROR(INDEX(Movimientos!$C$5:$C$2001,MATCH(A229&amp;"ENTRADA",Movimientos!$R$5:$R$2001,0)),"-")</f>
        <v>-</v>
      </c>
      <c r="C229" s="3" t="str">
        <f>IFERROR(INDEX(Movimientos!$D$5:$D$2001,MATCH(A229&amp;"ENTRADA",Movimientos!$R$5:$R$2001,0)),"-")</f>
        <v>-</v>
      </c>
      <c r="D229" s="3" t="str">
        <f>IFERROR(INDEX(Movimientos!$E$5:$E$2001,MATCH(A229&amp;"ENTRADA",Movimientos!$R$5:$R$2001,0)),"-")</f>
        <v>-</v>
      </c>
      <c r="E229" s="3" t="str">
        <f>IFERROR(INDEX(Movimientos!$F$5:$F$2001,MATCH(A229&amp;"ENTRADA",Movimientos!$R$5:$R$2001,0)),"-")</f>
        <v>-</v>
      </c>
      <c r="F229" s="3" t="str">
        <f>IFERROR(INDEX(Movimientos!$G$5:$G$2001,MATCH(A229&amp;"ENTRADA",Movimientos!$R$5:$R$2001,0)),"-")</f>
        <v>-</v>
      </c>
      <c r="G229" s="3" t="str">
        <f>IFERROR(INDEX(Movimientos!$L$5:$L$2001,MATCH(A229&amp;"ENTRADA",Movimientos!$R$5:$R$2001,0)),"-")</f>
        <v>-</v>
      </c>
      <c r="H229" s="19" t="str">
        <f>IFERROR(IF(INDEX(Movimientos!$M$5:$M$2001,MATCH(A229&amp;"ENTRADA",Movimientos!$R$5:$R$2001,0))=0,"S/D",INDEX(Movimientos!$M$5:$M$2001,MATCH(A229&amp;"ENTRADA",Movimientos!$R$5:$R$2001,0))),"S/D")</f>
        <v>S/D</v>
      </c>
      <c r="I229" s="16" t="str">
        <f t="shared" ca="1" si="8"/>
        <v>S/D</v>
      </c>
      <c r="J229" s="6">
        <f>IF(A229="","",SUMIFS(Movimientos!$K:$K,Movimientos!$H:$H,A229))</f>
        <v>0</v>
      </c>
      <c r="K229" s="14" t="str">
        <f t="shared" ca="1" si="9"/>
        <v>OK</v>
      </c>
    </row>
    <row r="230" spans="1:11">
      <c r="A230" s="18" t="s">
        <v>2303</v>
      </c>
      <c r="B230" s="3" t="str">
        <f>IFERROR(INDEX(Movimientos!$C$5:$C$2001,MATCH(A230&amp;"ENTRADA",Movimientos!$R$5:$R$2001,0)),"-")</f>
        <v>-</v>
      </c>
      <c r="C230" s="3" t="str">
        <f>IFERROR(INDEX(Movimientos!$D$5:$D$2001,MATCH(A230&amp;"ENTRADA",Movimientos!$R$5:$R$2001,0)),"-")</f>
        <v>-</v>
      </c>
      <c r="D230" s="3" t="str">
        <f>IFERROR(INDEX(Movimientos!$E$5:$E$2001,MATCH(A230&amp;"ENTRADA",Movimientos!$R$5:$R$2001,0)),"-")</f>
        <v>-</v>
      </c>
      <c r="E230" s="3" t="str">
        <f>IFERROR(INDEX(Movimientos!$F$5:$F$2001,MATCH(A230&amp;"ENTRADA",Movimientos!$R$5:$R$2001,0)),"-")</f>
        <v>-</v>
      </c>
      <c r="F230" s="3" t="str">
        <f>IFERROR(INDEX(Movimientos!$G$5:$G$2001,MATCH(A230&amp;"ENTRADA",Movimientos!$R$5:$R$2001,0)),"-")</f>
        <v>-</v>
      </c>
      <c r="G230" s="3" t="str">
        <f>IFERROR(INDEX(Movimientos!$L$5:$L$2001,MATCH(A230&amp;"ENTRADA",Movimientos!$R$5:$R$2001,0)),"-")</f>
        <v>-</v>
      </c>
      <c r="H230" s="19" t="str">
        <f>IFERROR(IF(INDEX(Movimientos!$M$5:$M$2001,MATCH(A230&amp;"ENTRADA",Movimientos!$R$5:$R$2001,0))=0,"S/D",INDEX(Movimientos!$M$5:$M$2001,MATCH(A230&amp;"ENTRADA",Movimientos!$R$5:$R$2001,0))),"S/D")</f>
        <v>S/D</v>
      </c>
      <c r="I230" s="16" t="str">
        <f t="shared" ca="1" si="8"/>
        <v>S/D</v>
      </c>
      <c r="J230" s="6">
        <f>IF(A230="","",SUMIFS(Movimientos!$K:$K,Movimientos!$H:$H,A230))</f>
        <v>0</v>
      </c>
      <c r="K230" s="14" t="str">
        <f t="shared" ca="1" si="9"/>
        <v>OK</v>
      </c>
    </row>
    <row r="231" spans="1:11">
      <c r="A231" s="18" t="s">
        <v>2304</v>
      </c>
      <c r="B231" s="3" t="str">
        <f>IFERROR(INDEX(Movimientos!$C$5:$C$2001,MATCH(A231&amp;"ENTRADA",Movimientos!$R$5:$R$2001,0)),"-")</f>
        <v>-</v>
      </c>
      <c r="C231" s="3" t="str">
        <f>IFERROR(INDEX(Movimientos!$D$5:$D$2001,MATCH(A231&amp;"ENTRADA",Movimientos!$R$5:$R$2001,0)),"-")</f>
        <v>-</v>
      </c>
      <c r="D231" s="3" t="str">
        <f>IFERROR(INDEX(Movimientos!$E$5:$E$2001,MATCH(A231&amp;"ENTRADA",Movimientos!$R$5:$R$2001,0)),"-")</f>
        <v>-</v>
      </c>
      <c r="E231" s="3" t="str">
        <f>IFERROR(INDEX(Movimientos!$F$5:$F$2001,MATCH(A231&amp;"ENTRADA",Movimientos!$R$5:$R$2001,0)),"-")</f>
        <v>-</v>
      </c>
      <c r="F231" s="3" t="str">
        <f>IFERROR(INDEX(Movimientos!$G$5:$G$2001,MATCH(A231&amp;"ENTRADA",Movimientos!$R$5:$R$2001,0)),"-")</f>
        <v>-</v>
      </c>
      <c r="G231" s="3" t="str">
        <f>IFERROR(INDEX(Movimientos!$L$5:$L$2001,MATCH(A231&amp;"ENTRADA",Movimientos!$R$5:$R$2001,0)),"-")</f>
        <v>-</v>
      </c>
      <c r="H231" s="19" t="str">
        <f>IFERROR(IF(INDEX(Movimientos!$M$5:$M$2001,MATCH(A231&amp;"ENTRADA",Movimientos!$R$5:$R$2001,0))=0,"S/D",INDEX(Movimientos!$M$5:$M$2001,MATCH(A231&amp;"ENTRADA",Movimientos!$R$5:$R$2001,0))),"S/D")</f>
        <v>S/D</v>
      </c>
      <c r="I231" s="16" t="str">
        <f t="shared" ca="1" si="8"/>
        <v>S/D</v>
      </c>
      <c r="J231" s="6">
        <f>IF(A231="","",SUMIFS(Movimientos!$K:$K,Movimientos!$H:$H,A231))</f>
        <v>0</v>
      </c>
      <c r="K231" s="14" t="str">
        <f t="shared" ca="1" si="9"/>
        <v>OK</v>
      </c>
    </row>
    <row r="232" spans="1:11">
      <c r="A232" s="18" t="s">
        <v>2305</v>
      </c>
      <c r="B232" s="3" t="str">
        <f>IFERROR(INDEX(Movimientos!$C$5:$C$2001,MATCH(A232&amp;"ENTRADA",Movimientos!$R$5:$R$2001,0)),"-")</f>
        <v>-</v>
      </c>
      <c r="C232" s="3" t="str">
        <f>IFERROR(INDEX(Movimientos!$D$5:$D$2001,MATCH(A232&amp;"ENTRADA",Movimientos!$R$5:$R$2001,0)),"-")</f>
        <v>-</v>
      </c>
      <c r="D232" s="3" t="str">
        <f>IFERROR(INDEX(Movimientos!$E$5:$E$2001,MATCH(A232&amp;"ENTRADA",Movimientos!$R$5:$R$2001,0)),"-")</f>
        <v>-</v>
      </c>
      <c r="E232" s="3" t="str">
        <f>IFERROR(INDEX(Movimientos!$F$5:$F$2001,MATCH(A232&amp;"ENTRADA",Movimientos!$R$5:$R$2001,0)),"-")</f>
        <v>-</v>
      </c>
      <c r="F232" s="3" t="str">
        <f>IFERROR(INDEX(Movimientos!$G$5:$G$2001,MATCH(A232&amp;"ENTRADA",Movimientos!$R$5:$R$2001,0)),"-")</f>
        <v>-</v>
      </c>
      <c r="G232" s="3" t="str">
        <f>IFERROR(INDEX(Movimientos!$L$5:$L$2001,MATCH(A232&amp;"ENTRADA",Movimientos!$R$5:$R$2001,0)),"-")</f>
        <v>-</v>
      </c>
      <c r="H232" s="19" t="str">
        <f>IFERROR(IF(INDEX(Movimientos!$M$5:$M$2001,MATCH(A232&amp;"ENTRADA",Movimientos!$R$5:$R$2001,0))=0,"S/D",INDEX(Movimientos!$M$5:$M$2001,MATCH(A232&amp;"ENTRADA",Movimientos!$R$5:$R$2001,0))),"S/D")</f>
        <v>S/D</v>
      </c>
      <c r="I232" s="16" t="str">
        <f t="shared" ca="1" si="8"/>
        <v>S/D</v>
      </c>
      <c r="J232" s="6">
        <f>IF(A232="","",SUMIFS(Movimientos!$K:$K,Movimientos!$H:$H,A232))</f>
        <v>0</v>
      </c>
      <c r="K232" s="14" t="str">
        <f t="shared" ca="1" si="9"/>
        <v>OK</v>
      </c>
    </row>
    <row r="233" spans="1:11">
      <c r="A233" s="18" t="s">
        <v>2306</v>
      </c>
      <c r="B233" s="3" t="str">
        <f>IFERROR(INDEX(Movimientos!$C$5:$C$2001,MATCH(A233&amp;"ENTRADA",Movimientos!$R$5:$R$2001,0)),"-")</f>
        <v>-</v>
      </c>
      <c r="C233" s="3" t="str">
        <f>IFERROR(INDEX(Movimientos!$D$5:$D$2001,MATCH(A233&amp;"ENTRADA",Movimientos!$R$5:$R$2001,0)),"-")</f>
        <v>-</v>
      </c>
      <c r="D233" s="3" t="str">
        <f>IFERROR(INDEX(Movimientos!$E$5:$E$2001,MATCH(A233&amp;"ENTRADA",Movimientos!$R$5:$R$2001,0)),"-")</f>
        <v>-</v>
      </c>
      <c r="E233" s="3" t="str">
        <f>IFERROR(INDEX(Movimientos!$F$5:$F$2001,MATCH(A233&amp;"ENTRADA",Movimientos!$R$5:$R$2001,0)),"-")</f>
        <v>-</v>
      </c>
      <c r="F233" s="3" t="str">
        <f>IFERROR(INDEX(Movimientos!$G$5:$G$2001,MATCH(A233&amp;"ENTRADA",Movimientos!$R$5:$R$2001,0)),"-")</f>
        <v>-</v>
      </c>
      <c r="G233" s="3" t="str">
        <f>IFERROR(INDEX(Movimientos!$L$5:$L$2001,MATCH(A233&amp;"ENTRADA",Movimientos!$R$5:$R$2001,0)),"-")</f>
        <v>-</v>
      </c>
      <c r="H233" s="19" t="str">
        <f>IFERROR(IF(INDEX(Movimientos!$M$5:$M$2001,MATCH(A233&amp;"ENTRADA",Movimientos!$R$5:$R$2001,0))=0,"S/D",INDEX(Movimientos!$M$5:$M$2001,MATCH(A233&amp;"ENTRADA",Movimientos!$R$5:$R$2001,0))),"S/D")</f>
        <v>S/D</v>
      </c>
      <c r="I233" s="16" t="str">
        <f t="shared" ca="1" si="8"/>
        <v>S/D</v>
      </c>
      <c r="J233" s="6">
        <f>IF(A233="","",SUMIFS(Movimientos!$K:$K,Movimientos!$H:$H,A233))</f>
        <v>0</v>
      </c>
      <c r="K233" s="14" t="str">
        <f t="shared" ca="1" si="9"/>
        <v>OK</v>
      </c>
    </row>
    <row r="234" spans="1:11">
      <c r="A234" s="18" t="s">
        <v>2307</v>
      </c>
      <c r="B234" s="3" t="str">
        <f>IFERROR(INDEX(Movimientos!$C$5:$C$2001,MATCH(A234&amp;"ENTRADA",Movimientos!$R$5:$R$2001,0)),"-")</f>
        <v>-</v>
      </c>
      <c r="C234" s="3" t="str">
        <f>IFERROR(INDEX(Movimientos!$D$5:$D$2001,MATCH(A234&amp;"ENTRADA",Movimientos!$R$5:$R$2001,0)),"-")</f>
        <v>-</v>
      </c>
      <c r="D234" s="3" t="str">
        <f>IFERROR(INDEX(Movimientos!$E$5:$E$2001,MATCH(A234&amp;"ENTRADA",Movimientos!$R$5:$R$2001,0)),"-")</f>
        <v>-</v>
      </c>
      <c r="E234" s="3" t="str">
        <f>IFERROR(INDEX(Movimientos!$F$5:$F$2001,MATCH(A234&amp;"ENTRADA",Movimientos!$R$5:$R$2001,0)),"-")</f>
        <v>-</v>
      </c>
      <c r="F234" s="3" t="str">
        <f>IFERROR(INDEX(Movimientos!$G$5:$G$2001,MATCH(A234&amp;"ENTRADA",Movimientos!$R$5:$R$2001,0)),"-")</f>
        <v>-</v>
      </c>
      <c r="G234" s="3" t="str">
        <f>IFERROR(INDEX(Movimientos!$L$5:$L$2001,MATCH(A234&amp;"ENTRADA",Movimientos!$R$5:$R$2001,0)),"-")</f>
        <v>-</v>
      </c>
      <c r="H234" s="19" t="str">
        <f>IFERROR(IF(INDEX(Movimientos!$M$5:$M$2001,MATCH(A234&amp;"ENTRADA",Movimientos!$R$5:$R$2001,0))=0,"S/D",INDEX(Movimientos!$M$5:$M$2001,MATCH(A234&amp;"ENTRADA",Movimientos!$R$5:$R$2001,0))),"S/D")</f>
        <v>S/D</v>
      </c>
      <c r="I234" s="16" t="str">
        <f t="shared" ca="1" si="8"/>
        <v>S/D</v>
      </c>
      <c r="J234" s="6">
        <f>IF(A234="","",SUMIFS(Movimientos!$K:$K,Movimientos!$H:$H,A234))</f>
        <v>0</v>
      </c>
      <c r="K234" s="14" t="str">
        <f t="shared" ca="1" si="9"/>
        <v>OK</v>
      </c>
    </row>
    <row r="235" spans="1:11">
      <c r="A235" s="18" t="s">
        <v>2308</v>
      </c>
      <c r="B235" s="3" t="str">
        <f>IFERROR(INDEX(Movimientos!$C$5:$C$2001,MATCH(A235&amp;"ENTRADA",Movimientos!$R$5:$R$2001,0)),"-")</f>
        <v>-</v>
      </c>
      <c r="C235" s="3" t="str">
        <f>IFERROR(INDEX(Movimientos!$D$5:$D$2001,MATCH(A235&amp;"ENTRADA",Movimientos!$R$5:$R$2001,0)),"-")</f>
        <v>-</v>
      </c>
      <c r="D235" s="3" t="str">
        <f>IFERROR(INDEX(Movimientos!$E$5:$E$2001,MATCH(A235&amp;"ENTRADA",Movimientos!$R$5:$R$2001,0)),"-")</f>
        <v>-</v>
      </c>
      <c r="E235" s="3" t="str">
        <f>IFERROR(INDEX(Movimientos!$F$5:$F$2001,MATCH(A235&amp;"ENTRADA",Movimientos!$R$5:$R$2001,0)),"-")</f>
        <v>-</v>
      </c>
      <c r="F235" s="3" t="str">
        <f>IFERROR(INDEX(Movimientos!$G$5:$G$2001,MATCH(A235&amp;"ENTRADA",Movimientos!$R$5:$R$2001,0)),"-")</f>
        <v>-</v>
      </c>
      <c r="G235" s="3" t="str">
        <f>IFERROR(INDEX(Movimientos!$L$5:$L$2001,MATCH(A235&amp;"ENTRADA",Movimientos!$R$5:$R$2001,0)),"-")</f>
        <v>-</v>
      </c>
      <c r="H235" s="19" t="str">
        <f>IFERROR(IF(INDEX(Movimientos!$M$5:$M$2001,MATCH(A235&amp;"ENTRADA",Movimientos!$R$5:$R$2001,0))=0,"S/D",INDEX(Movimientos!$M$5:$M$2001,MATCH(A235&amp;"ENTRADA",Movimientos!$R$5:$R$2001,0))),"S/D")</f>
        <v>S/D</v>
      </c>
      <c r="I235" s="16" t="str">
        <f t="shared" ca="1" si="8"/>
        <v>S/D</v>
      </c>
      <c r="J235" s="6">
        <f>IF(A235="","",SUMIFS(Movimientos!$K:$K,Movimientos!$H:$H,A235))</f>
        <v>0</v>
      </c>
      <c r="K235" s="14" t="str">
        <f t="shared" ca="1" si="9"/>
        <v>OK</v>
      </c>
    </row>
    <row r="236" spans="1:11">
      <c r="A236" s="18" t="s">
        <v>2309</v>
      </c>
      <c r="B236" s="3" t="str">
        <f>IFERROR(INDEX(Movimientos!$C$5:$C$2001,MATCH(A236&amp;"ENTRADA",Movimientos!$R$5:$R$2001,0)),"-")</f>
        <v>-</v>
      </c>
      <c r="C236" s="3" t="str">
        <f>IFERROR(INDEX(Movimientos!$D$5:$D$2001,MATCH(A236&amp;"ENTRADA",Movimientos!$R$5:$R$2001,0)),"-")</f>
        <v>-</v>
      </c>
      <c r="D236" s="3" t="str">
        <f>IFERROR(INDEX(Movimientos!$E$5:$E$2001,MATCH(A236&amp;"ENTRADA",Movimientos!$R$5:$R$2001,0)),"-")</f>
        <v>-</v>
      </c>
      <c r="E236" s="3" t="str">
        <f>IFERROR(INDEX(Movimientos!$F$5:$F$2001,MATCH(A236&amp;"ENTRADA",Movimientos!$R$5:$R$2001,0)),"-")</f>
        <v>-</v>
      </c>
      <c r="F236" s="3" t="str">
        <f>IFERROR(INDEX(Movimientos!$G$5:$G$2001,MATCH(A236&amp;"ENTRADA",Movimientos!$R$5:$R$2001,0)),"-")</f>
        <v>-</v>
      </c>
      <c r="G236" s="3" t="str">
        <f>IFERROR(INDEX(Movimientos!$L$5:$L$2001,MATCH(A236&amp;"ENTRADA",Movimientos!$R$5:$R$2001,0)),"-")</f>
        <v>-</v>
      </c>
      <c r="H236" s="19" t="str">
        <f>IFERROR(IF(INDEX(Movimientos!$M$5:$M$2001,MATCH(A236&amp;"ENTRADA",Movimientos!$R$5:$R$2001,0))=0,"S/D",INDEX(Movimientos!$M$5:$M$2001,MATCH(A236&amp;"ENTRADA",Movimientos!$R$5:$R$2001,0))),"S/D")</f>
        <v>S/D</v>
      </c>
      <c r="I236" s="16" t="str">
        <f t="shared" ca="1" si="8"/>
        <v>S/D</v>
      </c>
      <c r="J236" s="6">
        <f>IF(A236="","",SUMIFS(Movimientos!$K:$K,Movimientos!$H:$H,A236))</f>
        <v>0</v>
      </c>
      <c r="K236" s="14" t="str">
        <f t="shared" ca="1" si="9"/>
        <v>OK</v>
      </c>
    </row>
    <row r="237" spans="1:11">
      <c r="A237" s="18" t="s">
        <v>2310</v>
      </c>
      <c r="B237" s="3" t="str">
        <f>IFERROR(INDEX(Movimientos!$C$5:$C$2001,MATCH(A237&amp;"ENTRADA",Movimientos!$R$5:$R$2001,0)),"-")</f>
        <v>-</v>
      </c>
      <c r="C237" s="3" t="str">
        <f>IFERROR(INDEX(Movimientos!$D$5:$D$2001,MATCH(A237&amp;"ENTRADA",Movimientos!$R$5:$R$2001,0)),"-")</f>
        <v>-</v>
      </c>
      <c r="D237" s="3" t="str">
        <f>IFERROR(INDEX(Movimientos!$E$5:$E$2001,MATCH(A237&amp;"ENTRADA",Movimientos!$R$5:$R$2001,0)),"-")</f>
        <v>-</v>
      </c>
      <c r="E237" s="3" t="str">
        <f>IFERROR(INDEX(Movimientos!$F$5:$F$2001,MATCH(A237&amp;"ENTRADA",Movimientos!$R$5:$R$2001,0)),"-")</f>
        <v>-</v>
      </c>
      <c r="F237" s="3" t="str">
        <f>IFERROR(INDEX(Movimientos!$G$5:$G$2001,MATCH(A237&amp;"ENTRADA",Movimientos!$R$5:$R$2001,0)),"-")</f>
        <v>-</v>
      </c>
      <c r="G237" s="3" t="str">
        <f>IFERROR(INDEX(Movimientos!$L$5:$L$2001,MATCH(A237&amp;"ENTRADA",Movimientos!$R$5:$R$2001,0)),"-")</f>
        <v>-</v>
      </c>
      <c r="H237" s="19" t="str">
        <f>IFERROR(IF(INDEX(Movimientos!$M$5:$M$2001,MATCH(A237&amp;"ENTRADA",Movimientos!$R$5:$R$2001,0))=0,"S/D",INDEX(Movimientos!$M$5:$M$2001,MATCH(A237&amp;"ENTRADA",Movimientos!$R$5:$R$2001,0))),"S/D")</f>
        <v>S/D</v>
      </c>
      <c r="I237" s="16" t="str">
        <f t="shared" ca="1" si="8"/>
        <v>S/D</v>
      </c>
      <c r="J237" s="6">
        <f>IF(A237="","",SUMIFS(Movimientos!$K:$K,Movimientos!$H:$H,A237))</f>
        <v>0</v>
      </c>
      <c r="K237" s="14" t="str">
        <f t="shared" ca="1" si="9"/>
        <v>OK</v>
      </c>
    </row>
    <row r="238" spans="1:11">
      <c r="A238" s="18" t="s">
        <v>2311</v>
      </c>
      <c r="B238" s="3" t="str">
        <f>IFERROR(INDEX(Movimientos!$C$5:$C$2001,MATCH(A238&amp;"ENTRADA",Movimientos!$R$5:$R$2001,0)),"-")</f>
        <v>-</v>
      </c>
      <c r="C238" s="3" t="str">
        <f>IFERROR(INDEX(Movimientos!$D$5:$D$2001,MATCH(A238&amp;"ENTRADA",Movimientos!$R$5:$R$2001,0)),"-")</f>
        <v>-</v>
      </c>
      <c r="D238" s="3" t="str">
        <f>IFERROR(INDEX(Movimientos!$E$5:$E$2001,MATCH(A238&amp;"ENTRADA",Movimientos!$R$5:$R$2001,0)),"-")</f>
        <v>-</v>
      </c>
      <c r="E238" s="3" t="str">
        <f>IFERROR(INDEX(Movimientos!$F$5:$F$2001,MATCH(A238&amp;"ENTRADA",Movimientos!$R$5:$R$2001,0)),"-")</f>
        <v>-</v>
      </c>
      <c r="F238" s="3" t="str">
        <f>IFERROR(INDEX(Movimientos!$G$5:$G$2001,MATCH(A238&amp;"ENTRADA",Movimientos!$R$5:$R$2001,0)),"-")</f>
        <v>-</v>
      </c>
      <c r="G238" s="3" t="str">
        <f>IFERROR(INDEX(Movimientos!$L$5:$L$2001,MATCH(A238&amp;"ENTRADA",Movimientos!$R$5:$R$2001,0)),"-")</f>
        <v>-</v>
      </c>
      <c r="H238" s="19" t="str">
        <f>IFERROR(IF(INDEX(Movimientos!$M$5:$M$2001,MATCH(A238&amp;"ENTRADA",Movimientos!$R$5:$R$2001,0))=0,"S/D",INDEX(Movimientos!$M$5:$M$2001,MATCH(A238&amp;"ENTRADA",Movimientos!$R$5:$R$2001,0))),"S/D")</f>
        <v>S/D</v>
      </c>
      <c r="I238" s="16" t="str">
        <f t="shared" ca="1" si="8"/>
        <v>S/D</v>
      </c>
      <c r="J238" s="6">
        <f>IF(A238="","",SUMIFS(Movimientos!$K:$K,Movimientos!$H:$H,A238))</f>
        <v>0</v>
      </c>
      <c r="K238" s="14" t="str">
        <f t="shared" ca="1" si="9"/>
        <v>OK</v>
      </c>
    </row>
    <row r="239" spans="1:11">
      <c r="A239" s="18" t="s">
        <v>2312</v>
      </c>
      <c r="B239" s="3" t="str">
        <f>IFERROR(INDEX(Movimientos!$C$5:$C$2001,MATCH(A239&amp;"ENTRADA",Movimientos!$R$5:$R$2001,0)),"-")</f>
        <v>-</v>
      </c>
      <c r="C239" s="3" t="str">
        <f>IFERROR(INDEX(Movimientos!$D$5:$D$2001,MATCH(A239&amp;"ENTRADA",Movimientos!$R$5:$R$2001,0)),"-")</f>
        <v>-</v>
      </c>
      <c r="D239" s="3" t="str">
        <f>IFERROR(INDEX(Movimientos!$E$5:$E$2001,MATCH(A239&amp;"ENTRADA",Movimientos!$R$5:$R$2001,0)),"-")</f>
        <v>-</v>
      </c>
      <c r="E239" s="3" t="str">
        <f>IFERROR(INDEX(Movimientos!$F$5:$F$2001,MATCH(A239&amp;"ENTRADA",Movimientos!$R$5:$R$2001,0)),"-")</f>
        <v>-</v>
      </c>
      <c r="F239" s="3" t="str">
        <f>IFERROR(INDEX(Movimientos!$G$5:$G$2001,MATCH(A239&amp;"ENTRADA",Movimientos!$R$5:$R$2001,0)),"-")</f>
        <v>-</v>
      </c>
      <c r="G239" s="3" t="str">
        <f>IFERROR(INDEX(Movimientos!$L$5:$L$2001,MATCH(A239&amp;"ENTRADA",Movimientos!$R$5:$R$2001,0)),"-")</f>
        <v>-</v>
      </c>
      <c r="H239" s="19" t="str">
        <f>IFERROR(IF(INDEX(Movimientos!$M$5:$M$2001,MATCH(A239&amp;"ENTRADA",Movimientos!$R$5:$R$2001,0))=0,"S/D",INDEX(Movimientos!$M$5:$M$2001,MATCH(A239&amp;"ENTRADA",Movimientos!$R$5:$R$2001,0))),"S/D")</f>
        <v>S/D</v>
      </c>
      <c r="I239" s="16" t="str">
        <f t="shared" ca="1" si="8"/>
        <v>S/D</v>
      </c>
      <c r="J239" s="6">
        <f>IF(A239="","",SUMIFS(Movimientos!$K:$K,Movimientos!$H:$H,A239))</f>
        <v>0</v>
      </c>
      <c r="K239" s="14" t="str">
        <f t="shared" ca="1" si="9"/>
        <v>OK</v>
      </c>
    </row>
    <row r="240" spans="1:11">
      <c r="A240" s="18" t="s">
        <v>2313</v>
      </c>
      <c r="B240" s="3" t="str">
        <f>IFERROR(INDEX(Movimientos!$C$5:$C$2001,MATCH(A240&amp;"ENTRADA",Movimientos!$R$5:$R$2001,0)),"-")</f>
        <v>-</v>
      </c>
      <c r="C240" s="3" t="str">
        <f>IFERROR(INDEX(Movimientos!$D$5:$D$2001,MATCH(A240&amp;"ENTRADA",Movimientos!$R$5:$R$2001,0)),"-")</f>
        <v>-</v>
      </c>
      <c r="D240" s="3" t="str">
        <f>IFERROR(INDEX(Movimientos!$E$5:$E$2001,MATCH(A240&amp;"ENTRADA",Movimientos!$R$5:$R$2001,0)),"-")</f>
        <v>-</v>
      </c>
      <c r="E240" s="3" t="str">
        <f>IFERROR(INDEX(Movimientos!$F$5:$F$2001,MATCH(A240&amp;"ENTRADA",Movimientos!$R$5:$R$2001,0)),"-")</f>
        <v>-</v>
      </c>
      <c r="F240" s="3" t="str">
        <f>IFERROR(INDEX(Movimientos!$G$5:$G$2001,MATCH(A240&amp;"ENTRADA",Movimientos!$R$5:$R$2001,0)),"-")</f>
        <v>-</v>
      </c>
      <c r="G240" s="3" t="str">
        <f>IFERROR(INDEX(Movimientos!$L$5:$L$2001,MATCH(A240&amp;"ENTRADA",Movimientos!$R$5:$R$2001,0)),"-")</f>
        <v>-</v>
      </c>
      <c r="H240" s="19" t="str">
        <f>IFERROR(IF(INDEX(Movimientos!$M$5:$M$2001,MATCH(A240&amp;"ENTRADA",Movimientos!$R$5:$R$2001,0))=0,"S/D",INDEX(Movimientos!$M$5:$M$2001,MATCH(A240&amp;"ENTRADA",Movimientos!$R$5:$R$2001,0))),"S/D")</f>
        <v>S/D</v>
      </c>
      <c r="I240" s="16" t="str">
        <f t="shared" ca="1" si="8"/>
        <v>S/D</v>
      </c>
      <c r="J240" s="6">
        <f>IF(A240="","",SUMIFS(Movimientos!$K:$K,Movimientos!$H:$H,A240))</f>
        <v>0</v>
      </c>
      <c r="K240" s="14" t="str">
        <f t="shared" ca="1" si="9"/>
        <v>OK</v>
      </c>
    </row>
    <row r="241" spans="1:11">
      <c r="A241" s="18" t="s">
        <v>2314</v>
      </c>
      <c r="B241" s="3" t="str">
        <f>IFERROR(INDEX(Movimientos!$C$5:$C$2001,MATCH(A241&amp;"ENTRADA",Movimientos!$R$5:$R$2001,0)),"-")</f>
        <v>-</v>
      </c>
      <c r="C241" s="3" t="str">
        <f>IFERROR(INDEX(Movimientos!$D$5:$D$2001,MATCH(A241&amp;"ENTRADA",Movimientos!$R$5:$R$2001,0)),"-")</f>
        <v>-</v>
      </c>
      <c r="D241" s="3" t="str">
        <f>IFERROR(INDEX(Movimientos!$E$5:$E$2001,MATCH(A241&amp;"ENTRADA",Movimientos!$R$5:$R$2001,0)),"-")</f>
        <v>-</v>
      </c>
      <c r="E241" s="3" t="str">
        <f>IFERROR(INDEX(Movimientos!$F$5:$F$2001,MATCH(A241&amp;"ENTRADA",Movimientos!$R$5:$R$2001,0)),"-")</f>
        <v>-</v>
      </c>
      <c r="F241" s="3" t="str">
        <f>IFERROR(INDEX(Movimientos!$G$5:$G$2001,MATCH(A241&amp;"ENTRADA",Movimientos!$R$5:$R$2001,0)),"-")</f>
        <v>-</v>
      </c>
      <c r="G241" s="3" t="str">
        <f>IFERROR(INDEX(Movimientos!$L$5:$L$2001,MATCH(A241&amp;"ENTRADA",Movimientos!$R$5:$R$2001,0)),"-")</f>
        <v>-</v>
      </c>
      <c r="H241" s="19" t="str">
        <f>IFERROR(IF(INDEX(Movimientos!$M$5:$M$2001,MATCH(A241&amp;"ENTRADA",Movimientos!$R$5:$R$2001,0))=0,"S/D",INDEX(Movimientos!$M$5:$M$2001,MATCH(A241&amp;"ENTRADA",Movimientos!$R$5:$R$2001,0))),"S/D")</f>
        <v>S/D</v>
      </c>
      <c r="I241" s="16" t="str">
        <f t="shared" ca="1" si="8"/>
        <v>S/D</v>
      </c>
      <c r="J241" s="6">
        <f>IF(A241="","",SUMIFS(Movimientos!$K:$K,Movimientos!$H:$H,A241))</f>
        <v>0</v>
      </c>
      <c r="K241" s="14" t="str">
        <f t="shared" ca="1" si="9"/>
        <v>OK</v>
      </c>
    </row>
    <row r="242" spans="1:11">
      <c r="A242" s="18" t="s">
        <v>2315</v>
      </c>
      <c r="B242" s="3" t="str">
        <f>IFERROR(INDEX(Movimientos!$C$5:$C$2001,MATCH(A242&amp;"ENTRADA",Movimientos!$R$5:$R$2001,0)),"-")</f>
        <v>-</v>
      </c>
      <c r="C242" s="3" t="str">
        <f>IFERROR(INDEX(Movimientos!$D$5:$D$2001,MATCH(A242&amp;"ENTRADA",Movimientos!$R$5:$R$2001,0)),"-")</f>
        <v>-</v>
      </c>
      <c r="D242" s="3" t="str">
        <f>IFERROR(INDEX(Movimientos!$E$5:$E$2001,MATCH(A242&amp;"ENTRADA",Movimientos!$R$5:$R$2001,0)),"-")</f>
        <v>-</v>
      </c>
      <c r="E242" s="3" t="str">
        <f>IFERROR(INDEX(Movimientos!$F$5:$F$2001,MATCH(A242&amp;"ENTRADA",Movimientos!$R$5:$R$2001,0)),"-")</f>
        <v>-</v>
      </c>
      <c r="F242" s="3" t="str">
        <f>IFERROR(INDEX(Movimientos!$G$5:$G$2001,MATCH(A242&amp;"ENTRADA",Movimientos!$R$5:$R$2001,0)),"-")</f>
        <v>-</v>
      </c>
      <c r="G242" s="3" t="str">
        <f>IFERROR(INDEX(Movimientos!$L$5:$L$2001,MATCH(A242&amp;"ENTRADA",Movimientos!$R$5:$R$2001,0)),"-")</f>
        <v>-</v>
      </c>
      <c r="H242" s="19" t="str">
        <f>IFERROR(IF(INDEX(Movimientos!$M$5:$M$2001,MATCH(A242&amp;"ENTRADA",Movimientos!$R$5:$R$2001,0))=0,"S/D",INDEX(Movimientos!$M$5:$M$2001,MATCH(A242&amp;"ENTRADA",Movimientos!$R$5:$R$2001,0))),"S/D")</f>
        <v>S/D</v>
      </c>
      <c r="I242" s="16" t="str">
        <f t="shared" ca="1" si="8"/>
        <v>S/D</v>
      </c>
      <c r="J242" s="6">
        <f>IF(A242="","",SUMIFS(Movimientos!$K:$K,Movimientos!$H:$H,A242))</f>
        <v>0</v>
      </c>
      <c r="K242" s="14" t="str">
        <f t="shared" ca="1" si="9"/>
        <v>OK</v>
      </c>
    </row>
    <row r="243" spans="1:11">
      <c r="A243" s="18" t="s">
        <v>2316</v>
      </c>
      <c r="B243" s="3" t="str">
        <f>IFERROR(INDEX(Movimientos!$C$5:$C$2001,MATCH(A243&amp;"ENTRADA",Movimientos!$R$5:$R$2001,0)),"-")</f>
        <v>-</v>
      </c>
      <c r="C243" s="3" t="str">
        <f>IFERROR(INDEX(Movimientos!$D$5:$D$2001,MATCH(A243&amp;"ENTRADA",Movimientos!$R$5:$R$2001,0)),"-")</f>
        <v>-</v>
      </c>
      <c r="D243" s="3" t="str">
        <f>IFERROR(INDEX(Movimientos!$E$5:$E$2001,MATCH(A243&amp;"ENTRADA",Movimientos!$R$5:$R$2001,0)),"-")</f>
        <v>-</v>
      </c>
      <c r="E243" s="3" t="str">
        <f>IFERROR(INDEX(Movimientos!$F$5:$F$2001,MATCH(A243&amp;"ENTRADA",Movimientos!$R$5:$R$2001,0)),"-")</f>
        <v>-</v>
      </c>
      <c r="F243" s="3" t="str">
        <f>IFERROR(INDEX(Movimientos!$G$5:$G$2001,MATCH(A243&amp;"ENTRADA",Movimientos!$R$5:$R$2001,0)),"-")</f>
        <v>-</v>
      </c>
      <c r="G243" s="3" t="str">
        <f>IFERROR(INDEX(Movimientos!$L$5:$L$2001,MATCH(A243&amp;"ENTRADA",Movimientos!$R$5:$R$2001,0)),"-")</f>
        <v>-</v>
      </c>
      <c r="H243" s="19" t="str">
        <f>IFERROR(IF(INDEX(Movimientos!$M$5:$M$2001,MATCH(A243&amp;"ENTRADA",Movimientos!$R$5:$R$2001,0))=0,"S/D",INDEX(Movimientos!$M$5:$M$2001,MATCH(A243&amp;"ENTRADA",Movimientos!$R$5:$R$2001,0))),"S/D")</f>
        <v>S/D</v>
      </c>
      <c r="I243" s="16" t="str">
        <f t="shared" ca="1" si="8"/>
        <v>S/D</v>
      </c>
      <c r="J243" s="6">
        <f>IF(A243="","",SUMIFS(Movimientos!$K:$K,Movimientos!$H:$H,A243))</f>
        <v>0</v>
      </c>
      <c r="K243" s="14" t="str">
        <f t="shared" ca="1" si="9"/>
        <v>OK</v>
      </c>
    </row>
    <row r="244" spans="1:11">
      <c r="A244" s="18" t="s">
        <v>2317</v>
      </c>
      <c r="B244" s="3" t="str">
        <f>IFERROR(INDEX(Movimientos!$C$5:$C$2001,MATCH(A244&amp;"ENTRADA",Movimientos!$R$5:$R$2001,0)),"-")</f>
        <v>-</v>
      </c>
      <c r="C244" s="3" t="str">
        <f>IFERROR(INDEX(Movimientos!$D$5:$D$2001,MATCH(A244&amp;"ENTRADA",Movimientos!$R$5:$R$2001,0)),"-")</f>
        <v>-</v>
      </c>
      <c r="D244" s="3" t="str">
        <f>IFERROR(INDEX(Movimientos!$E$5:$E$2001,MATCH(A244&amp;"ENTRADA",Movimientos!$R$5:$R$2001,0)),"-")</f>
        <v>-</v>
      </c>
      <c r="E244" s="3" t="str">
        <f>IFERROR(INDEX(Movimientos!$F$5:$F$2001,MATCH(A244&amp;"ENTRADA",Movimientos!$R$5:$R$2001,0)),"-")</f>
        <v>-</v>
      </c>
      <c r="F244" s="3" t="str">
        <f>IFERROR(INDEX(Movimientos!$G$5:$G$2001,MATCH(A244&amp;"ENTRADA",Movimientos!$R$5:$R$2001,0)),"-")</f>
        <v>-</v>
      </c>
      <c r="G244" s="3" t="str">
        <f>IFERROR(INDEX(Movimientos!$L$5:$L$2001,MATCH(A244&amp;"ENTRADA",Movimientos!$R$5:$R$2001,0)),"-")</f>
        <v>-</v>
      </c>
      <c r="H244" s="19" t="str">
        <f>IFERROR(IF(INDEX(Movimientos!$M$5:$M$2001,MATCH(A244&amp;"ENTRADA",Movimientos!$R$5:$R$2001,0))=0,"S/D",INDEX(Movimientos!$M$5:$M$2001,MATCH(A244&amp;"ENTRADA",Movimientos!$R$5:$R$2001,0))),"S/D")</f>
        <v>S/D</v>
      </c>
      <c r="I244" s="16" t="str">
        <f t="shared" ca="1" si="8"/>
        <v>S/D</v>
      </c>
      <c r="J244" s="6">
        <f>IF(A244="","",SUMIFS(Movimientos!$K:$K,Movimientos!$H:$H,A244))</f>
        <v>0</v>
      </c>
      <c r="K244" s="14" t="str">
        <f t="shared" ca="1" si="9"/>
        <v>OK</v>
      </c>
    </row>
    <row r="245" spans="1:11">
      <c r="A245" s="18" t="s">
        <v>2318</v>
      </c>
      <c r="B245" s="3" t="str">
        <f>IFERROR(INDEX(Movimientos!$C$5:$C$2001,MATCH(A245&amp;"ENTRADA",Movimientos!$R$5:$R$2001,0)),"-")</f>
        <v>-</v>
      </c>
      <c r="C245" s="3" t="str">
        <f>IFERROR(INDEX(Movimientos!$D$5:$D$2001,MATCH(A245&amp;"ENTRADA",Movimientos!$R$5:$R$2001,0)),"-")</f>
        <v>-</v>
      </c>
      <c r="D245" s="3" t="str">
        <f>IFERROR(INDEX(Movimientos!$E$5:$E$2001,MATCH(A245&amp;"ENTRADA",Movimientos!$R$5:$R$2001,0)),"-")</f>
        <v>-</v>
      </c>
      <c r="E245" s="3" t="str">
        <f>IFERROR(INDEX(Movimientos!$F$5:$F$2001,MATCH(A245&amp;"ENTRADA",Movimientos!$R$5:$R$2001,0)),"-")</f>
        <v>-</v>
      </c>
      <c r="F245" s="3" t="str">
        <f>IFERROR(INDEX(Movimientos!$G$5:$G$2001,MATCH(A245&amp;"ENTRADA",Movimientos!$R$5:$R$2001,0)),"-")</f>
        <v>-</v>
      </c>
      <c r="G245" s="3" t="str">
        <f>IFERROR(INDEX(Movimientos!$L$5:$L$2001,MATCH(A245&amp;"ENTRADA",Movimientos!$R$5:$R$2001,0)),"-")</f>
        <v>-</v>
      </c>
      <c r="H245" s="19" t="str">
        <f>IFERROR(IF(INDEX(Movimientos!$M$5:$M$2001,MATCH(A245&amp;"ENTRADA",Movimientos!$R$5:$R$2001,0))=0,"S/D",INDEX(Movimientos!$M$5:$M$2001,MATCH(A245&amp;"ENTRADA",Movimientos!$R$5:$R$2001,0))),"S/D")</f>
        <v>S/D</v>
      </c>
      <c r="I245" s="16" t="str">
        <f t="shared" ca="1" si="8"/>
        <v>S/D</v>
      </c>
      <c r="J245" s="6">
        <f>IF(A245="","",SUMIFS(Movimientos!$K:$K,Movimientos!$H:$H,A245))</f>
        <v>0</v>
      </c>
      <c r="K245" s="14" t="str">
        <f t="shared" ca="1" si="9"/>
        <v>OK</v>
      </c>
    </row>
    <row r="246" spans="1:11">
      <c r="A246" s="18" t="s">
        <v>2319</v>
      </c>
      <c r="B246" s="3" t="str">
        <f>IFERROR(INDEX(Movimientos!$C$5:$C$2001,MATCH(A246&amp;"ENTRADA",Movimientos!$R$5:$R$2001,0)),"-")</f>
        <v>-</v>
      </c>
      <c r="C246" s="3" t="str">
        <f>IFERROR(INDEX(Movimientos!$D$5:$D$2001,MATCH(A246&amp;"ENTRADA",Movimientos!$R$5:$R$2001,0)),"-")</f>
        <v>-</v>
      </c>
      <c r="D246" s="3" t="str">
        <f>IFERROR(INDEX(Movimientos!$E$5:$E$2001,MATCH(A246&amp;"ENTRADA",Movimientos!$R$5:$R$2001,0)),"-")</f>
        <v>-</v>
      </c>
      <c r="E246" s="3" t="str">
        <f>IFERROR(INDEX(Movimientos!$F$5:$F$2001,MATCH(A246&amp;"ENTRADA",Movimientos!$R$5:$R$2001,0)),"-")</f>
        <v>-</v>
      </c>
      <c r="F246" s="3" t="str">
        <f>IFERROR(INDEX(Movimientos!$G$5:$G$2001,MATCH(A246&amp;"ENTRADA",Movimientos!$R$5:$R$2001,0)),"-")</f>
        <v>-</v>
      </c>
      <c r="G246" s="3" t="str">
        <f>IFERROR(INDEX(Movimientos!$L$5:$L$2001,MATCH(A246&amp;"ENTRADA",Movimientos!$R$5:$R$2001,0)),"-")</f>
        <v>-</v>
      </c>
      <c r="H246" s="19" t="str">
        <f>IFERROR(IF(INDEX(Movimientos!$M$5:$M$2001,MATCH(A246&amp;"ENTRADA",Movimientos!$R$5:$R$2001,0))=0,"S/D",INDEX(Movimientos!$M$5:$M$2001,MATCH(A246&amp;"ENTRADA",Movimientos!$R$5:$R$2001,0))),"S/D")</f>
        <v>S/D</v>
      </c>
      <c r="I246" s="16" t="str">
        <f t="shared" ca="1" si="8"/>
        <v>S/D</v>
      </c>
      <c r="J246" s="6">
        <f>IF(A246="","",SUMIFS(Movimientos!$K:$K,Movimientos!$H:$H,A246))</f>
        <v>0</v>
      </c>
      <c r="K246" s="14" t="str">
        <f t="shared" ca="1" si="9"/>
        <v>OK</v>
      </c>
    </row>
    <row r="247" spans="1:11">
      <c r="A247" s="18" t="s">
        <v>2320</v>
      </c>
      <c r="B247" s="3" t="str">
        <f>IFERROR(INDEX(Movimientos!$C$5:$C$2001,MATCH(A247&amp;"ENTRADA",Movimientos!$R$5:$R$2001,0)),"-")</f>
        <v>-</v>
      </c>
      <c r="C247" s="3" t="str">
        <f>IFERROR(INDEX(Movimientos!$D$5:$D$2001,MATCH(A247&amp;"ENTRADA",Movimientos!$R$5:$R$2001,0)),"-")</f>
        <v>-</v>
      </c>
      <c r="D247" s="3" t="str">
        <f>IFERROR(INDEX(Movimientos!$E$5:$E$2001,MATCH(A247&amp;"ENTRADA",Movimientos!$R$5:$R$2001,0)),"-")</f>
        <v>-</v>
      </c>
      <c r="E247" s="3" t="str">
        <f>IFERROR(INDEX(Movimientos!$F$5:$F$2001,MATCH(A247&amp;"ENTRADA",Movimientos!$R$5:$R$2001,0)),"-")</f>
        <v>-</v>
      </c>
      <c r="F247" s="3" t="str">
        <f>IFERROR(INDEX(Movimientos!$G$5:$G$2001,MATCH(A247&amp;"ENTRADA",Movimientos!$R$5:$R$2001,0)),"-")</f>
        <v>-</v>
      </c>
      <c r="G247" s="3" t="str">
        <f>IFERROR(INDEX(Movimientos!$L$5:$L$2001,MATCH(A247&amp;"ENTRADA",Movimientos!$R$5:$R$2001,0)),"-")</f>
        <v>-</v>
      </c>
      <c r="H247" s="19" t="str">
        <f>IFERROR(IF(INDEX(Movimientos!$M$5:$M$2001,MATCH(A247&amp;"ENTRADA",Movimientos!$R$5:$R$2001,0))=0,"S/D",INDEX(Movimientos!$M$5:$M$2001,MATCH(A247&amp;"ENTRADA",Movimientos!$R$5:$R$2001,0))),"S/D")</f>
        <v>S/D</v>
      </c>
      <c r="I247" s="16" t="str">
        <f t="shared" ca="1" si="8"/>
        <v>S/D</v>
      </c>
      <c r="J247" s="6">
        <f>IF(A247="","",SUMIFS(Movimientos!$K:$K,Movimientos!$H:$H,A247))</f>
        <v>0</v>
      </c>
      <c r="K247" s="14" t="str">
        <f t="shared" ca="1" si="9"/>
        <v>OK</v>
      </c>
    </row>
    <row r="248" spans="1:11">
      <c r="A248" s="18" t="s">
        <v>2321</v>
      </c>
      <c r="B248" s="3" t="str">
        <f>IFERROR(INDEX(Movimientos!$C$5:$C$2001,MATCH(A248&amp;"ENTRADA",Movimientos!$R$5:$R$2001,0)),"-")</f>
        <v>-</v>
      </c>
      <c r="C248" s="3" t="str">
        <f>IFERROR(INDEX(Movimientos!$D$5:$D$2001,MATCH(A248&amp;"ENTRADA",Movimientos!$R$5:$R$2001,0)),"-")</f>
        <v>-</v>
      </c>
      <c r="D248" s="3" t="str">
        <f>IFERROR(INDEX(Movimientos!$E$5:$E$2001,MATCH(A248&amp;"ENTRADA",Movimientos!$R$5:$R$2001,0)),"-")</f>
        <v>-</v>
      </c>
      <c r="E248" s="3" t="str">
        <f>IFERROR(INDEX(Movimientos!$F$5:$F$2001,MATCH(A248&amp;"ENTRADA",Movimientos!$R$5:$R$2001,0)),"-")</f>
        <v>-</v>
      </c>
      <c r="F248" s="3" t="str">
        <f>IFERROR(INDEX(Movimientos!$G$5:$G$2001,MATCH(A248&amp;"ENTRADA",Movimientos!$R$5:$R$2001,0)),"-")</f>
        <v>-</v>
      </c>
      <c r="G248" s="3" t="str">
        <f>IFERROR(INDEX(Movimientos!$L$5:$L$2001,MATCH(A248&amp;"ENTRADA",Movimientos!$R$5:$R$2001,0)),"-")</f>
        <v>-</v>
      </c>
      <c r="H248" s="19" t="str">
        <f>IFERROR(IF(INDEX(Movimientos!$M$5:$M$2001,MATCH(A248&amp;"ENTRADA",Movimientos!$R$5:$R$2001,0))=0,"S/D",INDEX(Movimientos!$M$5:$M$2001,MATCH(A248&amp;"ENTRADA",Movimientos!$R$5:$R$2001,0))),"S/D")</f>
        <v>S/D</v>
      </c>
      <c r="I248" s="16" t="str">
        <f t="shared" ca="1" si="8"/>
        <v>S/D</v>
      </c>
      <c r="J248" s="6">
        <f>IF(A248="","",SUMIFS(Movimientos!$K:$K,Movimientos!$H:$H,A248))</f>
        <v>0</v>
      </c>
      <c r="K248" s="14" t="str">
        <f t="shared" ca="1" si="9"/>
        <v>OK</v>
      </c>
    </row>
    <row r="249" spans="1:11">
      <c r="A249" s="18" t="s">
        <v>2322</v>
      </c>
      <c r="B249" s="3" t="str">
        <f>IFERROR(INDEX(Movimientos!$C$5:$C$2001,MATCH(A249&amp;"ENTRADA",Movimientos!$R$5:$R$2001,0)),"-")</f>
        <v>-</v>
      </c>
      <c r="C249" s="3" t="str">
        <f>IFERROR(INDEX(Movimientos!$D$5:$D$2001,MATCH(A249&amp;"ENTRADA",Movimientos!$R$5:$R$2001,0)),"-")</f>
        <v>-</v>
      </c>
      <c r="D249" s="3" t="str">
        <f>IFERROR(INDEX(Movimientos!$E$5:$E$2001,MATCH(A249&amp;"ENTRADA",Movimientos!$R$5:$R$2001,0)),"-")</f>
        <v>-</v>
      </c>
      <c r="E249" s="3" t="str">
        <f>IFERROR(INDEX(Movimientos!$F$5:$F$2001,MATCH(A249&amp;"ENTRADA",Movimientos!$R$5:$R$2001,0)),"-")</f>
        <v>-</v>
      </c>
      <c r="F249" s="3" t="str">
        <f>IFERROR(INDEX(Movimientos!$G$5:$G$2001,MATCH(A249&amp;"ENTRADA",Movimientos!$R$5:$R$2001,0)),"-")</f>
        <v>-</v>
      </c>
      <c r="G249" s="3" t="str">
        <f>IFERROR(INDEX(Movimientos!$L$5:$L$2001,MATCH(A249&amp;"ENTRADA",Movimientos!$R$5:$R$2001,0)),"-")</f>
        <v>-</v>
      </c>
      <c r="H249" s="19" t="str">
        <f>IFERROR(IF(INDEX(Movimientos!$M$5:$M$2001,MATCH(A249&amp;"ENTRADA",Movimientos!$R$5:$R$2001,0))=0,"S/D",INDEX(Movimientos!$M$5:$M$2001,MATCH(A249&amp;"ENTRADA",Movimientos!$R$5:$R$2001,0))),"S/D")</f>
        <v>S/D</v>
      </c>
      <c r="I249" s="16" t="str">
        <f t="shared" ca="1" si="8"/>
        <v>S/D</v>
      </c>
      <c r="J249" s="6">
        <f>IF(A249="","",SUMIFS(Movimientos!$K:$K,Movimientos!$H:$H,A249))</f>
        <v>0</v>
      </c>
      <c r="K249" s="14" t="str">
        <f t="shared" ca="1" si="9"/>
        <v>OK</v>
      </c>
    </row>
    <row r="250" spans="1:11">
      <c r="A250" s="18" t="s">
        <v>2323</v>
      </c>
      <c r="B250" s="3" t="str">
        <f>IFERROR(INDEX(Movimientos!$C$5:$C$2001,MATCH(A250&amp;"ENTRADA",Movimientos!$R$5:$R$2001,0)),"-")</f>
        <v>-</v>
      </c>
      <c r="C250" s="3" t="str">
        <f>IFERROR(INDEX(Movimientos!$D$5:$D$2001,MATCH(A250&amp;"ENTRADA",Movimientos!$R$5:$R$2001,0)),"-")</f>
        <v>-</v>
      </c>
      <c r="D250" s="3" t="str">
        <f>IFERROR(INDEX(Movimientos!$E$5:$E$2001,MATCH(A250&amp;"ENTRADA",Movimientos!$R$5:$R$2001,0)),"-")</f>
        <v>-</v>
      </c>
      <c r="E250" s="3" t="str">
        <f>IFERROR(INDEX(Movimientos!$F$5:$F$2001,MATCH(A250&amp;"ENTRADA",Movimientos!$R$5:$R$2001,0)),"-")</f>
        <v>-</v>
      </c>
      <c r="F250" s="3" t="str">
        <f>IFERROR(INDEX(Movimientos!$G$5:$G$2001,MATCH(A250&amp;"ENTRADA",Movimientos!$R$5:$R$2001,0)),"-")</f>
        <v>-</v>
      </c>
      <c r="G250" s="3" t="str">
        <f>IFERROR(INDEX(Movimientos!$L$5:$L$2001,MATCH(A250&amp;"ENTRADA",Movimientos!$R$5:$R$2001,0)),"-")</f>
        <v>-</v>
      </c>
      <c r="H250" s="19" t="str">
        <f>IFERROR(IF(INDEX(Movimientos!$M$5:$M$2001,MATCH(A250&amp;"ENTRADA",Movimientos!$R$5:$R$2001,0))=0,"S/D",INDEX(Movimientos!$M$5:$M$2001,MATCH(A250&amp;"ENTRADA",Movimientos!$R$5:$R$2001,0))),"S/D")</f>
        <v>S/D</v>
      </c>
      <c r="I250" s="16" t="str">
        <f t="shared" ca="1" si="8"/>
        <v>S/D</v>
      </c>
      <c r="J250" s="6">
        <f>IF(A250="","",SUMIFS(Movimientos!$K:$K,Movimientos!$H:$H,A250))</f>
        <v>0</v>
      </c>
      <c r="K250" s="14" t="str">
        <f t="shared" ca="1" si="9"/>
        <v>OK</v>
      </c>
    </row>
    <row r="251" spans="1:11">
      <c r="A251" s="18" t="s">
        <v>2324</v>
      </c>
      <c r="B251" s="3" t="str">
        <f>IFERROR(INDEX(Movimientos!$C$5:$C$2001,MATCH(A251&amp;"ENTRADA",Movimientos!$R$5:$R$2001,0)),"-")</f>
        <v>-</v>
      </c>
      <c r="C251" s="3" t="str">
        <f>IFERROR(INDEX(Movimientos!$D$5:$D$2001,MATCH(A251&amp;"ENTRADA",Movimientos!$R$5:$R$2001,0)),"-")</f>
        <v>-</v>
      </c>
      <c r="D251" s="3" t="str">
        <f>IFERROR(INDEX(Movimientos!$E$5:$E$2001,MATCH(A251&amp;"ENTRADA",Movimientos!$R$5:$R$2001,0)),"-")</f>
        <v>-</v>
      </c>
      <c r="E251" s="3" t="str">
        <f>IFERROR(INDEX(Movimientos!$F$5:$F$2001,MATCH(A251&amp;"ENTRADA",Movimientos!$R$5:$R$2001,0)),"-")</f>
        <v>-</v>
      </c>
      <c r="F251" s="3" t="str">
        <f>IFERROR(INDEX(Movimientos!$G$5:$G$2001,MATCH(A251&amp;"ENTRADA",Movimientos!$R$5:$R$2001,0)),"-")</f>
        <v>-</v>
      </c>
      <c r="G251" s="3" t="str">
        <f>IFERROR(INDEX(Movimientos!$L$5:$L$2001,MATCH(A251&amp;"ENTRADA",Movimientos!$R$5:$R$2001,0)),"-")</f>
        <v>-</v>
      </c>
      <c r="H251" s="19" t="str">
        <f>IFERROR(IF(INDEX(Movimientos!$M$5:$M$2001,MATCH(A251&amp;"ENTRADA",Movimientos!$R$5:$R$2001,0))=0,"S/D",INDEX(Movimientos!$M$5:$M$2001,MATCH(A251&amp;"ENTRADA",Movimientos!$R$5:$R$2001,0))),"S/D")</f>
        <v>S/D</v>
      </c>
      <c r="I251" s="16" t="str">
        <f t="shared" ca="1" si="8"/>
        <v>S/D</v>
      </c>
      <c r="J251" s="6">
        <f>IF(A251="","",SUMIFS(Movimientos!$K:$K,Movimientos!$H:$H,A251))</f>
        <v>0</v>
      </c>
      <c r="K251" s="14" t="str">
        <f t="shared" ca="1" si="9"/>
        <v>OK</v>
      </c>
    </row>
    <row r="252" spans="1:11">
      <c r="A252" s="18" t="s">
        <v>2325</v>
      </c>
      <c r="B252" s="3" t="str">
        <f>IFERROR(INDEX(Movimientos!$C$5:$C$2001,MATCH(A252&amp;"ENTRADA",Movimientos!$R$5:$R$2001,0)),"-")</f>
        <v>-</v>
      </c>
      <c r="C252" s="3" t="str">
        <f>IFERROR(INDEX(Movimientos!$D$5:$D$2001,MATCH(A252&amp;"ENTRADA",Movimientos!$R$5:$R$2001,0)),"-")</f>
        <v>-</v>
      </c>
      <c r="D252" s="3" t="str">
        <f>IFERROR(INDEX(Movimientos!$E$5:$E$2001,MATCH(A252&amp;"ENTRADA",Movimientos!$R$5:$R$2001,0)),"-")</f>
        <v>-</v>
      </c>
      <c r="E252" s="3" t="str">
        <f>IFERROR(INDEX(Movimientos!$F$5:$F$2001,MATCH(A252&amp;"ENTRADA",Movimientos!$R$5:$R$2001,0)),"-")</f>
        <v>-</v>
      </c>
      <c r="F252" s="3" t="str">
        <f>IFERROR(INDEX(Movimientos!$G$5:$G$2001,MATCH(A252&amp;"ENTRADA",Movimientos!$R$5:$R$2001,0)),"-")</f>
        <v>-</v>
      </c>
      <c r="G252" s="3" t="str">
        <f>IFERROR(INDEX(Movimientos!$L$5:$L$2001,MATCH(A252&amp;"ENTRADA",Movimientos!$R$5:$R$2001,0)),"-")</f>
        <v>-</v>
      </c>
      <c r="H252" s="19" t="str">
        <f>IFERROR(IF(INDEX(Movimientos!$M$5:$M$2001,MATCH(A252&amp;"ENTRADA",Movimientos!$R$5:$R$2001,0))=0,"S/D",INDEX(Movimientos!$M$5:$M$2001,MATCH(A252&amp;"ENTRADA",Movimientos!$R$5:$R$2001,0))),"S/D")</f>
        <v>S/D</v>
      </c>
      <c r="I252" s="16" t="str">
        <f t="shared" ca="1" si="8"/>
        <v>S/D</v>
      </c>
      <c r="J252" s="6">
        <f>IF(A252="","",SUMIFS(Movimientos!$K:$K,Movimientos!$H:$H,A252))</f>
        <v>0</v>
      </c>
      <c r="K252" s="14" t="str">
        <f t="shared" ca="1" si="9"/>
        <v>OK</v>
      </c>
    </row>
    <row r="253" spans="1:11">
      <c r="A253" s="18" t="s">
        <v>2326</v>
      </c>
      <c r="B253" s="3" t="str">
        <f>IFERROR(INDEX(Movimientos!$C$5:$C$2001,MATCH(A253&amp;"ENTRADA",Movimientos!$R$5:$R$2001,0)),"-")</f>
        <v>-</v>
      </c>
      <c r="C253" s="3" t="str">
        <f>IFERROR(INDEX(Movimientos!$D$5:$D$2001,MATCH(A253&amp;"ENTRADA",Movimientos!$R$5:$R$2001,0)),"-")</f>
        <v>-</v>
      </c>
      <c r="D253" s="3" t="str">
        <f>IFERROR(INDEX(Movimientos!$E$5:$E$2001,MATCH(A253&amp;"ENTRADA",Movimientos!$R$5:$R$2001,0)),"-")</f>
        <v>-</v>
      </c>
      <c r="E253" s="3" t="str">
        <f>IFERROR(INDEX(Movimientos!$F$5:$F$2001,MATCH(A253&amp;"ENTRADA",Movimientos!$R$5:$R$2001,0)),"-")</f>
        <v>-</v>
      </c>
      <c r="F253" s="3" t="str">
        <f>IFERROR(INDEX(Movimientos!$G$5:$G$2001,MATCH(A253&amp;"ENTRADA",Movimientos!$R$5:$R$2001,0)),"-")</f>
        <v>-</v>
      </c>
      <c r="G253" s="3" t="str">
        <f>IFERROR(INDEX(Movimientos!$L$5:$L$2001,MATCH(A253&amp;"ENTRADA",Movimientos!$R$5:$R$2001,0)),"-")</f>
        <v>-</v>
      </c>
      <c r="H253" s="19" t="str">
        <f>IFERROR(IF(INDEX(Movimientos!$M$5:$M$2001,MATCH(A253&amp;"ENTRADA",Movimientos!$R$5:$R$2001,0))=0,"S/D",INDEX(Movimientos!$M$5:$M$2001,MATCH(A253&amp;"ENTRADA",Movimientos!$R$5:$R$2001,0))),"S/D")</f>
        <v>S/D</v>
      </c>
      <c r="I253" s="16" t="str">
        <f t="shared" ca="1" si="8"/>
        <v>S/D</v>
      </c>
      <c r="J253" s="6">
        <f>IF(A253="","",SUMIFS(Movimientos!$K:$K,Movimientos!$H:$H,A253))</f>
        <v>0</v>
      </c>
      <c r="K253" s="14" t="str">
        <f t="shared" ca="1" si="9"/>
        <v>OK</v>
      </c>
    </row>
    <row r="254" spans="1:11">
      <c r="A254" s="18" t="s">
        <v>2327</v>
      </c>
      <c r="B254" s="3" t="str">
        <f>IFERROR(INDEX(Movimientos!$C$5:$C$2001,MATCH(A254&amp;"ENTRADA",Movimientos!$R$5:$R$2001,0)),"-")</f>
        <v>-</v>
      </c>
      <c r="C254" s="3" t="str">
        <f>IFERROR(INDEX(Movimientos!$D$5:$D$2001,MATCH(A254&amp;"ENTRADA",Movimientos!$R$5:$R$2001,0)),"-")</f>
        <v>-</v>
      </c>
      <c r="D254" s="3" t="str">
        <f>IFERROR(INDEX(Movimientos!$E$5:$E$2001,MATCH(A254&amp;"ENTRADA",Movimientos!$R$5:$R$2001,0)),"-")</f>
        <v>-</v>
      </c>
      <c r="E254" s="3" t="str">
        <f>IFERROR(INDEX(Movimientos!$F$5:$F$2001,MATCH(A254&amp;"ENTRADA",Movimientos!$R$5:$R$2001,0)),"-")</f>
        <v>-</v>
      </c>
      <c r="F254" s="3" t="str">
        <f>IFERROR(INDEX(Movimientos!$G$5:$G$2001,MATCH(A254&amp;"ENTRADA",Movimientos!$R$5:$R$2001,0)),"-")</f>
        <v>-</v>
      </c>
      <c r="G254" s="3" t="str">
        <f>IFERROR(INDEX(Movimientos!$L$5:$L$2001,MATCH(A254&amp;"ENTRADA",Movimientos!$R$5:$R$2001,0)),"-")</f>
        <v>-</v>
      </c>
      <c r="H254" s="19" t="str">
        <f>IFERROR(IF(INDEX(Movimientos!$M$5:$M$2001,MATCH(A254&amp;"ENTRADA",Movimientos!$R$5:$R$2001,0))=0,"S/D",INDEX(Movimientos!$M$5:$M$2001,MATCH(A254&amp;"ENTRADA",Movimientos!$R$5:$R$2001,0))),"S/D")</f>
        <v>S/D</v>
      </c>
      <c r="I254" s="16" t="str">
        <f t="shared" ca="1" si="8"/>
        <v>S/D</v>
      </c>
      <c r="J254" s="6">
        <f>IF(A254="","",SUMIFS(Movimientos!$K:$K,Movimientos!$H:$H,A254))</f>
        <v>0</v>
      </c>
      <c r="K254" s="14" t="str">
        <f t="shared" ca="1" si="9"/>
        <v>OK</v>
      </c>
    </row>
    <row r="255" spans="1:11">
      <c r="A255" s="18" t="s">
        <v>2328</v>
      </c>
      <c r="B255" s="3" t="str">
        <f>IFERROR(INDEX(Movimientos!$C$5:$C$2001,MATCH(A255&amp;"ENTRADA",Movimientos!$R$5:$R$2001,0)),"-")</f>
        <v>-</v>
      </c>
      <c r="C255" s="3" t="str">
        <f>IFERROR(INDEX(Movimientos!$D$5:$D$2001,MATCH(A255&amp;"ENTRADA",Movimientos!$R$5:$R$2001,0)),"-")</f>
        <v>-</v>
      </c>
      <c r="D255" s="3" t="str">
        <f>IFERROR(INDEX(Movimientos!$E$5:$E$2001,MATCH(A255&amp;"ENTRADA",Movimientos!$R$5:$R$2001,0)),"-")</f>
        <v>-</v>
      </c>
      <c r="E255" s="3" t="str">
        <f>IFERROR(INDEX(Movimientos!$F$5:$F$2001,MATCH(A255&amp;"ENTRADA",Movimientos!$R$5:$R$2001,0)),"-")</f>
        <v>-</v>
      </c>
      <c r="F255" s="3" t="str">
        <f>IFERROR(INDEX(Movimientos!$G$5:$G$2001,MATCH(A255&amp;"ENTRADA",Movimientos!$R$5:$R$2001,0)),"-")</f>
        <v>-</v>
      </c>
      <c r="G255" s="3" t="str">
        <f>IFERROR(INDEX(Movimientos!$L$5:$L$2001,MATCH(A255&amp;"ENTRADA",Movimientos!$R$5:$R$2001,0)),"-")</f>
        <v>-</v>
      </c>
      <c r="H255" s="19" t="str">
        <f>IFERROR(IF(INDEX(Movimientos!$M$5:$M$2001,MATCH(A255&amp;"ENTRADA",Movimientos!$R$5:$R$2001,0))=0,"S/D",INDEX(Movimientos!$M$5:$M$2001,MATCH(A255&amp;"ENTRADA",Movimientos!$R$5:$R$2001,0))),"S/D")</f>
        <v>S/D</v>
      </c>
      <c r="I255" s="16" t="str">
        <f t="shared" ca="1" si="8"/>
        <v>S/D</v>
      </c>
      <c r="J255" s="6">
        <f>IF(A255="","",SUMIFS(Movimientos!$K:$K,Movimientos!$H:$H,A255))</f>
        <v>0</v>
      </c>
      <c r="K255" s="14" t="str">
        <f t="shared" ca="1" si="9"/>
        <v>OK</v>
      </c>
    </row>
    <row r="256" spans="1:11">
      <c r="A256" s="18" t="s">
        <v>2329</v>
      </c>
      <c r="B256" s="3" t="str">
        <f>IFERROR(INDEX(Movimientos!$C$5:$C$2001,MATCH(A256&amp;"ENTRADA",Movimientos!$R$5:$R$2001,0)),"-")</f>
        <v>-</v>
      </c>
      <c r="C256" s="3" t="str">
        <f>IFERROR(INDEX(Movimientos!$D$5:$D$2001,MATCH(A256&amp;"ENTRADA",Movimientos!$R$5:$R$2001,0)),"-")</f>
        <v>-</v>
      </c>
      <c r="D256" s="3" t="str">
        <f>IFERROR(INDEX(Movimientos!$E$5:$E$2001,MATCH(A256&amp;"ENTRADA",Movimientos!$R$5:$R$2001,0)),"-")</f>
        <v>-</v>
      </c>
      <c r="E256" s="3" t="str">
        <f>IFERROR(INDEX(Movimientos!$F$5:$F$2001,MATCH(A256&amp;"ENTRADA",Movimientos!$R$5:$R$2001,0)),"-")</f>
        <v>-</v>
      </c>
      <c r="F256" s="3" t="str">
        <f>IFERROR(INDEX(Movimientos!$G$5:$G$2001,MATCH(A256&amp;"ENTRADA",Movimientos!$R$5:$R$2001,0)),"-")</f>
        <v>-</v>
      </c>
      <c r="G256" s="3" t="str">
        <f>IFERROR(INDEX(Movimientos!$L$5:$L$2001,MATCH(A256&amp;"ENTRADA",Movimientos!$R$5:$R$2001,0)),"-")</f>
        <v>-</v>
      </c>
      <c r="H256" s="19" t="str">
        <f>IFERROR(IF(INDEX(Movimientos!$M$5:$M$2001,MATCH(A256&amp;"ENTRADA",Movimientos!$R$5:$R$2001,0))=0,"S/D",INDEX(Movimientos!$M$5:$M$2001,MATCH(A256&amp;"ENTRADA",Movimientos!$R$5:$R$2001,0))),"S/D")</f>
        <v>S/D</v>
      </c>
      <c r="I256" s="16" t="str">
        <f t="shared" ca="1" si="8"/>
        <v>S/D</v>
      </c>
      <c r="J256" s="6">
        <f>IF(A256="","",SUMIFS(Movimientos!$K:$K,Movimientos!$H:$H,A256))</f>
        <v>0</v>
      </c>
      <c r="K256" s="14" t="str">
        <f t="shared" ca="1" si="9"/>
        <v>OK</v>
      </c>
    </row>
    <row r="257" spans="1:11">
      <c r="A257" s="18" t="s">
        <v>2330</v>
      </c>
      <c r="B257" s="3" t="str">
        <f>IFERROR(INDEX(Movimientos!$C$5:$C$2001,MATCH(A257&amp;"ENTRADA",Movimientos!$R$5:$R$2001,0)),"-")</f>
        <v>-</v>
      </c>
      <c r="C257" s="3" t="str">
        <f>IFERROR(INDEX(Movimientos!$D$5:$D$2001,MATCH(A257&amp;"ENTRADA",Movimientos!$R$5:$R$2001,0)),"-")</f>
        <v>-</v>
      </c>
      <c r="D257" s="3" t="str">
        <f>IFERROR(INDEX(Movimientos!$E$5:$E$2001,MATCH(A257&amp;"ENTRADA",Movimientos!$R$5:$R$2001,0)),"-")</f>
        <v>-</v>
      </c>
      <c r="E257" s="3" t="str">
        <f>IFERROR(INDEX(Movimientos!$F$5:$F$2001,MATCH(A257&amp;"ENTRADA",Movimientos!$R$5:$R$2001,0)),"-")</f>
        <v>-</v>
      </c>
      <c r="F257" s="3" t="str">
        <f>IFERROR(INDEX(Movimientos!$G$5:$G$2001,MATCH(A257&amp;"ENTRADA",Movimientos!$R$5:$R$2001,0)),"-")</f>
        <v>-</v>
      </c>
      <c r="G257" s="3" t="str">
        <f>IFERROR(INDEX(Movimientos!$L$5:$L$2001,MATCH(A257&amp;"ENTRADA",Movimientos!$R$5:$R$2001,0)),"-")</f>
        <v>-</v>
      </c>
      <c r="H257" s="19" t="str">
        <f>IFERROR(IF(INDEX(Movimientos!$M$5:$M$2001,MATCH(A257&amp;"ENTRADA",Movimientos!$R$5:$R$2001,0))=0,"S/D",INDEX(Movimientos!$M$5:$M$2001,MATCH(A257&amp;"ENTRADA",Movimientos!$R$5:$R$2001,0))),"S/D")</f>
        <v>S/D</v>
      </c>
      <c r="I257" s="16" t="str">
        <f t="shared" ca="1" si="8"/>
        <v>S/D</v>
      </c>
      <c r="J257" s="6">
        <f>IF(A257="","",SUMIFS(Movimientos!$K:$K,Movimientos!$H:$H,A257))</f>
        <v>0</v>
      </c>
      <c r="K257" s="14" t="str">
        <f t="shared" ca="1" si="9"/>
        <v>OK</v>
      </c>
    </row>
    <row r="258" spans="1:11">
      <c r="A258" s="18" t="s">
        <v>2331</v>
      </c>
      <c r="B258" s="3" t="str">
        <f>IFERROR(INDEX(Movimientos!$C$5:$C$2001,MATCH(A258&amp;"ENTRADA",Movimientos!$R$5:$R$2001,0)),"-")</f>
        <v>-</v>
      </c>
      <c r="C258" s="3" t="str">
        <f>IFERROR(INDEX(Movimientos!$D$5:$D$2001,MATCH(A258&amp;"ENTRADA",Movimientos!$R$5:$R$2001,0)),"-")</f>
        <v>-</v>
      </c>
      <c r="D258" s="3" t="str">
        <f>IFERROR(INDEX(Movimientos!$E$5:$E$2001,MATCH(A258&amp;"ENTRADA",Movimientos!$R$5:$R$2001,0)),"-")</f>
        <v>-</v>
      </c>
      <c r="E258" s="3" t="str">
        <f>IFERROR(INDEX(Movimientos!$F$5:$F$2001,MATCH(A258&amp;"ENTRADA",Movimientos!$R$5:$R$2001,0)),"-")</f>
        <v>-</v>
      </c>
      <c r="F258" s="3" t="str">
        <f>IFERROR(INDEX(Movimientos!$G$5:$G$2001,MATCH(A258&amp;"ENTRADA",Movimientos!$R$5:$R$2001,0)),"-")</f>
        <v>-</v>
      </c>
      <c r="G258" s="3" t="str">
        <f>IFERROR(INDEX(Movimientos!$L$5:$L$2001,MATCH(A258&amp;"ENTRADA",Movimientos!$R$5:$R$2001,0)),"-")</f>
        <v>-</v>
      </c>
      <c r="H258" s="19" t="str">
        <f>IFERROR(IF(INDEX(Movimientos!$M$5:$M$2001,MATCH(A258&amp;"ENTRADA",Movimientos!$R$5:$R$2001,0))=0,"S/D",INDEX(Movimientos!$M$5:$M$2001,MATCH(A258&amp;"ENTRADA",Movimientos!$R$5:$R$2001,0))),"S/D")</f>
        <v>S/D</v>
      </c>
      <c r="I258" s="16" t="str">
        <f t="shared" ca="1" si="8"/>
        <v>S/D</v>
      </c>
      <c r="J258" s="6">
        <f>IF(A258="","",SUMIFS(Movimientos!$K:$K,Movimientos!$H:$H,A258))</f>
        <v>0</v>
      </c>
      <c r="K258" s="14" t="str">
        <f t="shared" ca="1" si="9"/>
        <v>OK</v>
      </c>
    </row>
    <row r="259" spans="1:11">
      <c r="A259" s="18" t="s">
        <v>2332</v>
      </c>
      <c r="B259" s="3" t="str">
        <f>IFERROR(INDEX(Movimientos!$C$5:$C$2001,MATCH(A259&amp;"ENTRADA",Movimientos!$R$5:$R$2001,0)),"-")</f>
        <v>-</v>
      </c>
      <c r="C259" s="3" t="str">
        <f>IFERROR(INDEX(Movimientos!$D$5:$D$2001,MATCH(A259&amp;"ENTRADA",Movimientos!$R$5:$R$2001,0)),"-")</f>
        <v>-</v>
      </c>
      <c r="D259" s="3" t="str">
        <f>IFERROR(INDEX(Movimientos!$E$5:$E$2001,MATCH(A259&amp;"ENTRADA",Movimientos!$R$5:$R$2001,0)),"-")</f>
        <v>-</v>
      </c>
      <c r="E259" s="3" t="str">
        <f>IFERROR(INDEX(Movimientos!$F$5:$F$2001,MATCH(A259&amp;"ENTRADA",Movimientos!$R$5:$R$2001,0)),"-")</f>
        <v>-</v>
      </c>
      <c r="F259" s="3" t="str">
        <f>IFERROR(INDEX(Movimientos!$G$5:$G$2001,MATCH(A259&amp;"ENTRADA",Movimientos!$R$5:$R$2001,0)),"-")</f>
        <v>-</v>
      </c>
      <c r="G259" s="3" t="str">
        <f>IFERROR(INDEX(Movimientos!$L$5:$L$2001,MATCH(A259&amp;"ENTRADA",Movimientos!$R$5:$R$2001,0)),"-")</f>
        <v>-</v>
      </c>
      <c r="H259" s="19" t="str">
        <f>IFERROR(IF(INDEX(Movimientos!$M$5:$M$2001,MATCH(A259&amp;"ENTRADA",Movimientos!$R$5:$R$2001,0))=0,"S/D",INDEX(Movimientos!$M$5:$M$2001,MATCH(A259&amp;"ENTRADA",Movimientos!$R$5:$R$2001,0))),"S/D")</f>
        <v>S/D</v>
      </c>
      <c r="I259" s="16" t="str">
        <f t="shared" ca="1" si="8"/>
        <v>S/D</v>
      </c>
      <c r="J259" s="6">
        <f>IF(A259="","",SUMIFS(Movimientos!$K:$K,Movimientos!$H:$H,A259))</f>
        <v>0</v>
      </c>
      <c r="K259" s="14" t="str">
        <f t="shared" ca="1" si="9"/>
        <v>OK</v>
      </c>
    </row>
    <row r="260" spans="1:11">
      <c r="A260" s="18" t="s">
        <v>2333</v>
      </c>
      <c r="B260" s="3" t="str">
        <f>IFERROR(INDEX(Movimientos!$C$5:$C$2001,MATCH(A260&amp;"ENTRADA",Movimientos!$R$5:$R$2001,0)),"-")</f>
        <v>-</v>
      </c>
      <c r="C260" s="3" t="str">
        <f>IFERROR(INDEX(Movimientos!$D$5:$D$2001,MATCH(A260&amp;"ENTRADA",Movimientos!$R$5:$R$2001,0)),"-")</f>
        <v>-</v>
      </c>
      <c r="D260" s="3" t="str">
        <f>IFERROR(INDEX(Movimientos!$E$5:$E$2001,MATCH(A260&amp;"ENTRADA",Movimientos!$R$5:$R$2001,0)),"-")</f>
        <v>-</v>
      </c>
      <c r="E260" s="3" t="str">
        <f>IFERROR(INDEX(Movimientos!$F$5:$F$2001,MATCH(A260&amp;"ENTRADA",Movimientos!$R$5:$R$2001,0)),"-")</f>
        <v>-</v>
      </c>
      <c r="F260" s="3" t="str">
        <f>IFERROR(INDEX(Movimientos!$G$5:$G$2001,MATCH(A260&amp;"ENTRADA",Movimientos!$R$5:$R$2001,0)),"-")</f>
        <v>-</v>
      </c>
      <c r="G260" s="3" t="str">
        <f>IFERROR(INDEX(Movimientos!$L$5:$L$2001,MATCH(A260&amp;"ENTRADA",Movimientos!$R$5:$R$2001,0)),"-")</f>
        <v>-</v>
      </c>
      <c r="H260" s="19" t="str">
        <f>IFERROR(IF(INDEX(Movimientos!$M$5:$M$2001,MATCH(A260&amp;"ENTRADA",Movimientos!$R$5:$R$2001,0))=0,"S/D",INDEX(Movimientos!$M$5:$M$2001,MATCH(A260&amp;"ENTRADA",Movimientos!$R$5:$R$2001,0))),"S/D")</f>
        <v>S/D</v>
      </c>
      <c r="I260" s="16" t="str">
        <f t="shared" ca="1" si="8"/>
        <v>S/D</v>
      </c>
      <c r="J260" s="6">
        <f>IF(A260="","",SUMIFS(Movimientos!$K:$K,Movimientos!$H:$H,A260))</f>
        <v>0</v>
      </c>
      <c r="K260" s="14" t="str">
        <f t="shared" ca="1" si="9"/>
        <v>OK</v>
      </c>
    </row>
    <row r="261" spans="1:11">
      <c r="A261" s="18" t="s">
        <v>2334</v>
      </c>
      <c r="B261" s="3" t="str">
        <f>IFERROR(INDEX(Movimientos!$C$5:$C$2001,MATCH(A261&amp;"ENTRADA",Movimientos!$R$5:$R$2001,0)),"-")</f>
        <v>-</v>
      </c>
      <c r="C261" s="3" t="str">
        <f>IFERROR(INDEX(Movimientos!$D$5:$D$2001,MATCH(A261&amp;"ENTRADA",Movimientos!$R$5:$R$2001,0)),"-")</f>
        <v>-</v>
      </c>
      <c r="D261" s="3" t="str">
        <f>IFERROR(INDEX(Movimientos!$E$5:$E$2001,MATCH(A261&amp;"ENTRADA",Movimientos!$R$5:$R$2001,0)),"-")</f>
        <v>-</v>
      </c>
      <c r="E261" s="3" t="str">
        <f>IFERROR(INDEX(Movimientos!$F$5:$F$2001,MATCH(A261&amp;"ENTRADA",Movimientos!$R$5:$R$2001,0)),"-")</f>
        <v>-</v>
      </c>
      <c r="F261" s="3" t="str">
        <f>IFERROR(INDEX(Movimientos!$G$5:$G$2001,MATCH(A261&amp;"ENTRADA",Movimientos!$R$5:$R$2001,0)),"-")</f>
        <v>-</v>
      </c>
      <c r="G261" s="3" t="str">
        <f>IFERROR(INDEX(Movimientos!$L$5:$L$2001,MATCH(A261&amp;"ENTRADA",Movimientos!$R$5:$R$2001,0)),"-")</f>
        <v>-</v>
      </c>
      <c r="H261" s="19" t="str">
        <f>IFERROR(IF(INDEX(Movimientos!$M$5:$M$2001,MATCH(A261&amp;"ENTRADA",Movimientos!$R$5:$R$2001,0))=0,"S/D",INDEX(Movimientos!$M$5:$M$2001,MATCH(A261&amp;"ENTRADA",Movimientos!$R$5:$R$2001,0))),"S/D")</f>
        <v>S/D</v>
      </c>
      <c r="I261" s="16" t="str">
        <f t="shared" ca="1" si="8"/>
        <v>S/D</v>
      </c>
      <c r="J261" s="6">
        <f>IF(A261="","",SUMIFS(Movimientos!$K:$K,Movimientos!$H:$H,A261))</f>
        <v>0</v>
      </c>
      <c r="K261" s="14" t="str">
        <f t="shared" ca="1" si="9"/>
        <v>OK</v>
      </c>
    </row>
    <row r="262" spans="1:11">
      <c r="A262" s="18" t="s">
        <v>2335</v>
      </c>
      <c r="B262" s="3" t="str">
        <f>IFERROR(INDEX(Movimientos!$C$5:$C$2001,MATCH(A262&amp;"ENTRADA",Movimientos!$R$5:$R$2001,0)),"-")</f>
        <v>-</v>
      </c>
      <c r="C262" s="3" t="str">
        <f>IFERROR(INDEX(Movimientos!$D$5:$D$2001,MATCH(A262&amp;"ENTRADA",Movimientos!$R$5:$R$2001,0)),"-")</f>
        <v>-</v>
      </c>
      <c r="D262" s="3" t="str">
        <f>IFERROR(INDEX(Movimientos!$E$5:$E$2001,MATCH(A262&amp;"ENTRADA",Movimientos!$R$5:$R$2001,0)),"-")</f>
        <v>-</v>
      </c>
      <c r="E262" s="3" t="str">
        <f>IFERROR(INDEX(Movimientos!$F$5:$F$2001,MATCH(A262&amp;"ENTRADA",Movimientos!$R$5:$R$2001,0)),"-")</f>
        <v>-</v>
      </c>
      <c r="F262" s="3" t="str">
        <f>IFERROR(INDEX(Movimientos!$G$5:$G$2001,MATCH(A262&amp;"ENTRADA",Movimientos!$R$5:$R$2001,0)),"-")</f>
        <v>-</v>
      </c>
      <c r="G262" s="3" t="str">
        <f>IFERROR(INDEX(Movimientos!$L$5:$L$2001,MATCH(A262&amp;"ENTRADA",Movimientos!$R$5:$R$2001,0)),"-")</f>
        <v>-</v>
      </c>
      <c r="H262" s="19" t="str">
        <f>IFERROR(IF(INDEX(Movimientos!$M$5:$M$2001,MATCH(A262&amp;"ENTRADA",Movimientos!$R$5:$R$2001,0))=0,"S/D",INDEX(Movimientos!$M$5:$M$2001,MATCH(A262&amp;"ENTRADA",Movimientos!$R$5:$R$2001,0))),"S/D")</f>
        <v>S/D</v>
      </c>
      <c r="I262" s="16" t="str">
        <f t="shared" ca="1" si="8"/>
        <v>S/D</v>
      </c>
      <c r="J262" s="6">
        <f>IF(A262="","",SUMIFS(Movimientos!$K:$K,Movimientos!$H:$H,A262))</f>
        <v>0</v>
      </c>
      <c r="K262" s="14" t="str">
        <f t="shared" ca="1" si="9"/>
        <v>OK</v>
      </c>
    </row>
    <row r="263" spans="1:11">
      <c r="A263" s="18" t="s">
        <v>2336</v>
      </c>
      <c r="B263" s="3" t="str">
        <f>IFERROR(INDEX(Movimientos!$C$5:$C$2001,MATCH(A263&amp;"ENTRADA",Movimientos!$R$5:$R$2001,0)),"-")</f>
        <v>-</v>
      </c>
      <c r="C263" s="3" t="str">
        <f>IFERROR(INDEX(Movimientos!$D$5:$D$2001,MATCH(A263&amp;"ENTRADA",Movimientos!$R$5:$R$2001,0)),"-")</f>
        <v>-</v>
      </c>
      <c r="D263" s="3" t="str">
        <f>IFERROR(INDEX(Movimientos!$E$5:$E$2001,MATCH(A263&amp;"ENTRADA",Movimientos!$R$5:$R$2001,0)),"-")</f>
        <v>-</v>
      </c>
      <c r="E263" s="3" t="str">
        <f>IFERROR(INDEX(Movimientos!$F$5:$F$2001,MATCH(A263&amp;"ENTRADA",Movimientos!$R$5:$R$2001,0)),"-")</f>
        <v>-</v>
      </c>
      <c r="F263" s="3" t="str">
        <f>IFERROR(INDEX(Movimientos!$G$5:$G$2001,MATCH(A263&amp;"ENTRADA",Movimientos!$R$5:$R$2001,0)),"-")</f>
        <v>-</v>
      </c>
      <c r="G263" s="3" t="str">
        <f>IFERROR(INDEX(Movimientos!$L$5:$L$2001,MATCH(A263&amp;"ENTRADA",Movimientos!$R$5:$R$2001,0)),"-")</f>
        <v>-</v>
      </c>
      <c r="H263" s="19" t="str">
        <f>IFERROR(IF(INDEX(Movimientos!$M$5:$M$2001,MATCH(A263&amp;"ENTRADA",Movimientos!$R$5:$R$2001,0))=0,"S/D",INDEX(Movimientos!$M$5:$M$2001,MATCH(A263&amp;"ENTRADA",Movimientos!$R$5:$R$2001,0))),"S/D")</f>
        <v>S/D</v>
      </c>
      <c r="I263" s="16" t="str">
        <f t="shared" ca="1" si="8"/>
        <v>S/D</v>
      </c>
      <c r="J263" s="6">
        <f>IF(A263="","",SUMIFS(Movimientos!$K:$K,Movimientos!$H:$H,A263))</f>
        <v>0</v>
      </c>
      <c r="K263" s="14" t="str">
        <f t="shared" ca="1" si="9"/>
        <v>OK</v>
      </c>
    </row>
    <row r="264" spans="1:11">
      <c r="A264" s="18" t="s">
        <v>2337</v>
      </c>
      <c r="B264" s="3" t="str">
        <f>IFERROR(INDEX(Movimientos!$C$5:$C$2001,MATCH(A264&amp;"ENTRADA",Movimientos!$R$5:$R$2001,0)),"-")</f>
        <v>-</v>
      </c>
      <c r="C264" s="3" t="str">
        <f>IFERROR(INDEX(Movimientos!$D$5:$D$2001,MATCH(A264&amp;"ENTRADA",Movimientos!$R$5:$R$2001,0)),"-")</f>
        <v>-</v>
      </c>
      <c r="D264" s="3" t="str">
        <f>IFERROR(INDEX(Movimientos!$E$5:$E$2001,MATCH(A264&amp;"ENTRADA",Movimientos!$R$5:$R$2001,0)),"-")</f>
        <v>-</v>
      </c>
      <c r="E264" s="3" t="str">
        <f>IFERROR(INDEX(Movimientos!$F$5:$F$2001,MATCH(A264&amp;"ENTRADA",Movimientos!$R$5:$R$2001,0)),"-")</f>
        <v>-</v>
      </c>
      <c r="F264" s="3" t="str">
        <f>IFERROR(INDEX(Movimientos!$G$5:$G$2001,MATCH(A264&amp;"ENTRADA",Movimientos!$R$5:$R$2001,0)),"-")</f>
        <v>-</v>
      </c>
      <c r="G264" s="3" t="str">
        <f>IFERROR(INDEX(Movimientos!$L$5:$L$2001,MATCH(A264&amp;"ENTRADA",Movimientos!$R$5:$R$2001,0)),"-")</f>
        <v>-</v>
      </c>
      <c r="H264" s="19" t="str">
        <f>IFERROR(IF(INDEX(Movimientos!$M$5:$M$2001,MATCH(A264&amp;"ENTRADA",Movimientos!$R$5:$R$2001,0))=0,"S/D",INDEX(Movimientos!$M$5:$M$2001,MATCH(A264&amp;"ENTRADA",Movimientos!$R$5:$R$2001,0))),"S/D")</f>
        <v>S/D</v>
      </c>
      <c r="I264" s="16" t="str">
        <f t="shared" ca="1" si="8"/>
        <v>S/D</v>
      </c>
      <c r="J264" s="6">
        <f>IF(A264="","",SUMIFS(Movimientos!$K:$K,Movimientos!$H:$H,A264))</f>
        <v>0</v>
      </c>
      <c r="K264" s="14" t="str">
        <f t="shared" ca="1" si="9"/>
        <v>OK</v>
      </c>
    </row>
    <row r="265" spans="1:11">
      <c r="A265" s="18" t="s">
        <v>2338</v>
      </c>
      <c r="B265" s="3" t="str">
        <f>IFERROR(INDEX(Movimientos!$C$5:$C$2001,MATCH(A265&amp;"ENTRADA",Movimientos!$R$5:$R$2001,0)),"-")</f>
        <v>-</v>
      </c>
      <c r="C265" s="3" t="str">
        <f>IFERROR(INDEX(Movimientos!$D$5:$D$2001,MATCH(A265&amp;"ENTRADA",Movimientos!$R$5:$R$2001,0)),"-")</f>
        <v>-</v>
      </c>
      <c r="D265" s="3" t="str">
        <f>IFERROR(INDEX(Movimientos!$E$5:$E$2001,MATCH(A265&amp;"ENTRADA",Movimientos!$R$5:$R$2001,0)),"-")</f>
        <v>-</v>
      </c>
      <c r="E265" s="3" t="str">
        <f>IFERROR(INDEX(Movimientos!$F$5:$F$2001,MATCH(A265&amp;"ENTRADA",Movimientos!$R$5:$R$2001,0)),"-")</f>
        <v>-</v>
      </c>
      <c r="F265" s="3" t="str">
        <f>IFERROR(INDEX(Movimientos!$G$5:$G$2001,MATCH(A265&amp;"ENTRADA",Movimientos!$R$5:$R$2001,0)),"-")</f>
        <v>-</v>
      </c>
      <c r="G265" s="3" t="str">
        <f>IFERROR(INDEX(Movimientos!$L$5:$L$2001,MATCH(A265&amp;"ENTRADA",Movimientos!$R$5:$R$2001,0)),"-")</f>
        <v>-</v>
      </c>
      <c r="H265" s="19" t="str">
        <f>IFERROR(IF(INDEX(Movimientos!$M$5:$M$2001,MATCH(A265&amp;"ENTRADA",Movimientos!$R$5:$R$2001,0))=0,"S/D",INDEX(Movimientos!$M$5:$M$2001,MATCH(A265&amp;"ENTRADA",Movimientos!$R$5:$R$2001,0))),"S/D")</f>
        <v>S/D</v>
      </c>
      <c r="I265" s="16" t="str">
        <f t="shared" ca="1" si="8"/>
        <v>S/D</v>
      </c>
      <c r="J265" s="6">
        <f>IF(A265="","",SUMIFS(Movimientos!$K:$K,Movimientos!$H:$H,A265))</f>
        <v>0</v>
      </c>
      <c r="K265" s="14" t="str">
        <f t="shared" ca="1" si="9"/>
        <v>OK</v>
      </c>
    </row>
    <row r="266" spans="1:11">
      <c r="A266" s="18" t="s">
        <v>2339</v>
      </c>
      <c r="B266" s="3" t="str">
        <f>IFERROR(INDEX(Movimientos!$C$5:$C$2001,MATCH(A266&amp;"ENTRADA",Movimientos!$R$5:$R$2001,0)),"-")</f>
        <v>-</v>
      </c>
      <c r="C266" s="3" t="str">
        <f>IFERROR(INDEX(Movimientos!$D$5:$D$2001,MATCH(A266&amp;"ENTRADA",Movimientos!$R$5:$R$2001,0)),"-")</f>
        <v>-</v>
      </c>
      <c r="D266" s="3" t="str">
        <f>IFERROR(INDEX(Movimientos!$E$5:$E$2001,MATCH(A266&amp;"ENTRADA",Movimientos!$R$5:$R$2001,0)),"-")</f>
        <v>-</v>
      </c>
      <c r="E266" s="3" t="str">
        <f>IFERROR(INDEX(Movimientos!$F$5:$F$2001,MATCH(A266&amp;"ENTRADA",Movimientos!$R$5:$R$2001,0)),"-")</f>
        <v>-</v>
      </c>
      <c r="F266" s="3" t="str">
        <f>IFERROR(INDEX(Movimientos!$G$5:$G$2001,MATCH(A266&amp;"ENTRADA",Movimientos!$R$5:$R$2001,0)),"-")</f>
        <v>-</v>
      </c>
      <c r="G266" s="3" t="str">
        <f>IFERROR(INDEX(Movimientos!$L$5:$L$2001,MATCH(A266&amp;"ENTRADA",Movimientos!$R$5:$R$2001,0)),"-")</f>
        <v>-</v>
      </c>
      <c r="H266" s="19" t="str">
        <f>IFERROR(IF(INDEX(Movimientos!$M$5:$M$2001,MATCH(A266&amp;"ENTRADA",Movimientos!$R$5:$R$2001,0))=0,"S/D",INDEX(Movimientos!$M$5:$M$2001,MATCH(A266&amp;"ENTRADA",Movimientos!$R$5:$R$2001,0))),"S/D")</f>
        <v>S/D</v>
      </c>
      <c r="I266" s="16" t="str">
        <f t="shared" ca="1" si="8"/>
        <v>S/D</v>
      </c>
      <c r="J266" s="6">
        <f>IF(A266="","",SUMIFS(Movimientos!$K:$K,Movimientos!$H:$H,A266))</f>
        <v>0</v>
      </c>
      <c r="K266" s="14" t="str">
        <f t="shared" ca="1" si="9"/>
        <v>OK</v>
      </c>
    </row>
    <row r="267" spans="1:11">
      <c r="A267" s="18" t="s">
        <v>2340</v>
      </c>
      <c r="B267" s="3" t="str">
        <f>IFERROR(INDEX(Movimientos!$C$5:$C$2001,MATCH(A267&amp;"ENTRADA",Movimientos!$R$5:$R$2001,0)),"-")</f>
        <v>-</v>
      </c>
      <c r="C267" s="3" t="str">
        <f>IFERROR(INDEX(Movimientos!$D$5:$D$2001,MATCH(A267&amp;"ENTRADA",Movimientos!$R$5:$R$2001,0)),"-")</f>
        <v>-</v>
      </c>
      <c r="D267" s="3" t="str">
        <f>IFERROR(INDEX(Movimientos!$E$5:$E$2001,MATCH(A267&amp;"ENTRADA",Movimientos!$R$5:$R$2001,0)),"-")</f>
        <v>-</v>
      </c>
      <c r="E267" s="3" t="str">
        <f>IFERROR(INDEX(Movimientos!$F$5:$F$2001,MATCH(A267&amp;"ENTRADA",Movimientos!$R$5:$R$2001,0)),"-")</f>
        <v>-</v>
      </c>
      <c r="F267" s="3" t="str">
        <f>IFERROR(INDEX(Movimientos!$G$5:$G$2001,MATCH(A267&amp;"ENTRADA",Movimientos!$R$5:$R$2001,0)),"-")</f>
        <v>-</v>
      </c>
      <c r="G267" s="3" t="str">
        <f>IFERROR(INDEX(Movimientos!$L$5:$L$2001,MATCH(A267&amp;"ENTRADA",Movimientos!$R$5:$R$2001,0)),"-")</f>
        <v>-</v>
      </c>
      <c r="H267" s="19" t="str">
        <f>IFERROR(IF(INDEX(Movimientos!$M$5:$M$2001,MATCH(A267&amp;"ENTRADA",Movimientos!$R$5:$R$2001,0))=0,"S/D",INDEX(Movimientos!$M$5:$M$2001,MATCH(A267&amp;"ENTRADA",Movimientos!$R$5:$R$2001,0))),"S/D")</f>
        <v>S/D</v>
      </c>
      <c r="I267" s="16" t="str">
        <f t="shared" ref="I267:I330" ca="1" si="10">IF(OR(A267="",H267="S/D"),"S/D",H267-TODAY())</f>
        <v>S/D</v>
      </c>
      <c r="J267" s="6">
        <f>IF(A267="","",SUMIFS(Movimientos!$K:$K,Movimientos!$H:$H,A267))</f>
        <v>0</v>
      </c>
      <c r="K267" s="14" t="str">
        <f t="shared" ref="K267:K330" ca="1" si="11">IF(A267="","",IF(H267="S/D","OK",IF(H267&lt;TODAY(),"VENCIDO",IF(J267&lt;=0,"SIN STOCK",IF(I267&gt;=180,"OK","PRÓXIMO A VENCER")))))</f>
        <v>OK</v>
      </c>
    </row>
    <row r="268" spans="1:11">
      <c r="A268" s="18" t="s">
        <v>2341</v>
      </c>
      <c r="B268" s="3" t="str">
        <f>IFERROR(INDEX(Movimientos!$C$5:$C$2001,MATCH(A268&amp;"ENTRADA",Movimientos!$R$5:$R$2001,0)),"-")</f>
        <v>-</v>
      </c>
      <c r="C268" s="3" t="str">
        <f>IFERROR(INDEX(Movimientos!$D$5:$D$2001,MATCH(A268&amp;"ENTRADA",Movimientos!$R$5:$R$2001,0)),"-")</f>
        <v>-</v>
      </c>
      <c r="D268" s="3" t="str">
        <f>IFERROR(INDEX(Movimientos!$E$5:$E$2001,MATCH(A268&amp;"ENTRADA",Movimientos!$R$5:$R$2001,0)),"-")</f>
        <v>-</v>
      </c>
      <c r="E268" s="3" t="str">
        <f>IFERROR(INDEX(Movimientos!$F$5:$F$2001,MATCH(A268&amp;"ENTRADA",Movimientos!$R$5:$R$2001,0)),"-")</f>
        <v>-</v>
      </c>
      <c r="F268" s="3" t="str">
        <f>IFERROR(INDEX(Movimientos!$G$5:$G$2001,MATCH(A268&amp;"ENTRADA",Movimientos!$R$5:$R$2001,0)),"-")</f>
        <v>-</v>
      </c>
      <c r="G268" s="3" t="str">
        <f>IFERROR(INDEX(Movimientos!$L$5:$L$2001,MATCH(A268&amp;"ENTRADA",Movimientos!$R$5:$R$2001,0)),"-")</f>
        <v>-</v>
      </c>
      <c r="H268" s="19" t="str">
        <f>IFERROR(IF(INDEX(Movimientos!$M$5:$M$2001,MATCH(A268&amp;"ENTRADA",Movimientos!$R$5:$R$2001,0))=0,"S/D",INDEX(Movimientos!$M$5:$M$2001,MATCH(A268&amp;"ENTRADA",Movimientos!$R$5:$R$2001,0))),"S/D")</f>
        <v>S/D</v>
      </c>
      <c r="I268" s="16" t="str">
        <f t="shared" ca="1" si="10"/>
        <v>S/D</v>
      </c>
      <c r="J268" s="6">
        <f>IF(A268="","",SUMIFS(Movimientos!$K:$K,Movimientos!$H:$H,A268))</f>
        <v>0</v>
      </c>
      <c r="K268" s="14" t="str">
        <f t="shared" ca="1" si="11"/>
        <v>OK</v>
      </c>
    </row>
    <row r="269" spans="1:11">
      <c r="A269" s="18" t="s">
        <v>2342</v>
      </c>
      <c r="B269" s="3" t="str">
        <f>IFERROR(INDEX(Movimientos!$C$5:$C$2001,MATCH(A269&amp;"ENTRADA",Movimientos!$R$5:$R$2001,0)),"-")</f>
        <v>-</v>
      </c>
      <c r="C269" s="3" t="str">
        <f>IFERROR(INDEX(Movimientos!$D$5:$D$2001,MATCH(A269&amp;"ENTRADA",Movimientos!$R$5:$R$2001,0)),"-")</f>
        <v>-</v>
      </c>
      <c r="D269" s="3" t="str">
        <f>IFERROR(INDEX(Movimientos!$E$5:$E$2001,MATCH(A269&amp;"ENTRADA",Movimientos!$R$5:$R$2001,0)),"-")</f>
        <v>-</v>
      </c>
      <c r="E269" s="3" t="str">
        <f>IFERROR(INDEX(Movimientos!$F$5:$F$2001,MATCH(A269&amp;"ENTRADA",Movimientos!$R$5:$R$2001,0)),"-")</f>
        <v>-</v>
      </c>
      <c r="F269" s="3" t="str">
        <f>IFERROR(INDEX(Movimientos!$G$5:$G$2001,MATCH(A269&amp;"ENTRADA",Movimientos!$R$5:$R$2001,0)),"-")</f>
        <v>-</v>
      </c>
      <c r="G269" s="3" t="str">
        <f>IFERROR(INDEX(Movimientos!$L$5:$L$2001,MATCH(A269&amp;"ENTRADA",Movimientos!$R$5:$R$2001,0)),"-")</f>
        <v>-</v>
      </c>
      <c r="H269" s="19" t="str">
        <f>IFERROR(IF(INDEX(Movimientos!$M$5:$M$2001,MATCH(A269&amp;"ENTRADA",Movimientos!$R$5:$R$2001,0))=0,"S/D",INDEX(Movimientos!$M$5:$M$2001,MATCH(A269&amp;"ENTRADA",Movimientos!$R$5:$R$2001,0))),"S/D")</f>
        <v>S/D</v>
      </c>
      <c r="I269" s="16" t="str">
        <f t="shared" ca="1" si="10"/>
        <v>S/D</v>
      </c>
      <c r="J269" s="6">
        <f>IF(A269="","",SUMIFS(Movimientos!$K:$K,Movimientos!$H:$H,A269))</f>
        <v>0</v>
      </c>
      <c r="K269" s="14" t="str">
        <f t="shared" ca="1" si="11"/>
        <v>OK</v>
      </c>
    </row>
    <row r="270" spans="1:11">
      <c r="A270" s="18" t="s">
        <v>2343</v>
      </c>
      <c r="B270" s="3" t="str">
        <f>IFERROR(INDEX(Movimientos!$C$5:$C$2001,MATCH(A270&amp;"ENTRADA",Movimientos!$R$5:$R$2001,0)),"-")</f>
        <v>-</v>
      </c>
      <c r="C270" s="3" t="str">
        <f>IFERROR(INDEX(Movimientos!$D$5:$D$2001,MATCH(A270&amp;"ENTRADA",Movimientos!$R$5:$R$2001,0)),"-")</f>
        <v>-</v>
      </c>
      <c r="D270" s="3" t="str">
        <f>IFERROR(INDEX(Movimientos!$E$5:$E$2001,MATCH(A270&amp;"ENTRADA",Movimientos!$R$5:$R$2001,0)),"-")</f>
        <v>-</v>
      </c>
      <c r="E270" s="3" t="str">
        <f>IFERROR(INDEX(Movimientos!$F$5:$F$2001,MATCH(A270&amp;"ENTRADA",Movimientos!$R$5:$R$2001,0)),"-")</f>
        <v>-</v>
      </c>
      <c r="F270" s="3" t="str">
        <f>IFERROR(INDEX(Movimientos!$G$5:$G$2001,MATCH(A270&amp;"ENTRADA",Movimientos!$R$5:$R$2001,0)),"-")</f>
        <v>-</v>
      </c>
      <c r="G270" s="3" t="str">
        <f>IFERROR(INDEX(Movimientos!$L$5:$L$2001,MATCH(A270&amp;"ENTRADA",Movimientos!$R$5:$R$2001,0)),"-")</f>
        <v>-</v>
      </c>
      <c r="H270" s="19" t="str">
        <f>IFERROR(IF(INDEX(Movimientos!$M$5:$M$2001,MATCH(A270&amp;"ENTRADA",Movimientos!$R$5:$R$2001,0))=0,"S/D",INDEX(Movimientos!$M$5:$M$2001,MATCH(A270&amp;"ENTRADA",Movimientos!$R$5:$R$2001,0))),"S/D")</f>
        <v>S/D</v>
      </c>
      <c r="I270" s="16" t="str">
        <f t="shared" ca="1" si="10"/>
        <v>S/D</v>
      </c>
      <c r="J270" s="6">
        <f>IF(A270="","",SUMIFS(Movimientos!$K:$K,Movimientos!$H:$H,A270))</f>
        <v>0</v>
      </c>
      <c r="K270" s="14" t="str">
        <f t="shared" ca="1" si="11"/>
        <v>OK</v>
      </c>
    </row>
    <row r="271" spans="1:11">
      <c r="A271" s="18" t="s">
        <v>2344</v>
      </c>
      <c r="B271" s="3" t="str">
        <f>IFERROR(INDEX(Movimientos!$C$5:$C$2001,MATCH(A271&amp;"ENTRADA",Movimientos!$R$5:$R$2001,0)),"-")</f>
        <v>-</v>
      </c>
      <c r="C271" s="3" t="str">
        <f>IFERROR(INDEX(Movimientos!$D$5:$D$2001,MATCH(A271&amp;"ENTRADA",Movimientos!$R$5:$R$2001,0)),"-")</f>
        <v>-</v>
      </c>
      <c r="D271" s="3" t="str">
        <f>IFERROR(INDEX(Movimientos!$E$5:$E$2001,MATCH(A271&amp;"ENTRADA",Movimientos!$R$5:$R$2001,0)),"-")</f>
        <v>-</v>
      </c>
      <c r="E271" s="3" t="str">
        <f>IFERROR(INDEX(Movimientos!$F$5:$F$2001,MATCH(A271&amp;"ENTRADA",Movimientos!$R$5:$R$2001,0)),"-")</f>
        <v>-</v>
      </c>
      <c r="F271" s="3" t="str">
        <f>IFERROR(INDEX(Movimientos!$G$5:$G$2001,MATCH(A271&amp;"ENTRADA",Movimientos!$R$5:$R$2001,0)),"-")</f>
        <v>-</v>
      </c>
      <c r="G271" s="3" t="str">
        <f>IFERROR(INDEX(Movimientos!$L$5:$L$2001,MATCH(A271&amp;"ENTRADA",Movimientos!$R$5:$R$2001,0)),"-")</f>
        <v>-</v>
      </c>
      <c r="H271" s="19" t="str">
        <f>IFERROR(IF(INDEX(Movimientos!$M$5:$M$2001,MATCH(A271&amp;"ENTRADA",Movimientos!$R$5:$R$2001,0))=0,"S/D",INDEX(Movimientos!$M$5:$M$2001,MATCH(A271&amp;"ENTRADA",Movimientos!$R$5:$R$2001,0))),"S/D")</f>
        <v>S/D</v>
      </c>
      <c r="I271" s="16" t="str">
        <f t="shared" ca="1" si="10"/>
        <v>S/D</v>
      </c>
      <c r="J271" s="6">
        <f>IF(A271="","",SUMIFS(Movimientos!$K:$K,Movimientos!$H:$H,A271))</f>
        <v>0</v>
      </c>
      <c r="K271" s="14" t="str">
        <f t="shared" ca="1" si="11"/>
        <v>OK</v>
      </c>
    </row>
    <row r="272" spans="1:11">
      <c r="A272" s="18" t="s">
        <v>2345</v>
      </c>
      <c r="B272" s="3" t="str">
        <f>IFERROR(INDEX(Movimientos!$C$5:$C$2001,MATCH(A272&amp;"ENTRADA",Movimientos!$R$5:$R$2001,0)),"-")</f>
        <v>-</v>
      </c>
      <c r="C272" s="3" t="str">
        <f>IFERROR(INDEX(Movimientos!$D$5:$D$2001,MATCH(A272&amp;"ENTRADA",Movimientos!$R$5:$R$2001,0)),"-")</f>
        <v>-</v>
      </c>
      <c r="D272" s="3" t="str">
        <f>IFERROR(INDEX(Movimientos!$E$5:$E$2001,MATCH(A272&amp;"ENTRADA",Movimientos!$R$5:$R$2001,0)),"-")</f>
        <v>-</v>
      </c>
      <c r="E272" s="3" t="str">
        <f>IFERROR(INDEX(Movimientos!$F$5:$F$2001,MATCH(A272&amp;"ENTRADA",Movimientos!$R$5:$R$2001,0)),"-")</f>
        <v>-</v>
      </c>
      <c r="F272" s="3" t="str">
        <f>IFERROR(INDEX(Movimientos!$G$5:$G$2001,MATCH(A272&amp;"ENTRADA",Movimientos!$R$5:$R$2001,0)),"-")</f>
        <v>-</v>
      </c>
      <c r="G272" s="3" t="str">
        <f>IFERROR(INDEX(Movimientos!$L$5:$L$2001,MATCH(A272&amp;"ENTRADA",Movimientos!$R$5:$R$2001,0)),"-")</f>
        <v>-</v>
      </c>
      <c r="H272" s="19" t="str">
        <f>IFERROR(IF(INDEX(Movimientos!$M$5:$M$2001,MATCH(A272&amp;"ENTRADA",Movimientos!$R$5:$R$2001,0))=0,"S/D",INDEX(Movimientos!$M$5:$M$2001,MATCH(A272&amp;"ENTRADA",Movimientos!$R$5:$R$2001,0))),"S/D")</f>
        <v>S/D</v>
      </c>
      <c r="I272" s="16" t="str">
        <f t="shared" ca="1" si="10"/>
        <v>S/D</v>
      </c>
      <c r="J272" s="6">
        <f>IF(A272="","",SUMIFS(Movimientos!$K:$K,Movimientos!$H:$H,A272))</f>
        <v>0</v>
      </c>
      <c r="K272" s="14" t="str">
        <f t="shared" ca="1" si="11"/>
        <v>OK</v>
      </c>
    </row>
    <row r="273" spans="1:11">
      <c r="A273" s="18" t="s">
        <v>2346</v>
      </c>
      <c r="B273" s="3" t="str">
        <f>IFERROR(INDEX(Movimientos!$C$5:$C$2001,MATCH(A273&amp;"ENTRADA",Movimientos!$R$5:$R$2001,0)),"-")</f>
        <v>-</v>
      </c>
      <c r="C273" s="3" t="str">
        <f>IFERROR(INDEX(Movimientos!$D$5:$D$2001,MATCH(A273&amp;"ENTRADA",Movimientos!$R$5:$R$2001,0)),"-")</f>
        <v>-</v>
      </c>
      <c r="D273" s="3" t="str">
        <f>IFERROR(INDEX(Movimientos!$E$5:$E$2001,MATCH(A273&amp;"ENTRADA",Movimientos!$R$5:$R$2001,0)),"-")</f>
        <v>-</v>
      </c>
      <c r="E273" s="3" t="str">
        <f>IFERROR(INDEX(Movimientos!$F$5:$F$2001,MATCH(A273&amp;"ENTRADA",Movimientos!$R$5:$R$2001,0)),"-")</f>
        <v>-</v>
      </c>
      <c r="F273" s="3" t="str">
        <f>IFERROR(INDEX(Movimientos!$G$5:$G$2001,MATCH(A273&amp;"ENTRADA",Movimientos!$R$5:$R$2001,0)),"-")</f>
        <v>-</v>
      </c>
      <c r="G273" s="3" t="str">
        <f>IFERROR(INDEX(Movimientos!$L$5:$L$2001,MATCH(A273&amp;"ENTRADA",Movimientos!$R$5:$R$2001,0)),"-")</f>
        <v>-</v>
      </c>
      <c r="H273" s="19" t="str">
        <f>IFERROR(IF(INDEX(Movimientos!$M$5:$M$2001,MATCH(A273&amp;"ENTRADA",Movimientos!$R$5:$R$2001,0))=0,"S/D",INDEX(Movimientos!$M$5:$M$2001,MATCH(A273&amp;"ENTRADA",Movimientos!$R$5:$R$2001,0))),"S/D")</f>
        <v>S/D</v>
      </c>
      <c r="I273" s="16" t="str">
        <f t="shared" ca="1" si="10"/>
        <v>S/D</v>
      </c>
      <c r="J273" s="6">
        <f>IF(A273="","",SUMIFS(Movimientos!$K:$K,Movimientos!$H:$H,A273))</f>
        <v>0</v>
      </c>
      <c r="K273" s="14" t="str">
        <f t="shared" ca="1" si="11"/>
        <v>OK</v>
      </c>
    </row>
    <row r="274" spans="1:11">
      <c r="A274" s="18" t="s">
        <v>2347</v>
      </c>
      <c r="B274" s="3" t="str">
        <f>IFERROR(INDEX(Movimientos!$C$5:$C$2001,MATCH(A274&amp;"ENTRADA",Movimientos!$R$5:$R$2001,0)),"-")</f>
        <v>-</v>
      </c>
      <c r="C274" s="3" t="str">
        <f>IFERROR(INDEX(Movimientos!$D$5:$D$2001,MATCH(A274&amp;"ENTRADA",Movimientos!$R$5:$R$2001,0)),"-")</f>
        <v>-</v>
      </c>
      <c r="D274" s="3" t="str">
        <f>IFERROR(INDEX(Movimientos!$E$5:$E$2001,MATCH(A274&amp;"ENTRADA",Movimientos!$R$5:$R$2001,0)),"-")</f>
        <v>-</v>
      </c>
      <c r="E274" s="3" t="str">
        <f>IFERROR(INDEX(Movimientos!$F$5:$F$2001,MATCH(A274&amp;"ENTRADA",Movimientos!$R$5:$R$2001,0)),"-")</f>
        <v>-</v>
      </c>
      <c r="F274" s="3" t="str">
        <f>IFERROR(INDEX(Movimientos!$G$5:$G$2001,MATCH(A274&amp;"ENTRADA",Movimientos!$R$5:$R$2001,0)),"-")</f>
        <v>-</v>
      </c>
      <c r="G274" s="3" t="str">
        <f>IFERROR(INDEX(Movimientos!$L$5:$L$2001,MATCH(A274&amp;"ENTRADA",Movimientos!$R$5:$R$2001,0)),"-")</f>
        <v>-</v>
      </c>
      <c r="H274" s="19" t="str">
        <f>IFERROR(IF(INDEX(Movimientos!$M$5:$M$2001,MATCH(A274&amp;"ENTRADA",Movimientos!$R$5:$R$2001,0))=0,"S/D",INDEX(Movimientos!$M$5:$M$2001,MATCH(A274&amp;"ENTRADA",Movimientos!$R$5:$R$2001,0))),"S/D")</f>
        <v>S/D</v>
      </c>
      <c r="I274" s="16" t="str">
        <f t="shared" ca="1" si="10"/>
        <v>S/D</v>
      </c>
      <c r="J274" s="6">
        <f>IF(A274="","",SUMIFS(Movimientos!$K:$K,Movimientos!$H:$H,A274))</f>
        <v>0</v>
      </c>
      <c r="K274" s="14" t="str">
        <f t="shared" ca="1" si="11"/>
        <v>OK</v>
      </c>
    </row>
    <row r="275" spans="1:11">
      <c r="A275" s="18" t="s">
        <v>2348</v>
      </c>
      <c r="B275" s="3" t="str">
        <f>IFERROR(INDEX(Movimientos!$C$5:$C$2001,MATCH(A275&amp;"ENTRADA",Movimientos!$R$5:$R$2001,0)),"-")</f>
        <v>-</v>
      </c>
      <c r="C275" s="3" t="str">
        <f>IFERROR(INDEX(Movimientos!$D$5:$D$2001,MATCH(A275&amp;"ENTRADA",Movimientos!$R$5:$R$2001,0)),"-")</f>
        <v>-</v>
      </c>
      <c r="D275" s="3" t="str">
        <f>IFERROR(INDEX(Movimientos!$E$5:$E$2001,MATCH(A275&amp;"ENTRADA",Movimientos!$R$5:$R$2001,0)),"-")</f>
        <v>-</v>
      </c>
      <c r="E275" s="3" t="str">
        <f>IFERROR(INDEX(Movimientos!$F$5:$F$2001,MATCH(A275&amp;"ENTRADA",Movimientos!$R$5:$R$2001,0)),"-")</f>
        <v>-</v>
      </c>
      <c r="F275" s="3" t="str">
        <f>IFERROR(INDEX(Movimientos!$G$5:$G$2001,MATCH(A275&amp;"ENTRADA",Movimientos!$R$5:$R$2001,0)),"-")</f>
        <v>-</v>
      </c>
      <c r="G275" s="3" t="str">
        <f>IFERROR(INDEX(Movimientos!$L$5:$L$2001,MATCH(A275&amp;"ENTRADA",Movimientos!$R$5:$R$2001,0)),"-")</f>
        <v>-</v>
      </c>
      <c r="H275" s="19" t="str">
        <f>IFERROR(IF(INDEX(Movimientos!$M$5:$M$2001,MATCH(A275&amp;"ENTRADA",Movimientos!$R$5:$R$2001,0))=0,"S/D",INDEX(Movimientos!$M$5:$M$2001,MATCH(A275&amp;"ENTRADA",Movimientos!$R$5:$R$2001,0))),"S/D")</f>
        <v>S/D</v>
      </c>
      <c r="I275" s="16" t="str">
        <f t="shared" ca="1" si="10"/>
        <v>S/D</v>
      </c>
      <c r="J275" s="6">
        <f>IF(A275="","",SUMIFS(Movimientos!$K:$K,Movimientos!$H:$H,A275))</f>
        <v>0</v>
      </c>
      <c r="K275" s="14" t="str">
        <f t="shared" ca="1" si="11"/>
        <v>OK</v>
      </c>
    </row>
    <row r="276" spans="1:11">
      <c r="A276" s="18" t="s">
        <v>2349</v>
      </c>
      <c r="B276" s="3" t="str">
        <f>IFERROR(INDEX(Movimientos!$C$5:$C$2001,MATCH(A276&amp;"ENTRADA",Movimientos!$R$5:$R$2001,0)),"-")</f>
        <v>-</v>
      </c>
      <c r="C276" s="3" t="str">
        <f>IFERROR(INDEX(Movimientos!$D$5:$D$2001,MATCH(A276&amp;"ENTRADA",Movimientos!$R$5:$R$2001,0)),"-")</f>
        <v>-</v>
      </c>
      <c r="D276" s="3" t="str">
        <f>IFERROR(INDEX(Movimientos!$E$5:$E$2001,MATCH(A276&amp;"ENTRADA",Movimientos!$R$5:$R$2001,0)),"-")</f>
        <v>-</v>
      </c>
      <c r="E276" s="3" t="str">
        <f>IFERROR(INDEX(Movimientos!$F$5:$F$2001,MATCH(A276&amp;"ENTRADA",Movimientos!$R$5:$R$2001,0)),"-")</f>
        <v>-</v>
      </c>
      <c r="F276" s="3" t="str">
        <f>IFERROR(INDEX(Movimientos!$G$5:$G$2001,MATCH(A276&amp;"ENTRADA",Movimientos!$R$5:$R$2001,0)),"-")</f>
        <v>-</v>
      </c>
      <c r="G276" s="3" t="str">
        <f>IFERROR(INDEX(Movimientos!$L$5:$L$2001,MATCH(A276&amp;"ENTRADA",Movimientos!$R$5:$R$2001,0)),"-")</f>
        <v>-</v>
      </c>
      <c r="H276" s="19" t="str">
        <f>IFERROR(IF(INDEX(Movimientos!$M$5:$M$2001,MATCH(A276&amp;"ENTRADA",Movimientos!$R$5:$R$2001,0))=0,"S/D",INDEX(Movimientos!$M$5:$M$2001,MATCH(A276&amp;"ENTRADA",Movimientos!$R$5:$R$2001,0))),"S/D")</f>
        <v>S/D</v>
      </c>
      <c r="I276" s="16" t="str">
        <f t="shared" ca="1" si="10"/>
        <v>S/D</v>
      </c>
      <c r="J276" s="6">
        <f>IF(A276="","",SUMIFS(Movimientos!$K:$K,Movimientos!$H:$H,A276))</f>
        <v>0</v>
      </c>
      <c r="K276" s="14" t="str">
        <f t="shared" ca="1" si="11"/>
        <v>OK</v>
      </c>
    </row>
    <row r="277" spans="1:11">
      <c r="A277" s="18" t="s">
        <v>2350</v>
      </c>
      <c r="B277" s="3" t="str">
        <f>IFERROR(INDEX(Movimientos!$C$5:$C$2001,MATCH(A277&amp;"ENTRADA",Movimientos!$R$5:$R$2001,0)),"-")</f>
        <v>-</v>
      </c>
      <c r="C277" s="3" t="str">
        <f>IFERROR(INDEX(Movimientos!$D$5:$D$2001,MATCH(A277&amp;"ENTRADA",Movimientos!$R$5:$R$2001,0)),"-")</f>
        <v>-</v>
      </c>
      <c r="D277" s="3" t="str">
        <f>IFERROR(INDEX(Movimientos!$E$5:$E$2001,MATCH(A277&amp;"ENTRADA",Movimientos!$R$5:$R$2001,0)),"-")</f>
        <v>-</v>
      </c>
      <c r="E277" s="3" t="str">
        <f>IFERROR(INDEX(Movimientos!$F$5:$F$2001,MATCH(A277&amp;"ENTRADA",Movimientos!$R$5:$R$2001,0)),"-")</f>
        <v>-</v>
      </c>
      <c r="F277" s="3" t="str">
        <f>IFERROR(INDEX(Movimientos!$G$5:$G$2001,MATCH(A277&amp;"ENTRADA",Movimientos!$R$5:$R$2001,0)),"-")</f>
        <v>-</v>
      </c>
      <c r="G277" s="3" t="str">
        <f>IFERROR(INDEX(Movimientos!$L$5:$L$2001,MATCH(A277&amp;"ENTRADA",Movimientos!$R$5:$R$2001,0)),"-")</f>
        <v>-</v>
      </c>
      <c r="H277" s="19" t="str">
        <f>IFERROR(IF(INDEX(Movimientos!$M$5:$M$2001,MATCH(A277&amp;"ENTRADA",Movimientos!$R$5:$R$2001,0))=0,"S/D",INDEX(Movimientos!$M$5:$M$2001,MATCH(A277&amp;"ENTRADA",Movimientos!$R$5:$R$2001,0))),"S/D")</f>
        <v>S/D</v>
      </c>
      <c r="I277" s="16" t="str">
        <f t="shared" ca="1" si="10"/>
        <v>S/D</v>
      </c>
      <c r="J277" s="6">
        <f>IF(A277="","",SUMIFS(Movimientos!$K:$K,Movimientos!$H:$H,A277))</f>
        <v>0</v>
      </c>
      <c r="K277" s="14" t="str">
        <f t="shared" ca="1" si="11"/>
        <v>OK</v>
      </c>
    </row>
    <row r="278" spans="1:11">
      <c r="A278" s="18" t="s">
        <v>2351</v>
      </c>
      <c r="B278" s="3" t="str">
        <f>IFERROR(INDEX(Movimientos!$C$5:$C$2001,MATCH(A278&amp;"ENTRADA",Movimientos!$R$5:$R$2001,0)),"-")</f>
        <v>-</v>
      </c>
      <c r="C278" s="3" t="str">
        <f>IFERROR(INDEX(Movimientos!$D$5:$D$2001,MATCH(A278&amp;"ENTRADA",Movimientos!$R$5:$R$2001,0)),"-")</f>
        <v>-</v>
      </c>
      <c r="D278" s="3" t="str">
        <f>IFERROR(INDEX(Movimientos!$E$5:$E$2001,MATCH(A278&amp;"ENTRADA",Movimientos!$R$5:$R$2001,0)),"-")</f>
        <v>-</v>
      </c>
      <c r="E278" s="3" t="str">
        <f>IFERROR(INDEX(Movimientos!$F$5:$F$2001,MATCH(A278&amp;"ENTRADA",Movimientos!$R$5:$R$2001,0)),"-")</f>
        <v>-</v>
      </c>
      <c r="F278" s="3" t="str">
        <f>IFERROR(INDEX(Movimientos!$G$5:$G$2001,MATCH(A278&amp;"ENTRADA",Movimientos!$R$5:$R$2001,0)),"-")</f>
        <v>-</v>
      </c>
      <c r="G278" s="3" t="str">
        <f>IFERROR(INDEX(Movimientos!$L$5:$L$2001,MATCH(A278&amp;"ENTRADA",Movimientos!$R$5:$R$2001,0)),"-")</f>
        <v>-</v>
      </c>
      <c r="H278" s="19" t="str">
        <f>IFERROR(IF(INDEX(Movimientos!$M$5:$M$2001,MATCH(A278&amp;"ENTRADA",Movimientos!$R$5:$R$2001,0))=0,"S/D",INDEX(Movimientos!$M$5:$M$2001,MATCH(A278&amp;"ENTRADA",Movimientos!$R$5:$R$2001,0))),"S/D")</f>
        <v>S/D</v>
      </c>
      <c r="I278" s="16" t="str">
        <f t="shared" ca="1" si="10"/>
        <v>S/D</v>
      </c>
      <c r="J278" s="6">
        <f>IF(A278="","",SUMIFS(Movimientos!$K:$K,Movimientos!$H:$H,A278))</f>
        <v>0</v>
      </c>
      <c r="K278" s="14" t="str">
        <f t="shared" ca="1" si="11"/>
        <v>OK</v>
      </c>
    </row>
    <row r="279" spans="1:11">
      <c r="A279" s="18" t="s">
        <v>2352</v>
      </c>
      <c r="B279" s="3" t="str">
        <f>IFERROR(INDEX(Movimientos!$C$5:$C$2001,MATCH(A279&amp;"ENTRADA",Movimientos!$R$5:$R$2001,0)),"-")</f>
        <v>-</v>
      </c>
      <c r="C279" s="3" t="str">
        <f>IFERROR(INDEX(Movimientos!$D$5:$D$2001,MATCH(A279&amp;"ENTRADA",Movimientos!$R$5:$R$2001,0)),"-")</f>
        <v>-</v>
      </c>
      <c r="D279" s="3" t="str">
        <f>IFERROR(INDEX(Movimientos!$E$5:$E$2001,MATCH(A279&amp;"ENTRADA",Movimientos!$R$5:$R$2001,0)),"-")</f>
        <v>-</v>
      </c>
      <c r="E279" s="3" t="str">
        <f>IFERROR(INDEX(Movimientos!$F$5:$F$2001,MATCH(A279&amp;"ENTRADA",Movimientos!$R$5:$R$2001,0)),"-")</f>
        <v>-</v>
      </c>
      <c r="F279" s="3" t="str">
        <f>IFERROR(INDEX(Movimientos!$G$5:$G$2001,MATCH(A279&amp;"ENTRADA",Movimientos!$R$5:$R$2001,0)),"-")</f>
        <v>-</v>
      </c>
      <c r="G279" s="3" t="str">
        <f>IFERROR(INDEX(Movimientos!$L$5:$L$2001,MATCH(A279&amp;"ENTRADA",Movimientos!$R$5:$R$2001,0)),"-")</f>
        <v>-</v>
      </c>
      <c r="H279" s="19" t="str">
        <f>IFERROR(IF(INDEX(Movimientos!$M$5:$M$2001,MATCH(A279&amp;"ENTRADA",Movimientos!$R$5:$R$2001,0))=0,"S/D",INDEX(Movimientos!$M$5:$M$2001,MATCH(A279&amp;"ENTRADA",Movimientos!$R$5:$R$2001,0))),"S/D")</f>
        <v>S/D</v>
      </c>
      <c r="I279" s="16" t="str">
        <f t="shared" ca="1" si="10"/>
        <v>S/D</v>
      </c>
      <c r="J279" s="6">
        <f>IF(A279="","",SUMIFS(Movimientos!$K:$K,Movimientos!$H:$H,A279))</f>
        <v>0</v>
      </c>
      <c r="K279" s="14" t="str">
        <f t="shared" ca="1" si="11"/>
        <v>OK</v>
      </c>
    </row>
    <row r="280" spans="1:11">
      <c r="A280" s="18" t="s">
        <v>2353</v>
      </c>
      <c r="B280" s="3" t="str">
        <f>IFERROR(INDEX(Movimientos!$C$5:$C$2001,MATCH(A280&amp;"ENTRADA",Movimientos!$R$5:$R$2001,0)),"-")</f>
        <v>-</v>
      </c>
      <c r="C280" s="3" t="str">
        <f>IFERROR(INDEX(Movimientos!$D$5:$D$2001,MATCH(A280&amp;"ENTRADA",Movimientos!$R$5:$R$2001,0)),"-")</f>
        <v>-</v>
      </c>
      <c r="D280" s="3" t="str">
        <f>IFERROR(INDEX(Movimientos!$E$5:$E$2001,MATCH(A280&amp;"ENTRADA",Movimientos!$R$5:$R$2001,0)),"-")</f>
        <v>-</v>
      </c>
      <c r="E280" s="3" t="str">
        <f>IFERROR(INDEX(Movimientos!$F$5:$F$2001,MATCH(A280&amp;"ENTRADA",Movimientos!$R$5:$R$2001,0)),"-")</f>
        <v>-</v>
      </c>
      <c r="F280" s="3" t="str">
        <f>IFERROR(INDEX(Movimientos!$G$5:$G$2001,MATCH(A280&amp;"ENTRADA",Movimientos!$R$5:$R$2001,0)),"-")</f>
        <v>-</v>
      </c>
      <c r="G280" s="3" t="str">
        <f>IFERROR(INDEX(Movimientos!$L$5:$L$2001,MATCH(A280&amp;"ENTRADA",Movimientos!$R$5:$R$2001,0)),"-")</f>
        <v>-</v>
      </c>
      <c r="H280" s="19" t="str">
        <f>IFERROR(IF(INDEX(Movimientos!$M$5:$M$2001,MATCH(A280&amp;"ENTRADA",Movimientos!$R$5:$R$2001,0))=0,"S/D",INDEX(Movimientos!$M$5:$M$2001,MATCH(A280&amp;"ENTRADA",Movimientos!$R$5:$R$2001,0))),"S/D")</f>
        <v>S/D</v>
      </c>
      <c r="I280" s="16" t="str">
        <f t="shared" ca="1" si="10"/>
        <v>S/D</v>
      </c>
      <c r="J280" s="6">
        <f>IF(A280="","",SUMIFS(Movimientos!$K:$K,Movimientos!$H:$H,A280))</f>
        <v>0</v>
      </c>
      <c r="K280" s="14" t="str">
        <f t="shared" ca="1" si="11"/>
        <v>OK</v>
      </c>
    </row>
    <row r="281" spans="1:11">
      <c r="A281" s="18" t="s">
        <v>2354</v>
      </c>
      <c r="B281" s="3" t="str">
        <f>IFERROR(INDEX(Movimientos!$C$5:$C$2001,MATCH(A281&amp;"ENTRADA",Movimientos!$R$5:$R$2001,0)),"-")</f>
        <v>-</v>
      </c>
      <c r="C281" s="3" t="str">
        <f>IFERROR(INDEX(Movimientos!$D$5:$D$2001,MATCH(A281&amp;"ENTRADA",Movimientos!$R$5:$R$2001,0)),"-")</f>
        <v>-</v>
      </c>
      <c r="D281" s="3" t="str">
        <f>IFERROR(INDEX(Movimientos!$E$5:$E$2001,MATCH(A281&amp;"ENTRADA",Movimientos!$R$5:$R$2001,0)),"-")</f>
        <v>-</v>
      </c>
      <c r="E281" s="3" t="str">
        <f>IFERROR(INDEX(Movimientos!$F$5:$F$2001,MATCH(A281&amp;"ENTRADA",Movimientos!$R$5:$R$2001,0)),"-")</f>
        <v>-</v>
      </c>
      <c r="F281" s="3" t="str">
        <f>IFERROR(INDEX(Movimientos!$G$5:$G$2001,MATCH(A281&amp;"ENTRADA",Movimientos!$R$5:$R$2001,0)),"-")</f>
        <v>-</v>
      </c>
      <c r="G281" s="3" t="str">
        <f>IFERROR(INDEX(Movimientos!$L$5:$L$2001,MATCH(A281&amp;"ENTRADA",Movimientos!$R$5:$R$2001,0)),"-")</f>
        <v>-</v>
      </c>
      <c r="H281" s="19" t="str">
        <f>IFERROR(IF(INDEX(Movimientos!$M$5:$M$2001,MATCH(A281&amp;"ENTRADA",Movimientos!$R$5:$R$2001,0))=0,"S/D",INDEX(Movimientos!$M$5:$M$2001,MATCH(A281&amp;"ENTRADA",Movimientos!$R$5:$R$2001,0))),"S/D")</f>
        <v>S/D</v>
      </c>
      <c r="I281" s="16" t="str">
        <f t="shared" ca="1" si="10"/>
        <v>S/D</v>
      </c>
      <c r="J281" s="6">
        <f>IF(A281="","",SUMIFS(Movimientos!$K:$K,Movimientos!$H:$H,A281))</f>
        <v>0</v>
      </c>
      <c r="K281" s="14" t="str">
        <f t="shared" ca="1" si="11"/>
        <v>OK</v>
      </c>
    </row>
    <row r="282" spans="1:11">
      <c r="A282" s="18" t="s">
        <v>2355</v>
      </c>
      <c r="B282" s="3" t="str">
        <f>IFERROR(INDEX(Movimientos!$C$5:$C$2001,MATCH(A282&amp;"ENTRADA",Movimientos!$R$5:$R$2001,0)),"-")</f>
        <v>-</v>
      </c>
      <c r="C282" s="3" t="str">
        <f>IFERROR(INDEX(Movimientos!$D$5:$D$2001,MATCH(A282&amp;"ENTRADA",Movimientos!$R$5:$R$2001,0)),"-")</f>
        <v>-</v>
      </c>
      <c r="D282" s="3" t="str">
        <f>IFERROR(INDEX(Movimientos!$E$5:$E$2001,MATCH(A282&amp;"ENTRADA",Movimientos!$R$5:$R$2001,0)),"-")</f>
        <v>-</v>
      </c>
      <c r="E282" s="3" t="str">
        <f>IFERROR(INDEX(Movimientos!$F$5:$F$2001,MATCH(A282&amp;"ENTRADA",Movimientos!$R$5:$R$2001,0)),"-")</f>
        <v>-</v>
      </c>
      <c r="F282" s="3" t="str">
        <f>IFERROR(INDEX(Movimientos!$G$5:$G$2001,MATCH(A282&amp;"ENTRADA",Movimientos!$R$5:$R$2001,0)),"-")</f>
        <v>-</v>
      </c>
      <c r="G282" s="3" t="str">
        <f>IFERROR(INDEX(Movimientos!$L$5:$L$2001,MATCH(A282&amp;"ENTRADA",Movimientos!$R$5:$R$2001,0)),"-")</f>
        <v>-</v>
      </c>
      <c r="H282" s="19" t="str">
        <f>IFERROR(IF(INDEX(Movimientos!$M$5:$M$2001,MATCH(A282&amp;"ENTRADA",Movimientos!$R$5:$R$2001,0))=0,"S/D",INDEX(Movimientos!$M$5:$M$2001,MATCH(A282&amp;"ENTRADA",Movimientos!$R$5:$R$2001,0))),"S/D")</f>
        <v>S/D</v>
      </c>
      <c r="I282" s="16" t="str">
        <f t="shared" ca="1" si="10"/>
        <v>S/D</v>
      </c>
      <c r="J282" s="6">
        <f>IF(A282="","",SUMIFS(Movimientos!$K:$K,Movimientos!$H:$H,A282))</f>
        <v>0</v>
      </c>
      <c r="K282" s="14" t="str">
        <f t="shared" ca="1" si="11"/>
        <v>OK</v>
      </c>
    </row>
    <row r="283" spans="1:11">
      <c r="A283" s="18" t="s">
        <v>2356</v>
      </c>
      <c r="B283" s="3" t="str">
        <f>IFERROR(INDEX(Movimientos!$C$5:$C$2001,MATCH(A283&amp;"ENTRADA",Movimientos!$R$5:$R$2001,0)),"-")</f>
        <v>-</v>
      </c>
      <c r="C283" s="3" t="str">
        <f>IFERROR(INDEX(Movimientos!$D$5:$D$2001,MATCH(A283&amp;"ENTRADA",Movimientos!$R$5:$R$2001,0)),"-")</f>
        <v>-</v>
      </c>
      <c r="D283" s="3" t="str">
        <f>IFERROR(INDEX(Movimientos!$E$5:$E$2001,MATCH(A283&amp;"ENTRADA",Movimientos!$R$5:$R$2001,0)),"-")</f>
        <v>-</v>
      </c>
      <c r="E283" s="3" t="str">
        <f>IFERROR(INDEX(Movimientos!$F$5:$F$2001,MATCH(A283&amp;"ENTRADA",Movimientos!$R$5:$R$2001,0)),"-")</f>
        <v>-</v>
      </c>
      <c r="F283" s="3" t="str">
        <f>IFERROR(INDEX(Movimientos!$G$5:$G$2001,MATCH(A283&amp;"ENTRADA",Movimientos!$R$5:$R$2001,0)),"-")</f>
        <v>-</v>
      </c>
      <c r="G283" s="3" t="str">
        <f>IFERROR(INDEX(Movimientos!$L$5:$L$2001,MATCH(A283&amp;"ENTRADA",Movimientos!$R$5:$R$2001,0)),"-")</f>
        <v>-</v>
      </c>
      <c r="H283" s="19" t="str">
        <f>IFERROR(IF(INDEX(Movimientos!$M$5:$M$2001,MATCH(A283&amp;"ENTRADA",Movimientos!$R$5:$R$2001,0))=0,"S/D",INDEX(Movimientos!$M$5:$M$2001,MATCH(A283&amp;"ENTRADA",Movimientos!$R$5:$R$2001,0))),"S/D")</f>
        <v>S/D</v>
      </c>
      <c r="I283" s="16" t="str">
        <f t="shared" ca="1" si="10"/>
        <v>S/D</v>
      </c>
      <c r="J283" s="6">
        <f>IF(A283="","",SUMIFS(Movimientos!$K:$K,Movimientos!$H:$H,A283))</f>
        <v>0</v>
      </c>
      <c r="K283" s="14" t="str">
        <f t="shared" ca="1" si="11"/>
        <v>OK</v>
      </c>
    </row>
    <row r="284" spans="1:11">
      <c r="A284" s="18" t="s">
        <v>2357</v>
      </c>
      <c r="B284" s="3" t="str">
        <f>IFERROR(INDEX(Movimientos!$C$5:$C$2001,MATCH(A284&amp;"ENTRADA",Movimientos!$R$5:$R$2001,0)),"-")</f>
        <v>-</v>
      </c>
      <c r="C284" s="3" t="str">
        <f>IFERROR(INDEX(Movimientos!$D$5:$D$2001,MATCH(A284&amp;"ENTRADA",Movimientos!$R$5:$R$2001,0)),"-")</f>
        <v>-</v>
      </c>
      <c r="D284" s="3" t="str">
        <f>IFERROR(INDEX(Movimientos!$E$5:$E$2001,MATCH(A284&amp;"ENTRADA",Movimientos!$R$5:$R$2001,0)),"-")</f>
        <v>-</v>
      </c>
      <c r="E284" s="3" t="str">
        <f>IFERROR(INDEX(Movimientos!$F$5:$F$2001,MATCH(A284&amp;"ENTRADA",Movimientos!$R$5:$R$2001,0)),"-")</f>
        <v>-</v>
      </c>
      <c r="F284" s="3" t="str">
        <f>IFERROR(INDEX(Movimientos!$G$5:$G$2001,MATCH(A284&amp;"ENTRADA",Movimientos!$R$5:$R$2001,0)),"-")</f>
        <v>-</v>
      </c>
      <c r="G284" s="3" t="str">
        <f>IFERROR(INDEX(Movimientos!$L$5:$L$2001,MATCH(A284&amp;"ENTRADA",Movimientos!$R$5:$R$2001,0)),"-")</f>
        <v>-</v>
      </c>
      <c r="H284" s="19" t="str">
        <f>IFERROR(IF(INDEX(Movimientos!$M$5:$M$2001,MATCH(A284&amp;"ENTRADA",Movimientos!$R$5:$R$2001,0))=0,"S/D",INDEX(Movimientos!$M$5:$M$2001,MATCH(A284&amp;"ENTRADA",Movimientos!$R$5:$R$2001,0))),"S/D")</f>
        <v>S/D</v>
      </c>
      <c r="I284" s="16" t="str">
        <f t="shared" ca="1" si="10"/>
        <v>S/D</v>
      </c>
      <c r="J284" s="6">
        <f>IF(A284="","",SUMIFS(Movimientos!$K:$K,Movimientos!$H:$H,A284))</f>
        <v>0</v>
      </c>
      <c r="K284" s="14" t="str">
        <f t="shared" ca="1" si="11"/>
        <v>OK</v>
      </c>
    </row>
    <row r="285" spans="1:11">
      <c r="A285" s="18" t="s">
        <v>2358</v>
      </c>
      <c r="B285" s="3" t="str">
        <f>IFERROR(INDEX(Movimientos!$C$5:$C$2001,MATCH(A285&amp;"ENTRADA",Movimientos!$R$5:$R$2001,0)),"-")</f>
        <v>-</v>
      </c>
      <c r="C285" s="3" t="str">
        <f>IFERROR(INDEX(Movimientos!$D$5:$D$2001,MATCH(A285&amp;"ENTRADA",Movimientos!$R$5:$R$2001,0)),"-")</f>
        <v>-</v>
      </c>
      <c r="D285" s="3" t="str">
        <f>IFERROR(INDEX(Movimientos!$E$5:$E$2001,MATCH(A285&amp;"ENTRADA",Movimientos!$R$5:$R$2001,0)),"-")</f>
        <v>-</v>
      </c>
      <c r="E285" s="3" t="str">
        <f>IFERROR(INDEX(Movimientos!$F$5:$F$2001,MATCH(A285&amp;"ENTRADA",Movimientos!$R$5:$R$2001,0)),"-")</f>
        <v>-</v>
      </c>
      <c r="F285" s="3" t="str">
        <f>IFERROR(INDEX(Movimientos!$G$5:$G$2001,MATCH(A285&amp;"ENTRADA",Movimientos!$R$5:$R$2001,0)),"-")</f>
        <v>-</v>
      </c>
      <c r="G285" s="3" t="str">
        <f>IFERROR(INDEX(Movimientos!$L$5:$L$2001,MATCH(A285&amp;"ENTRADA",Movimientos!$R$5:$R$2001,0)),"-")</f>
        <v>-</v>
      </c>
      <c r="H285" s="19" t="str">
        <f>IFERROR(IF(INDEX(Movimientos!$M$5:$M$2001,MATCH(A285&amp;"ENTRADA",Movimientos!$R$5:$R$2001,0))=0,"S/D",INDEX(Movimientos!$M$5:$M$2001,MATCH(A285&amp;"ENTRADA",Movimientos!$R$5:$R$2001,0))),"S/D")</f>
        <v>S/D</v>
      </c>
      <c r="I285" s="16" t="str">
        <f t="shared" ca="1" si="10"/>
        <v>S/D</v>
      </c>
      <c r="J285" s="6">
        <f>IF(A285="","",SUMIFS(Movimientos!$K:$K,Movimientos!$H:$H,A285))</f>
        <v>0</v>
      </c>
      <c r="K285" s="14" t="str">
        <f t="shared" ca="1" si="11"/>
        <v>OK</v>
      </c>
    </row>
    <row r="286" spans="1:11">
      <c r="A286" s="18" t="s">
        <v>2359</v>
      </c>
      <c r="B286" s="3" t="str">
        <f>IFERROR(INDEX(Movimientos!$C$5:$C$2001,MATCH(A286&amp;"ENTRADA",Movimientos!$R$5:$R$2001,0)),"-")</f>
        <v>-</v>
      </c>
      <c r="C286" s="3" t="str">
        <f>IFERROR(INDEX(Movimientos!$D$5:$D$2001,MATCH(A286&amp;"ENTRADA",Movimientos!$R$5:$R$2001,0)),"-")</f>
        <v>-</v>
      </c>
      <c r="D286" s="3" t="str">
        <f>IFERROR(INDEX(Movimientos!$E$5:$E$2001,MATCH(A286&amp;"ENTRADA",Movimientos!$R$5:$R$2001,0)),"-")</f>
        <v>-</v>
      </c>
      <c r="E286" s="3" t="str">
        <f>IFERROR(INDEX(Movimientos!$F$5:$F$2001,MATCH(A286&amp;"ENTRADA",Movimientos!$R$5:$R$2001,0)),"-")</f>
        <v>-</v>
      </c>
      <c r="F286" s="3" t="str">
        <f>IFERROR(INDEX(Movimientos!$G$5:$G$2001,MATCH(A286&amp;"ENTRADA",Movimientos!$R$5:$R$2001,0)),"-")</f>
        <v>-</v>
      </c>
      <c r="G286" s="3" t="str">
        <f>IFERROR(INDEX(Movimientos!$L$5:$L$2001,MATCH(A286&amp;"ENTRADA",Movimientos!$R$5:$R$2001,0)),"-")</f>
        <v>-</v>
      </c>
      <c r="H286" s="19" t="str">
        <f>IFERROR(IF(INDEX(Movimientos!$M$5:$M$2001,MATCH(A286&amp;"ENTRADA",Movimientos!$R$5:$R$2001,0))=0,"S/D",INDEX(Movimientos!$M$5:$M$2001,MATCH(A286&amp;"ENTRADA",Movimientos!$R$5:$R$2001,0))),"S/D")</f>
        <v>S/D</v>
      </c>
      <c r="I286" s="16" t="str">
        <f t="shared" ca="1" si="10"/>
        <v>S/D</v>
      </c>
      <c r="J286" s="6">
        <f>IF(A286="","",SUMIFS(Movimientos!$K:$K,Movimientos!$H:$H,A286))</f>
        <v>0</v>
      </c>
      <c r="K286" s="14" t="str">
        <f t="shared" ca="1" si="11"/>
        <v>OK</v>
      </c>
    </row>
    <row r="287" spans="1:11">
      <c r="A287" s="18" t="s">
        <v>2360</v>
      </c>
      <c r="B287" s="3" t="str">
        <f>IFERROR(INDEX(Movimientos!$C$5:$C$2001,MATCH(A287&amp;"ENTRADA",Movimientos!$R$5:$R$2001,0)),"-")</f>
        <v>-</v>
      </c>
      <c r="C287" s="3" t="str">
        <f>IFERROR(INDEX(Movimientos!$D$5:$D$2001,MATCH(A287&amp;"ENTRADA",Movimientos!$R$5:$R$2001,0)),"-")</f>
        <v>-</v>
      </c>
      <c r="D287" s="3" t="str">
        <f>IFERROR(INDEX(Movimientos!$E$5:$E$2001,MATCH(A287&amp;"ENTRADA",Movimientos!$R$5:$R$2001,0)),"-")</f>
        <v>-</v>
      </c>
      <c r="E287" s="3" t="str">
        <f>IFERROR(INDEX(Movimientos!$F$5:$F$2001,MATCH(A287&amp;"ENTRADA",Movimientos!$R$5:$R$2001,0)),"-")</f>
        <v>-</v>
      </c>
      <c r="F287" s="3" t="str">
        <f>IFERROR(INDEX(Movimientos!$G$5:$G$2001,MATCH(A287&amp;"ENTRADA",Movimientos!$R$5:$R$2001,0)),"-")</f>
        <v>-</v>
      </c>
      <c r="G287" s="3" t="str">
        <f>IFERROR(INDEX(Movimientos!$L$5:$L$2001,MATCH(A287&amp;"ENTRADA",Movimientos!$R$5:$R$2001,0)),"-")</f>
        <v>-</v>
      </c>
      <c r="H287" s="19" t="str">
        <f>IFERROR(IF(INDEX(Movimientos!$M$5:$M$2001,MATCH(A287&amp;"ENTRADA",Movimientos!$R$5:$R$2001,0))=0,"S/D",INDEX(Movimientos!$M$5:$M$2001,MATCH(A287&amp;"ENTRADA",Movimientos!$R$5:$R$2001,0))),"S/D")</f>
        <v>S/D</v>
      </c>
      <c r="I287" s="16" t="str">
        <f t="shared" ca="1" si="10"/>
        <v>S/D</v>
      </c>
      <c r="J287" s="6">
        <f>IF(A287="","",SUMIFS(Movimientos!$K:$K,Movimientos!$H:$H,A287))</f>
        <v>0</v>
      </c>
      <c r="K287" s="14" t="str">
        <f t="shared" ca="1" si="11"/>
        <v>OK</v>
      </c>
    </row>
    <row r="288" spans="1:11">
      <c r="A288" s="18" t="s">
        <v>2361</v>
      </c>
      <c r="B288" s="3" t="str">
        <f>IFERROR(INDEX(Movimientos!$C$5:$C$2001,MATCH(A288&amp;"ENTRADA",Movimientos!$R$5:$R$2001,0)),"-")</f>
        <v>-</v>
      </c>
      <c r="C288" s="3" t="str">
        <f>IFERROR(INDEX(Movimientos!$D$5:$D$2001,MATCH(A288&amp;"ENTRADA",Movimientos!$R$5:$R$2001,0)),"-")</f>
        <v>-</v>
      </c>
      <c r="D288" s="3" t="str">
        <f>IFERROR(INDEX(Movimientos!$E$5:$E$2001,MATCH(A288&amp;"ENTRADA",Movimientos!$R$5:$R$2001,0)),"-")</f>
        <v>-</v>
      </c>
      <c r="E288" s="3" t="str">
        <f>IFERROR(INDEX(Movimientos!$F$5:$F$2001,MATCH(A288&amp;"ENTRADA",Movimientos!$R$5:$R$2001,0)),"-")</f>
        <v>-</v>
      </c>
      <c r="F288" s="3" t="str">
        <f>IFERROR(INDEX(Movimientos!$G$5:$G$2001,MATCH(A288&amp;"ENTRADA",Movimientos!$R$5:$R$2001,0)),"-")</f>
        <v>-</v>
      </c>
      <c r="G288" s="3" t="str">
        <f>IFERROR(INDEX(Movimientos!$L$5:$L$2001,MATCH(A288&amp;"ENTRADA",Movimientos!$R$5:$R$2001,0)),"-")</f>
        <v>-</v>
      </c>
      <c r="H288" s="19" t="str">
        <f>IFERROR(IF(INDEX(Movimientos!$M$5:$M$2001,MATCH(A288&amp;"ENTRADA",Movimientos!$R$5:$R$2001,0))=0,"S/D",INDEX(Movimientos!$M$5:$M$2001,MATCH(A288&amp;"ENTRADA",Movimientos!$R$5:$R$2001,0))),"S/D")</f>
        <v>S/D</v>
      </c>
      <c r="I288" s="16" t="str">
        <f t="shared" ca="1" si="10"/>
        <v>S/D</v>
      </c>
      <c r="J288" s="6">
        <f>IF(A288="","",SUMIFS(Movimientos!$K:$K,Movimientos!$H:$H,A288))</f>
        <v>0</v>
      </c>
      <c r="K288" s="14" t="str">
        <f t="shared" ca="1" si="11"/>
        <v>OK</v>
      </c>
    </row>
    <row r="289" spans="1:11">
      <c r="A289" s="18" t="s">
        <v>2362</v>
      </c>
      <c r="B289" s="3" t="str">
        <f>IFERROR(INDEX(Movimientos!$C$5:$C$2001,MATCH(A289&amp;"ENTRADA",Movimientos!$R$5:$R$2001,0)),"-")</f>
        <v>-</v>
      </c>
      <c r="C289" s="3" t="str">
        <f>IFERROR(INDEX(Movimientos!$D$5:$D$2001,MATCH(A289&amp;"ENTRADA",Movimientos!$R$5:$R$2001,0)),"-")</f>
        <v>-</v>
      </c>
      <c r="D289" s="3" t="str">
        <f>IFERROR(INDEX(Movimientos!$E$5:$E$2001,MATCH(A289&amp;"ENTRADA",Movimientos!$R$5:$R$2001,0)),"-")</f>
        <v>-</v>
      </c>
      <c r="E289" s="3" t="str">
        <f>IFERROR(INDEX(Movimientos!$F$5:$F$2001,MATCH(A289&amp;"ENTRADA",Movimientos!$R$5:$R$2001,0)),"-")</f>
        <v>-</v>
      </c>
      <c r="F289" s="3" t="str">
        <f>IFERROR(INDEX(Movimientos!$G$5:$G$2001,MATCH(A289&amp;"ENTRADA",Movimientos!$R$5:$R$2001,0)),"-")</f>
        <v>-</v>
      </c>
      <c r="G289" s="3" t="str">
        <f>IFERROR(INDEX(Movimientos!$L$5:$L$2001,MATCH(A289&amp;"ENTRADA",Movimientos!$R$5:$R$2001,0)),"-")</f>
        <v>-</v>
      </c>
      <c r="H289" s="19" t="str">
        <f>IFERROR(IF(INDEX(Movimientos!$M$5:$M$2001,MATCH(A289&amp;"ENTRADA",Movimientos!$R$5:$R$2001,0))=0,"S/D",INDEX(Movimientos!$M$5:$M$2001,MATCH(A289&amp;"ENTRADA",Movimientos!$R$5:$R$2001,0))),"S/D")</f>
        <v>S/D</v>
      </c>
      <c r="I289" s="16" t="str">
        <f t="shared" ca="1" si="10"/>
        <v>S/D</v>
      </c>
      <c r="J289" s="6">
        <f>IF(A289="","",SUMIFS(Movimientos!$K:$K,Movimientos!$H:$H,A289))</f>
        <v>0</v>
      </c>
      <c r="K289" s="14" t="str">
        <f t="shared" ca="1" si="11"/>
        <v>OK</v>
      </c>
    </row>
    <row r="290" spans="1:11">
      <c r="A290" s="18" t="s">
        <v>2363</v>
      </c>
      <c r="B290" s="3" t="str">
        <f>IFERROR(INDEX(Movimientos!$C$5:$C$2001,MATCH(A290&amp;"ENTRADA",Movimientos!$R$5:$R$2001,0)),"-")</f>
        <v>-</v>
      </c>
      <c r="C290" s="3" t="str">
        <f>IFERROR(INDEX(Movimientos!$D$5:$D$2001,MATCH(A290&amp;"ENTRADA",Movimientos!$R$5:$R$2001,0)),"-")</f>
        <v>-</v>
      </c>
      <c r="D290" s="3" t="str">
        <f>IFERROR(INDEX(Movimientos!$E$5:$E$2001,MATCH(A290&amp;"ENTRADA",Movimientos!$R$5:$R$2001,0)),"-")</f>
        <v>-</v>
      </c>
      <c r="E290" s="3" t="str">
        <f>IFERROR(INDEX(Movimientos!$F$5:$F$2001,MATCH(A290&amp;"ENTRADA",Movimientos!$R$5:$R$2001,0)),"-")</f>
        <v>-</v>
      </c>
      <c r="F290" s="3" t="str">
        <f>IFERROR(INDEX(Movimientos!$G$5:$G$2001,MATCH(A290&amp;"ENTRADA",Movimientos!$R$5:$R$2001,0)),"-")</f>
        <v>-</v>
      </c>
      <c r="G290" s="3" t="str">
        <f>IFERROR(INDEX(Movimientos!$L$5:$L$2001,MATCH(A290&amp;"ENTRADA",Movimientos!$R$5:$R$2001,0)),"-")</f>
        <v>-</v>
      </c>
      <c r="H290" s="19" t="str">
        <f>IFERROR(IF(INDEX(Movimientos!$M$5:$M$2001,MATCH(A290&amp;"ENTRADA",Movimientos!$R$5:$R$2001,0))=0,"S/D",INDEX(Movimientos!$M$5:$M$2001,MATCH(A290&amp;"ENTRADA",Movimientos!$R$5:$R$2001,0))),"S/D")</f>
        <v>S/D</v>
      </c>
      <c r="I290" s="16" t="str">
        <f t="shared" ca="1" si="10"/>
        <v>S/D</v>
      </c>
      <c r="J290" s="6">
        <f>IF(A290="","",SUMIFS(Movimientos!$K:$K,Movimientos!$H:$H,A290))</f>
        <v>0</v>
      </c>
      <c r="K290" s="14" t="str">
        <f t="shared" ca="1" si="11"/>
        <v>OK</v>
      </c>
    </row>
    <row r="291" spans="1:11">
      <c r="A291" s="18" t="s">
        <v>2364</v>
      </c>
      <c r="B291" s="3" t="str">
        <f>IFERROR(INDEX(Movimientos!$C$5:$C$2001,MATCH(A291&amp;"ENTRADA",Movimientos!$R$5:$R$2001,0)),"-")</f>
        <v>-</v>
      </c>
      <c r="C291" s="3" t="str">
        <f>IFERROR(INDEX(Movimientos!$D$5:$D$2001,MATCH(A291&amp;"ENTRADA",Movimientos!$R$5:$R$2001,0)),"-")</f>
        <v>-</v>
      </c>
      <c r="D291" s="3" t="str">
        <f>IFERROR(INDEX(Movimientos!$E$5:$E$2001,MATCH(A291&amp;"ENTRADA",Movimientos!$R$5:$R$2001,0)),"-")</f>
        <v>-</v>
      </c>
      <c r="E291" s="3" t="str">
        <f>IFERROR(INDEX(Movimientos!$F$5:$F$2001,MATCH(A291&amp;"ENTRADA",Movimientos!$R$5:$R$2001,0)),"-")</f>
        <v>-</v>
      </c>
      <c r="F291" s="3" t="str">
        <f>IFERROR(INDEX(Movimientos!$G$5:$G$2001,MATCH(A291&amp;"ENTRADA",Movimientos!$R$5:$R$2001,0)),"-")</f>
        <v>-</v>
      </c>
      <c r="G291" s="3" t="str">
        <f>IFERROR(INDEX(Movimientos!$L$5:$L$2001,MATCH(A291&amp;"ENTRADA",Movimientos!$R$5:$R$2001,0)),"-")</f>
        <v>-</v>
      </c>
      <c r="H291" s="19" t="str">
        <f>IFERROR(IF(INDEX(Movimientos!$M$5:$M$2001,MATCH(A291&amp;"ENTRADA",Movimientos!$R$5:$R$2001,0))=0,"S/D",INDEX(Movimientos!$M$5:$M$2001,MATCH(A291&amp;"ENTRADA",Movimientos!$R$5:$R$2001,0))),"S/D")</f>
        <v>S/D</v>
      </c>
      <c r="I291" s="16" t="str">
        <f t="shared" ca="1" si="10"/>
        <v>S/D</v>
      </c>
      <c r="J291" s="6">
        <f>IF(A291="","",SUMIFS(Movimientos!$K:$K,Movimientos!$H:$H,A291))</f>
        <v>0</v>
      </c>
      <c r="K291" s="14" t="str">
        <f t="shared" ca="1" si="11"/>
        <v>OK</v>
      </c>
    </row>
    <row r="292" spans="1:11">
      <c r="A292" s="18" t="s">
        <v>2365</v>
      </c>
      <c r="B292" s="3" t="str">
        <f>IFERROR(INDEX(Movimientos!$C$5:$C$2001,MATCH(A292&amp;"ENTRADA",Movimientos!$R$5:$R$2001,0)),"-")</f>
        <v>-</v>
      </c>
      <c r="C292" s="3" t="str">
        <f>IFERROR(INDEX(Movimientos!$D$5:$D$2001,MATCH(A292&amp;"ENTRADA",Movimientos!$R$5:$R$2001,0)),"-")</f>
        <v>-</v>
      </c>
      <c r="D292" s="3" t="str">
        <f>IFERROR(INDEX(Movimientos!$E$5:$E$2001,MATCH(A292&amp;"ENTRADA",Movimientos!$R$5:$R$2001,0)),"-")</f>
        <v>-</v>
      </c>
      <c r="E292" s="3" t="str">
        <f>IFERROR(INDEX(Movimientos!$F$5:$F$2001,MATCH(A292&amp;"ENTRADA",Movimientos!$R$5:$R$2001,0)),"-")</f>
        <v>-</v>
      </c>
      <c r="F292" s="3" t="str">
        <f>IFERROR(INDEX(Movimientos!$G$5:$G$2001,MATCH(A292&amp;"ENTRADA",Movimientos!$R$5:$R$2001,0)),"-")</f>
        <v>-</v>
      </c>
      <c r="G292" s="3" t="str">
        <f>IFERROR(INDEX(Movimientos!$L$5:$L$2001,MATCH(A292&amp;"ENTRADA",Movimientos!$R$5:$R$2001,0)),"-")</f>
        <v>-</v>
      </c>
      <c r="H292" s="19" t="str">
        <f>IFERROR(IF(INDEX(Movimientos!$M$5:$M$2001,MATCH(A292&amp;"ENTRADA",Movimientos!$R$5:$R$2001,0))=0,"S/D",INDEX(Movimientos!$M$5:$M$2001,MATCH(A292&amp;"ENTRADA",Movimientos!$R$5:$R$2001,0))),"S/D")</f>
        <v>S/D</v>
      </c>
      <c r="I292" s="16" t="str">
        <f t="shared" ca="1" si="10"/>
        <v>S/D</v>
      </c>
      <c r="J292" s="6">
        <f>IF(A292="","",SUMIFS(Movimientos!$K:$K,Movimientos!$H:$H,A292))</f>
        <v>0</v>
      </c>
      <c r="K292" s="14" t="str">
        <f t="shared" ca="1" si="11"/>
        <v>OK</v>
      </c>
    </row>
    <row r="293" spans="1:11">
      <c r="A293" s="18" t="s">
        <v>2366</v>
      </c>
      <c r="B293" s="3" t="str">
        <f>IFERROR(INDEX(Movimientos!$C$5:$C$2001,MATCH(A293&amp;"ENTRADA",Movimientos!$R$5:$R$2001,0)),"-")</f>
        <v>-</v>
      </c>
      <c r="C293" s="3" t="str">
        <f>IFERROR(INDEX(Movimientos!$D$5:$D$2001,MATCH(A293&amp;"ENTRADA",Movimientos!$R$5:$R$2001,0)),"-")</f>
        <v>-</v>
      </c>
      <c r="D293" s="3" t="str">
        <f>IFERROR(INDEX(Movimientos!$E$5:$E$2001,MATCH(A293&amp;"ENTRADA",Movimientos!$R$5:$R$2001,0)),"-")</f>
        <v>-</v>
      </c>
      <c r="E293" s="3" t="str">
        <f>IFERROR(INDEX(Movimientos!$F$5:$F$2001,MATCH(A293&amp;"ENTRADA",Movimientos!$R$5:$R$2001,0)),"-")</f>
        <v>-</v>
      </c>
      <c r="F293" s="3" t="str">
        <f>IFERROR(INDEX(Movimientos!$G$5:$G$2001,MATCH(A293&amp;"ENTRADA",Movimientos!$R$5:$R$2001,0)),"-")</f>
        <v>-</v>
      </c>
      <c r="G293" s="3" t="str">
        <f>IFERROR(INDEX(Movimientos!$L$5:$L$2001,MATCH(A293&amp;"ENTRADA",Movimientos!$R$5:$R$2001,0)),"-")</f>
        <v>-</v>
      </c>
      <c r="H293" s="19" t="str">
        <f>IFERROR(IF(INDEX(Movimientos!$M$5:$M$2001,MATCH(A293&amp;"ENTRADA",Movimientos!$R$5:$R$2001,0))=0,"S/D",INDEX(Movimientos!$M$5:$M$2001,MATCH(A293&amp;"ENTRADA",Movimientos!$R$5:$R$2001,0))),"S/D")</f>
        <v>S/D</v>
      </c>
      <c r="I293" s="16" t="str">
        <f t="shared" ca="1" si="10"/>
        <v>S/D</v>
      </c>
      <c r="J293" s="6">
        <f>IF(A293="","",SUMIFS(Movimientos!$K:$K,Movimientos!$H:$H,A293))</f>
        <v>0</v>
      </c>
      <c r="K293" s="14" t="str">
        <f t="shared" ca="1" si="11"/>
        <v>OK</v>
      </c>
    </row>
    <row r="294" spans="1:11">
      <c r="A294" s="18" t="s">
        <v>2367</v>
      </c>
      <c r="B294" s="3" t="str">
        <f>IFERROR(INDEX(Movimientos!$C$5:$C$2001,MATCH(A294&amp;"ENTRADA",Movimientos!$R$5:$R$2001,0)),"-")</f>
        <v>-</v>
      </c>
      <c r="C294" s="3" t="str">
        <f>IFERROR(INDEX(Movimientos!$D$5:$D$2001,MATCH(A294&amp;"ENTRADA",Movimientos!$R$5:$R$2001,0)),"-")</f>
        <v>-</v>
      </c>
      <c r="D294" s="3" t="str">
        <f>IFERROR(INDEX(Movimientos!$E$5:$E$2001,MATCH(A294&amp;"ENTRADA",Movimientos!$R$5:$R$2001,0)),"-")</f>
        <v>-</v>
      </c>
      <c r="E294" s="3" t="str">
        <f>IFERROR(INDEX(Movimientos!$F$5:$F$2001,MATCH(A294&amp;"ENTRADA",Movimientos!$R$5:$R$2001,0)),"-")</f>
        <v>-</v>
      </c>
      <c r="F294" s="3" t="str">
        <f>IFERROR(INDEX(Movimientos!$G$5:$G$2001,MATCH(A294&amp;"ENTRADA",Movimientos!$R$5:$R$2001,0)),"-")</f>
        <v>-</v>
      </c>
      <c r="G294" s="3" t="str">
        <f>IFERROR(INDEX(Movimientos!$L$5:$L$2001,MATCH(A294&amp;"ENTRADA",Movimientos!$R$5:$R$2001,0)),"-")</f>
        <v>-</v>
      </c>
      <c r="H294" s="19" t="str">
        <f>IFERROR(IF(INDEX(Movimientos!$M$5:$M$2001,MATCH(A294&amp;"ENTRADA",Movimientos!$R$5:$R$2001,0))=0,"S/D",INDEX(Movimientos!$M$5:$M$2001,MATCH(A294&amp;"ENTRADA",Movimientos!$R$5:$R$2001,0))),"S/D")</f>
        <v>S/D</v>
      </c>
      <c r="I294" s="16" t="str">
        <f t="shared" ca="1" si="10"/>
        <v>S/D</v>
      </c>
      <c r="J294" s="6">
        <f>IF(A294="","",SUMIFS(Movimientos!$K:$K,Movimientos!$H:$H,A294))</f>
        <v>0</v>
      </c>
      <c r="K294" s="14" t="str">
        <f t="shared" ca="1" si="11"/>
        <v>OK</v>
      </c>
    </row>
    <row r="295" spans="1:11">
      <c r="A295" s="18" t="s">
        <v>2368</v>
      </c>
      <c r="B295" s="3" t="str">
        <f>IFERROR(INDEX(Movimientos!$C$5:$C$2001,MATCH(A295&amp;"ENTRADA",Movimientos!$R$5:$R$2001,0)),"-")</f>
        <v>-</v>
      </c>
      <c r="C295" s="3" t="str">
        <f>IFERROR(INDEX(Movimientos!$D$5:$D$2001,MATCH(A295&amp;"ENTRADA",Movimientos!$R$5:$R$2001,0)),"-")</f>
        <v>-</v>
      </c>
      <c r="D295" s="3" t="str">
        <f>IFERROR(INDEX(Movimientos!$E$5:$E$2001,MATCH(A295&amp;"ENTRADA",Movimientos!$R$5:$R$2001,0)),"-")</f>
        <v>-</v>
      </c>
      <c r="E295" s="3" t="str">
        <f>IFERROR(INDEX(Movimientos!$F$5:$F$2001,MATCH(A295&amp;"ENTRADA",Movimientos!$R$5:$R$2001,0)),"-")</f>
        <v>-</v>
      </c>
      <c r="F295" s="3" t="str">
        <f>IFERROR(INDEX(Movimientos!$G$5:$G$2001,MATCH(A295&amp;"ENTRADA",Movimientos!$R$5:$R$2001,0)),"-")</f>
        <v>-</v>
      </c>
      <c r="G295" s="3" t="str">
        <f>IFERROR(INDEX(Movimientos!$L$5:$L$2001,MATCH(A295&amp;"ENTRADA",Movimientos!$R$5:$R$2001,0)),"-")</f>
        <v>-</v>
      </c>
      <c r="H295" s="19" t="str">
        <f>IFERROR(IF(INDEX(Movimientos!$M$5:$M$2001,MATCH(A295&amp;"ENTRADA",Movimientos!$R$5:$R$2001,0))=0,"S/D",INDEX(Movimientos!$M$5:$M$2001,MATCH(A295&amp;"ENTRADA",Movimientos!$R$5:$R$2001,0))),"S/D")</f>
        <v>S/D</v>
      </c>
      <c r="I295" s="16" t="str">
        <f t="shared" ca="1" si="10"/>
        <v>S/D</v>
      </c>
      <c r="J295" s="6">
        <f>IF(A295="","",SUMIFS(Movimientos!$K:$K,Movimientos!$H:$H,A295))</f>
        <v>0</v>
      </c>
      <c r="K295" s="14" t="str">
        <f t="shared" ca="1" si="11"/>
        <v>OK</v>
      </c>
    </row>
    <row r="296" spans="1:11">
      <c r="A296" s="18" t="s">
        <v>2369</v>
      </c>
      <c r="B296" s="3" t="str">
        <f>IFERROR(INDEX(Movimientos!$C$5:$C$2001,MATCH(A296&amp;"ENTRADA",Movimientos!$R$5:$R$2001,0)),"-")</f>
        <v>-</v>
      </c>
      <c r="C296" s="3" t="str">
        <f>IFERROR(INDEX(Movimientos!$D$5:$D$2001,MATCH(A296&amp;"ENTRADA",Movimientos!$R$5:$R$2001,0)),"-")</f>
        <v>-</v>
      </c>
      <c r="D296" s="3" t="str">
        <f>IFERROR(INDEX(Movimientos!$E$5:$E$2001,MATCH(A296&amp;"ENTRADA",Movimientos!$R$5:$R$2001,0)),"-")</f>
        <v>-</v>
      </c>
      <c r="E296" s="3" t="str">
        <f>IFERROR(INDEX(Movimientos!$F$5:$F$2001,MATCH(A296&amp;"ENTRADA",Movimientos!$R$5:$R$2001,0)),"-")</f>
        <v>-</v>
      </c>
      <c r="F296" s="3" t="str">
        <f>IFERROR(INDEX(Movimientos!$G$5:$G$2001,MATCH(A296&amp;"ENTRADA",Movimientos!$R$5:$R$2001,0)),"-")</f>
        <v>-</v>
      </c>
      <c r="G296" s="3" t="str">
        <f>IFERROR(INDEX(Movimientos!$L$5:$L$2001,MATCH(A296&amp;"ENTRADA",Movimientos!$R$5:$R$2001,0)),"-")</f>
        <v>-</v>
      </c>
      <c r="H296" s="19" t="str">
        <f>IFERROR(IF(INDEX(Movimientos!$M$5:$M$2001,MATCH(A296&amp;"ENTRADA",Movimientos!$R$5:$R$2001,0))=0,"S/D",INDEX(Movimientos!$M$5:$M$2001,MATCH(A296&amp;"ENTRADA",Movimientos!$R$5:$R$2001,0))),"S/D")</f>
        <v>S/D</v>
      </c>
      <c r="I296" s="16" t="str">
        <f t="shared" ca="1" si="10"/>
        <v>S/D</v>
      </c>
      <c r="J296" s="6">
        <f>IF(A296="","",SUMIFS(Movimientos!$K:$K,Movimientos!$H:$H,A296))</f>
        <v>0</v>
      </c>
      <c r="K296" s="14" t="str">
        <f t="shared" ca="1" si="11"/>
        <v>OK</v>
      </c>
    </row>
    <row r="297" spans="1:11">
      <c r="A297" s="18" t="s">
        <v>2370</v>
      </c>
      <c r="B297" s="3" t="str">
        <f>IFERROR(INDEX(Movimientos!$C$5:$C$2001,MATCH(A297&amp;"ENTRADA",Movimientos!$R$5:$R$2001,0)),"-")</f>
        <v>-</v>
      </c>
      <c r="C297" s="3" t="str">
        <f>IFERROR(INDEX(Movimientos!$D$5:$D$2001,MATCH(A297&amp;"ENTRADA",Movimientos!$R$5:$R$2001,0)),"-")</f>
        <v>-</v>
      </c>
      <c r="D297" s="3" t="str">
        <f>IFERROR(INDEX(Movimientos!$E$5:$E$2001,MATCH(A297&amp;"ENTRADA",Movimientos!$R$5:$R$2001,0)),"-")</f>
        <v>-</v>
      </c>
      <c r="E297" s="3" t="str">
        <f>IFERROR(INDEX(Movimientos!$F$5:$F$2001,MATCH(A297&amp;"ENTRADA",Movimientos!$R$5:$R$2001,0)),"-")</f>
        <v>-</v>
      </c>
      <c r="F297" s="3" t="str">
        <f>IFERROR(INDEX(Movimientos!$G$5:$G$2001,MATCH(A297&amp;"ENTRADA",Movimientos!$R$5:$R$2001,0)),"-")</f>
        <v>-</v>
      </c>
      <c r="G297" s="3" t="str">
        <f>IFERROR(INDEX(Movimientos!$L$5:$L$2001,MATCH(A297&amp;"ENTRADA",Movimientos!$R$5:$R$2001,0)),"-")</f>
        <v>-</v>
      </c>
      <c r="H297" s="19" t="str">
        <f>IFERROR(IF(INDEX(Movimientos!$M$5:$M$2001,MATCH(A297&amp;"ENTRADA",Movimientos!$R$5:$R$2001,0))=0,"S/D",INDEX(Movimientos!$M$5:$M$2001,MATCH(A297&amp;"ENTRADA",Movimientos!$R$5:$R$2001,0))),"S/D")</f>
        <v>S/D</v>
      </c>
      <c r="I297" s="16" t="str">
        <f t="shared" ca="1" si="10"/>
        <v>S/D</v>
      </c>
      <c r="J297" s="6">
        <f>IF(A297="","",SUMIFS(Movimientos!$K:$K,Movimientos!$H:$H,A297))</f>
        <v>0</v>
      </c>
      <c r="K297" s="14" t="str">
        <f t="shared" ca="1" si="11"/>
        <v>OK</v>
      </c>
    </row>
    <row r="298" spans="1:11">
      <c r="A298" s="18" t="s">
        <v>2371</v>
      </c>
      <c r="B298" s="3" t="str">
        <f>IFERROR(INDEX(Movimientos!$C$5:$C$2001,MATCH(A298&amp;"ENTRADA",Movimientos!$R$5:$R$2001,0)),"-")</f>
        <v>-</v>
      </c>
      <c r="C298" s="3" t="str">
        <f>IFERROR(INDEX(Movimientos!$D$5:$D$2001,MATCH(A298&amp;"ENTRADA",Movimientos!$R$5:$R$2001,0)),"-")</f>
        <v>-</v>
      </c>
      <c r="D298" s="3" t="str">
        <f>IFERROR(INDEX(Movimientos!$E$5:$E$2001,MATCH(A298&amp;"ENTRADA",Movimientos!$R$5:$R$2001,0)),"-")</f>
        <v>-</v>
      </c>
      <c r="E298" s="3" t="str">
        <f>IFERROR(INDEX(Movimientos!$F$5:$F$2001,MATCH(A298&amp;"ENTRADA",Movimientos!$R$5:$R$2001,0)),"-")</f>
        <v>-</v>
      </c>
      <c r="F298" s="3" t="str">
        <f>IFERROR(INDEX(Movimientos!$G$5:$G$2001,MATCH(A298&amp;"ENTRADA",Movimientos!$R$5:$R$2001,0)),"-")</f>
        <v>-</v>
      </c>
      <c r="G298" s="3" t="str">
        <f>IFERROR(INDEX(Movimientos!$L$5:$L$2001,MATCH(A298&amp;"ENTRADA",Movimientos!$R$5:$R$2001,0)),"-")</f>
        <v>-</v>
      </c>
      <c r="H298" s="19" t="str">
        <f>IFERROR(IF(INDEX(Movimientos!$M$5:$M$2001,MATCH(A298&amp;"ENTRADA",Movimientos!$R$5:$R$2001,0))=0,"S/D",INDEX(Movimientos!$M$5:$M$2001,MATCH(A298&amp;"ENTRADA",Movimientos!$R$5:$R$2001,0))),"S/D")</f>
        <v>S/D</v>
      </c>
      <c r="I298" s="16" t="str">
        <f t="shared" ca="1" si="10"/>
        <v>S/D</v>
      </c>
      <c r="J298" s="6">
        <f>IF(A298="","",SUMIFS(Movimientos!$K:$K,Movimientos!$H:$H,A298))</f>
        <v>0</v>
      </c>
      <c r="K298" s="14" t="str">
        <f t="shared" ca="1" si="11"/>
        <v>OK</v>
      </c>
    </row>
    <row r="299" spans="1:11">
      <c r="A299" s="18" t="s">
        <v>2372</v>
      </c>
      <c r="B299" s="3" t="str">
        <f>IFERROR(INDEX(Movimientos!$C$5:$C$2001,MATCH(A299&amp;"ENTRADA",Movimientos!$R$5:$R$2001,0)),"-")</f>
        <v>-</v>
      </c>
      <c r="C299" s="3" t="str">
        <f>IFERROR(INDEX(Movimientos!$D$5:$D$2001,MATCH(A299&amp;"ENTRADA",Movimientos!$R$5:$R$2001,0)),"-")</f>
        <v>-</v>
      </c>
      <c r="D299" s="3" t="str">
        <f>IFERROR(INDEX(Movimientos!$E$5:$E$2001,MATCH(A299&amp;"ENTRADA",Movimientos!$R$5:$R$2001,0)),"-")</f>
        <v>-</v>
      </c>
      <c r="E299" s="3" t="str">
        <f>IFERROR(INDEX(Movimientos!$F$5:$F$2001,MATCH(A299&amp;"ENTRADA",Movimientos!$R$5:$R$2001,0)),"-")</f>
        <v>-</v>
      </c>
      <c r="F299" s="3" t="str">
        <f>IFERROR(INDEX(Movimientos!$G$5:$G$2001,MATCH(A299&amp;"ENTRADA",Movimientos!$R$5:$R$2001,0)),"-")</f>
        <v>-</v>
      </c>
      <c r="G299" s="3" t="str">
        <f>IFERROR(INDEX(Movimientos!$L$5:$L$2001,MATCH(A299&amp;"ENTRADA",Movimientos!$R$5:$R$2001,0)),"-")</f>
        <v>-</v>
      </c>
      <c r="H299" s="19" t="str">
        <f>IFERROR(IF(INDEX(Movimientos!$M$5:$M$2001,MATCH(A299&amp;"ENTRADA",Movimientos!$R$5:$R$2001,0))=0,"S/D",INDEX(Movimientos!$M$5:$M$2001,MATCH(A299&amp;"ENTRADA",Movimientos!$R$5:$R$2001,0))),"S/D")</f>
        <v>S/D</v>
      </c>
      <c r="I299" s="16" t="str">
        <f t="shared" ca="1" si="10"/>
        <v>S/D</v>
      </c>
      <c r="J299" s="6">
        <f>IF(A299="","",SUMIFS(Movimientos!$K:$K,Movimientos!$H:$H,A299))</f>
        <v>0</v>
      </c>
      <c r="K299" s="14" t="str">
        <f t="shared" ca="1" si="11"/>
        <v>OK</v>
      </c>
    </row>
    <row r="300" spans="1:11">
      <c r="A300" s="18" t="s">
        <v>2373</v>
      </c>
      <c r="B300" s="3" t="str">
        <f>IFERROR(INDEX(Movimientos!$C$5:$C$2001,MATCH(A300&amp;"ENTRADA",Movimientos!$R$5:$R$2001,0)),"-")</f>
        <v>-</v>
      </c>
      <c r="C300" s="3" t="str">
        <f>IFERROR(INDEX(Movimientos!$D$5:$D$2001,MATCH(A300&amp;"ENTRADA",Movimientos!$R$5:$R$2001,0)),"-")</f>
        <v>-</v>
      </c>
      <c r="D300" s="3" t="str">
        <f>IFERROR(INDEX(Movimientos!$E$5:$E$2001,MATCH(A300&amp;"ENTRADA",Movimientos!$R$5:$R$2001,0)),"-")</f>
        <v>-</v>
      </c>
      <c r="E300" s="3" t="str">
        <f>IFERROR(INDEX(Movimientos!$F$5:$F$2001,MATCH(A300&amp;"ENTRADA",Movimientos!$R$5:$R$2001,0)),"-")</f>
        <v>-</v>
      </c>
      <c r="F300" s="3" t="str">
        <f>IFERROR(INDEX(Movimientos!$G$5:$G$2001,MATCH(A300&amp;"ENTRADA",Movimientos!$R$5:$R$2001,0)),"-")</f>
        <v>-</v>
      </c>
      <c r="G300" s="3" t="str">
        <f>IFERROR(INDEX(Movimientos!$L$5:$L$2001,MATCH(A300&amp;"ENTRADA",Movimientos!$R$5:$R$2001,0)),"-")</f>
        <v>-</v>
      </c>
      <c r="H300" s="19" t="str">
        <f>IFERROR(IF(INDEX(Movimientos!$M$5:$M$2001,MATCH(A300&amp;"ENTRADA",Movimientos!$R$5:$R$2001,0))=0,"S/D",INDEX(Movimientos!$M$5:$M$2001,MATCH(A300&amp;"ENTRADA",Movimientos!$R$5:$R$2001,0))),"S/D")</f>
        <v>S/D</v>
      </c>
      <c r="I300" s="16" t="str">
        <f t="shared" ca="1" si="10"/>
        <v>S/D</v>
      </c>
      <c r="J300" s="6">
        <f>IF(A300="","",SUMIFS(Movimientos!$K:$K,Movimientos!$H:$H,A300))</f>
        <v>0</v>
      </c>
      <c r="K300" s="14" t="str">
        <f t="shared" ca="1" si="11"/>
        <v>OK</v>
      </c>
    </row>
    <row r="301" spans="1:11">
      <c r="A301" s="18" t="s">
        <v>2374</v>
      </c>
      <c r="B301" s="3" t="str">
        <f>IFERROR(INDEX(Movimientos!$C$5:$C$2001,MATCH(A301&amp;"ENTRADA",Movimientos!$R$5:$R$2001,0)),"-")</f>
        <v>-</v>
      </c>
      <c r="C301" s="3" t="str">
        <f>IFERROR(INDEX(Movimientos!$D$5:$D$2001,MATCH(A301&amp;"ENTRADA",Movimientos!$R$5:$R$2001,0)),"-")</f>
        <v>-</v>
      </c>
      <c r="D301" s="3" t="str">
        <f>IFERROR(INDEX(Movimientos!$E$5:$E$2001,MATCH(A301&amp;"ENTRADA",Movimientos!$R$5:$R$2001,0)),"-")</f>
        <v>-</v>
      </c>
      <c r="E301" s="3" t="str">
        <f>IFERROR(INDEX(Movimientos!$F$5:$F$2001,MATCH(A301&amp;"ENTRADA",Movimientos!$R$5:$R$2001,0)),"-")</f>
        <v>-</v>
      </c>
      <c r="F301" s="3" t="str">
        <f>IFERROR(INDEX(Movimientos!$G$5:$G$2001,MATCH(A301&amp;"ENTRADA",Movimientos!$R$5:$R$2001,0)),"-")</f>
        <v>-</v>
      </c>
      <c r="G301" s="3" t="str">
        <f>IFERROR(INDEX(Movimientos!$L$5:$L$2001,MATCH(A301&amp;"ENTRADA",Movimientos!$R$5:$R$2001,0)),"-")</f>
        <v>-</v>
      </c>
      <c r="H301" s="19" t="str">
        <f>IFERROR(IF(INDEX(Movimientos!$M$5:$M$2001,MATCH(A301&amp;"ENTRADA",Movimientos!$R$5:$R$2001,0))=0,"S/D",INDEX(Movimientos!$M$5:$M$2001,MATCH(A301&amp;"ENTRADA",Movimientos!$R$5:$R$2001,0))),"S/D")</f>
        <v>S/D</v>
      </c>
      <c r="I301" s="16" t="str">
        <f t="shared" ca="1" si="10"/>
        <v>S/D</v>
      </c>
      <c r="J301" s="6">
        <f>IF(A301="","",SUMIFS(Movimientos!$K:$K,Movimientos!$H:$H,A301))</f>
        <v>0</v>
      </c>
      <c r="K301" s="14" t="str">
        <f t="shared" ca="1" si="11"/>
        <v>OK</v>
      </c>
    </row>
    <row r="302" spans="1:11">
      <c r="A302" s="18" t="s">
        <v>2375</v>
      </c>
      <c r="B302" s="3" t="str">
        <f>IFERROR(INDEX(Movimientos!$C$5:$C$2001,MATCH(A302&amp;"ENTRADA",Movimientos!$R$5:$R$2001,0)),"-")</f>
        <v>-</v>
      </c>
      <c r="C302" s="3" t="str">
        <f>IFERROR(INDEX(Movimientos!$D$5:$D$2001,MATCH(A302&amp;"ENTRADA",Movimientos!$R$5:$R$2001,0)),"-")</f>
        <v>-</v>
      </c>
      <c r="D302" s="3" t="str">
        <f>IFERROR(INDEX(Movimientos!$E$5:$E$2001,MATCH(A302&amp;"ENTRADA",Movimientos!$R$5:$R$2001,0)),"-")</f>
        <v>-</v>
      </c>
      <c r="E302" s="3" t="str">
        <f>IFERROR(INDEX(Movimientos!$F$5:$F$2001,MATCH(A302&amp;"ENTRADA",Movimientos!$R$5:$R$2001,0)),"-")</f>
        <v>-</v>
      </c>
      <c r="F302" s="3" t="str">
        <f>IFERROR(INDEX(Movimientos!$G$5:$G$2001,MATCH(A302&amp;"ENTRADA",Movimientos!$R$5:$R$2001,0)),"-")</f>
        <v>-</v>
      </c>
      <c r="G302" s="3" t="str">
        <f>IFERROR(INDEX(Movimientos!$L$5:$L$2001,MATCH(A302&amp;"ENTRADA",Movimientos!$R$5:$R$2001,0)),"-")</f>
        <v>-</v>
      </c>
      <c r="H302" s="19" t="str">
        <f>IFERROR(IF(INDEX(Movimientos!$M$5:$M$2001,MATCH(A302&amp;"ENTRADA",Movimientos!$R$5:$R$2001,0))=0,"S/D",INDEX(Movimientos!$M$5:$M$2001,MATCH(A302&amp;"ENTRADA",Movimientos!$R$5:$R$2001,0))),"S/D")</f>
        <v>S/D</v>
      </c>
      <c r="I302" s="16" t="str">
        <f t="shared" ca="1" si="10"/>
        <v>S/D</v>
      </c>
      <c r="J302" s="6">
        <f>IF(A302="","",SUMIFS(Movimientos!$K:$K,Movimientos!$H:$H,A302))</f>
        <v>0</v>
      </c>
      <c r="K302" s="14" t="str">
        <f t="shared" ca="1" si="11"/>
        <v>OK</v>
      </c>
    </row>
    <row r="303" spans="1:11">
      <c r="A303" s="18" t="s">
        <v>2376</v>
      </c>
      <c r="B303" s="3" t="str">
        <f>IFERROR(INDEX(Movimientos!$C$5:$C$2001,MATCH(A303&amp;"ENTRADA",Movimientos!$R$5:$R$2001,0)),"-")</f>
        <v>-</v>
      </c>
      <c r="C303" s="3" t="str">
        <f>IFERROR(INDEX(Movimientos!$D$5:$D$2001,MATCH(A303&amp;"ENTRADA",Movimientos!$R$5:$R$2001,0)),"-")</f>
        <v>-</v>
      </c>
      <c r="D303" s="3" t="str">
        <f>IFERROR(INDEX(Movimientos!$E$5:$E$2001,MATCH(A303&amp;"ENTRADA",Movimientos!$R$5:$R$2001,0)),"-")</f>
        <v>-</v>
      </c>
      <c r="E303" s="3" t="str">
        <f>IFERROR(INDEX(Movimientos!$F$5:$F$2001,MATCH(A303&amp;"ENTRADA",Movimientos!$R$5:$R$2001,0)),"-")</f>
        <v>-</v>
      </c>
      <c r="F303" s="3" t="str">
        <f>IFERROR(INDEX(Movimientos!$G$5:$G$2001,MATCH(A303&amp;"ENTRADA",Movimientos!$R$5:$R$2001,0)),"-")</f>
        <v>-</v>
      </c>
      <c r="G303" s="3" t="str">
        <f>IFERROR(INDEX(Movimientos!$L$5:$L$2001,MATCH(A303&amp;"ENTRADA",Movimientos!$R$5:$R$2001,0)),"-")</f>
        <v>-</v>
      </c>
      <c r="H303" s="19" t="str">
        <f>IFERROR(IF(INDEX(Movimientos!$M$5:$M$2001,MATCH(A303&amp;"ENTRADA",Movimientos!$R$5:$R$2001,0))=0,"S/D",INDEX(Movimientos!$M$5:$M$2001,MATCH(A303&amp;"ENTRADA",Movimientos!$R$5:$R$2001,0))),"S/D")</f>
        <v>S/D</v>
      </c>
      <c r="I303" s="16" t="str">
        <f t="shared" ca="1" si="10"/>
        <v>S/D</v>
      </c>
      <c r="J303" s="6">
        <f>IF(A303="","",SUMIFS(Movimientos!$K:$K,Movimientos!$H:$H,A303))</f>
        <v>0</v>
      </c>
      <c r="K303" s="14" t="str">
        <f t="shared" ca="1" si="11"/>
        <v>OK</v>
      </c>
    </row>
    <row r="304" spans="1:11">
      <c r="A304" s="18" t="s">
        <v>2377</v>
      </c>
      <c r="B304" s="3" t="str">
        <f>IFERROR(INDEX(Movimientos!$C$5:$C$2001,MATCH(A304&amp;"ENTRADA",Movimientos!$R$5:$R$2001,0)),"-")</f>
        <v>-</v>
      </c>
      <c r="C304" s="3" t="str">
        <f>IFERROR(INDEX(Movimientos!$D$5:$D$2001,MATCH(A304&amp;"ENTRADA",Movimientos!$R$5:$R$2001,0)),"-")</f>
        <v>-</v>
      </c>
      <c r="D304" s="3" t="str">
        <f>IFERROR(INDEX(Movimientos!$E$5:$E$2001,MATCH(A304&amp;"ENTRADA",Movimientos!$R$5:$R$2001,0)),"-")</f>
        <v>-</v>
      </c>
      <c r="E304" s="3" t="str">
        <f>IFERROR(INDEX(Movimientos!$F$5:$F$2001,MATCH(A304&amp;"ENTRADA",Movimientos!$R$5:$R$2001,0)),"-")</f>
        <v>-</v>
      </c>
      <c r="F304" s="3" t="str">
        <f>IFERROR(INDEX(Movimientos!$G$5:$G$2001,MATCH(A304&amp;"ENTRADA",Movimientos!$R$5:$R$2001,0)),"-")</f>
        <v>-</v>
      </c>
      <c r="G304" s="3" t="str">
        <f>IFERROR(INDEX(Movimientos!$L$5:$L$2001,MATCH(A304&amp;"ENTRADA",Movimientos!$R$5:$R$2001,0)),"-")</f>
        <v>-</v>
      </c>
      <c r="H304" s="19" t="str">
        <f>IFERROR(IF(INDEX(Movimientos!$M$5:$M$2001,MATCH(A304&amp;"ENTRADA",Movimientos!$R$5:$R$2001,0))=0,"S/D",INDEX(Movimientos!$M$5:$M$2001,MATCH(A304&amp;"ENTRADA",Movimientos!$R$5:$R$2001,0))),"S/D")</f>
        <v>S/D</v>
      </c>
      <c r="I304" s="16" t="str">
        <f t="shared" ca="1" si="10"/>
        <v>S/D</v>
      </c>
      <c r="J304" s="6">
        <f>IF(A304="","",SUMIFS(Movimientos!$K:$K,Movimientos!$H:$H,A304))</f>
        <v>0</v>
      </c>
      <c r="K304" s="14" t="str">
        <f t="shared" ca="1" si="11"/>
        <v>OK</v>
      </c>
    </row>
    <row r="305" spans="1:11">
      <c r="A305" s="18" t="s">
        <v>2378</v>
      </c>
      <c r="B305" s="3" t="str">
        <f>IFERROR(INDEX(Movimientos!$C$5:$C$2001,MATCH(A305&amp;"ENTRADA",Movimientos!$R$5:$R$2001,0)),"-")</f>
        <v>-</v>
      </c>
      <c r="C305" s="3" t="str">
        <f>IFERROR(INDEX(Movimientos!$D$5:$D$2001,MATCH(A305&amp;"ENTRADA",Movimientos!$R$5:$R$2001,0)),"-")</f>
        <v>-</v>
      </c>
      <c r="D305" s="3" t="str">
        <f>IFERROR(INDEX(Movimientos!$E$5:$E$2001,MATCH(A305&amp;"ENTRADA",Movimientos!$R$5:$R$2001,0)),"-")</f>
        <v>-</v>
      </c>
      <c r="E305" s="3" t="str">
        <f>IFERROR(INDEX(Movimientos!$F$5:$F$2001,MATCH(A305&amp;"ENTRADA",Movimientos!$R$5:$R$2001,0)),"-")</f>
        <v>-</v>
      </c>
      <c r="F305" s="3" t="str">
        <f>IFERROR(INDEX(Movimientos!$G$5:$G$2001,MATCH(A305&amp;"ENTRADA",Movimientos!$R$5:$R$2001,0)),"-")</f>
        <v>-</v>
      </c>
      <c r="G305" s="3" t="str">
        <f>IFERROR(INDEX(Movimientos!$L$5:$L$2001,MATCH(A305&amp;"ENTRADA",Movimientos!$R$5:$R$2001,0)),"-")</f>
        <v>-</v>
      </c>
      <c r="H305" s="19" t="str">
        <f>IFERROR(IF(INDEX(Movimientos!$M$5:$M$2001,MATCH(A305&amp;"ENTRADA",Movimientos!$R$5:$R$2001,0))=0,"S/D",INDEX(Movimientos!$M$5:$M$2001,MATCH(A305&amp;"ENTRADA",Movimientos!$R$5:$R$2001,0))),"S/D")</f>
        <v>S/D</v>
      </c>
      <c r="I305" s="16" t="str">
        <f t="shared" ca="1" si="10"/>
        <v>S/D</v>
      </c>
      <c r="J305" s="6">
        <f>IF(A305="","",SUMIFS(Movimientos!$K:$K,Movimientos!$H:$H,A305))</f>
        <v>0</v>
      </c>
      <c r="K305" s="14" t="str">
        <f t="shared" ca="1" si="11"/>
        <v>OK</v>
      </c>
    </row>
    <row r="306" spans="1:11">
      <c r="A306" s="18" t="s">
        <v>2379</v>
      </c>
      <c r="B306" s="3" t="str">
        <f>IFERROR(INDEX(Movimientos!$C$5:$C$2001,MATCH(A306&amp;"ENTRADA",Movimientos!$R$5:$R$2001,0)),"-")</f>
        <v>-</v>
      </c>
      <c r="C306" s="3" t="str">
        <f>IFERROR(INDEX(Movimientos!$D$5:$D$2001,MATCH(A306&amp;"ENTRADA",Movimientos!$R$5:$R$2001,0)),"-")</f>
        <v>-</v>
      </c>
      <c r="D306" s="3" t="str">
        <f>IFERROR(INDEX(Movimientos!$E$5:$E$2001,MATCH(A306&amp;"ENTRADA",Movimientos!$R$5:$R$2001,0)),"-")</f>
        <v>-</v>
      </c>
      <c r="E306" s="3" t="str">
        <f>IFERROR(INDEX(Movimientos!$F$5:$F$2001,MATCH(A306&amp;"ENTRADA",Movimientos!$R$5:$R$2001,0)),"-")</f>
        <v>-</v>
      </c>
      <c r="F306" s="3" t="str">
        <f>IFERROR(INDEX(Movimientos!$G$5:$G$2001,MATCH(A306&amp;"ENTRADA",Movimientos!$R$5:$R$2001,0)),"-")</f>
        <v>-</v>
      </c>
      <c r="G306" s="3" t="str">
        <f>IFERROR(INDEX(Movimientos!$L$5:$L$2001,MATCH(A306&amp;"ENTRADA",Movimientos!$R$5:$R$2001,0)),"-")</f>
        <v>-</v>
      </c>
      <c r="H306" s="19" t="str">
        <f>IFERROR(IF(INDEX(Movimientos!$M$5:$M$2001,MATCH(A306&amp;"ENTRADA",Movimientos!$R$5:$R$2001,0))=0,"S/D",INDEX(Movimientos!$M$5:$M$2001,MATCH(A306&amp;"ENTRADA",Movimientos!$R$5:$R$2001,0))),"S/D")</f>
        <v>S/D</v>
      </c>
      <c r="I306" s="16" t="str">
        <f t="shared" ca="1" si="10"/>
        <v>S/D</v>
      </c>
      <c r="J306" s="6">
        <f>IF(A306="","",SUMIFS(Movimientos!$K:$K,Movimientos!$H:$H,A306))</f>
        <v>0</v>
      </c>
      <c r="K306" s="14" t="str">
        <f t="shared" ca="1" si="11"/>
        <v>OK</v>
      </c>
    </row>
    <row r="307" spans="1:11">
      <c r="A307" s="18" t="s">
        <v>2380</v>
      </c>
      <c r="B307" s="3" t="str">
        <f>IFERROR(INDEX(Movimientos!$C$5:$C$2001,MATCH(A307&amp;"ENTRADA",Movimientos!$R$5:$R$2001,0)),"-")</f>
        <v>-</v>
      </c>
      <c r="C307" s="3" t="str">
        <f>IFERROR(INDEX(Movimientos!$D$5:$D$2001,MATCH(A307&amp;"ENTRADA",Movimientos!$R$5:$R$2001,0)),"-")</f>
        <v>-</v>
      </c>
      <c r="D307" s="3" t="str">
        <f>IFERROR(INDEX(Movimientos!$E$5:$E$2001,MATCH(A307&amp;"ENTRADA",Movimientos!$R$5:$R$2001,0)),"-")</f>
        <v>-</v>
      </c>
      <c r="E307" s="3" t="str">
        <f>IFERROR(INDEX(Movimientos!$F$5:$F$2001,MATCH(A307&amp;"ENTRADA",Movimientos!$R$5:$R$2001,0)),"-")</f>
        <v>-</v>
      </c>
      <c r="F307" s="3" t="str">
        <f>IFERROR(INDEX(Movimientos!$G$5:$G$2001,MATCH(A307&amp;"ENTRADA",Movimientos!$R$5:$R$2001,0)),"-")</f>
        <v>-</v>
      </c>
      <c r="G307" s="3" t="str">
        <f>IFERROR(INDEX(Movimientos!$L$5:$L$2001,MATCH(A307&amp;"ENTRADA",Movimientos!$R$5:$R$2001,0)),"-")</f>
        <v>-</v>
      </c>
      <c r="H307" s="19" t="str">
        <f>IFERROR(IF(INDEX(Movimientos!$M$5:$M$2001,MATCH(A307&amp;"ENTRADA",Movimientos!$R$5:$R$2001,0))=0,"S/D",INDEX(Movimientos!$M$5:$M$2001,MATCH(A307&amp;"ENTRADA",Movimientos!$R$5:$R$2001,0))),"S/D")</f>
        <v>S/D</v>
      </c>
      <c r="I307" s="16" t="str">
        <f t="shared" ca="1" si="10"/>
        <v>S/D</v>
      </c>
      <c r="J307" s="6">
        <f>IF(A307="","",SUMIFS(Movimientos!$K:$K,Movimientos!$H:$H,A307))</f>
        <v>0</v>
      </c>
      <c r="K307" s="14" t="str">
        <f t="shared" ca="1" si="11"/>
        <v>OK</v>
      </c>
    </row>
    <row r="308" spans="1:11">
      <c r="A308" s="18" t="s">
        <v>2381</v>
      </c>
      <c r="B308" s="3" t="str">
        <f>IFERROR(INDEX(Movimientos!$C$5:$C$2001,MATCH(A308&amp;"ENTRADA",Movimientos!$R$5:$R$2001,0)),"-")</f>
        <v>-</v>
      </c>
      <c r="C308" s="3" t="str">
        <f>IFERROR(INDEX(Movimientos!$D$5:$D$2001,MATCH(A308&amp;"ENTRADA",Movimientos!$R$5:$R$2001,0)),"-")</f>
        <v>-</v>
      </c>
      <c r="D308" s="3" t="str">
        <f>IFERROR(INDEX(Movimientos!$E$5:$E$2001,MATCH(A308&amp;"ENTRADA",Movimientos!$R$5:$R$2001,0)),"-")</f>
        <v>-</v>
      </c>
      <c r="E308" s="3" t="str">
        <f>IFERROR(INDEX(Movimientos!$F$5:$F$2001,MATCH(A308&amp;"ENTRADA",Movimientos!$R$5:$R$2001,0)),"-")</f>
        <v>-</v>
      </c>
      <c r="F308" s="3" t="str">
        <f>IFERROR(INDEX(Movimientos!$G$5:$G$2001,MATCH(A308&amp;"ENTRADA",Movimientos!$R$5:$R$2001,0)),"-")</f>
        <v>-</v>
      </c>
      <c r="G308" s="3" t="str">
        <f>IFERROR(INDEX(Movimientos!$L$5:$L$2001,MATCH(A308&amp;"ENTRADA",Movimientos!$R$5:$R$2001,0)),"-")</f>
        <v>-</v>
      </c>
      <c r="H308" s="19" t="str">
        <f>IFERROR(IF(INDEX(Movimientos!$M$5:$M$2001,MATCH(A308&amp;"ENTRADA",Movimientos!$R$5:$R$2001,0))=0,"S/D",INDEX(Movimientos!$M$5:$M$2001,MATCH(A308&amp;"ENTRADA",Movimientos!$R$5:$R$2001,0))),"S/D")</f>
        <v>S/D</v>
      </c>
      <c r="I308" s="16" t="str">
        <f t="shared" ca="1" si="10"/>
        <v>S/D</v>
      </c>
      <c r="J308" s="6">
        <f>IF(A308="","",SUMIFS(Movimientos!$K:$K,Movimientos!$H:$H,A308))</f>
        <v>0</v>
      </c>
      <c r="K308" s="14" t="str">
        <f t="shared" ca="1" si="11"/>
        <v>OK</v>
      </c>
    </row>
    <row r="309" spans="1:11">
      <c r="A309" s="18" t="s">
        <v>2382</v>
      </c>
      <c r="B309" s="3" t="str">
        <f>IFERROR(INDEX(Movimientos!$C$5:$C$2001,MATCH(A309&amp;"ENTRADA",Movimientos!$R$5:$R$2001,0)),"-")</f>
        <v>-</v>
      </c>
      <c r="C309" s="3" t="str">
        <f>IFERROR(INDEX(Movimientos!$D$5:$D$2001,MATCH(A309&amp;"ENTRADA",Movimientos!$R$5:$R$2001,0)),"-")</f>
        <v>-</v>
      </c>
      <c r="D309" s="3" t="str">
        <f>IFERROR(INDEX(Movimientos!$E$5:$E$2001,MATCH(A309&amp;"ENTRADA",Movimientos!$R$5:$R$2001,0)),"-")</f>
        <v>-</v>
      </c>
      <c r="E309" s="3" t="str">
        <f>IFERROR(INDEX(Movimientos!$F$5:$F$2001,MATCH(A309&amp;"ENTRADA",Movimientos!$R$5:$R$2001,0)),"-")</f>
        <v>-</v>
      </c>
      <c r="F309" s="3" t="str">
        <f>IFERROR(INDEX(Movimientos!$G$5:$G$2001,MATCH(A309&amp;"ENTRADA",Movimientos!$R$5:$R$2001,0)),"-")</f>
        <v>-</v>
      </c>
      <c r="G309" s="3" t="str">
        <f>IFERROR(INDEX(Movimientos!$L$5:$L$2001,MATCH(A309&amp;"ENTRADA",Movimientos!$R$5:$R$2001,0)),"-")</f>
        <v>-</v>
      </c>
      <c r="H309" s="19" t="str">
        <f>IFERROR(IF(INDEX(Movimientos!$M$5:$M$2001,MATCH(A309&amp;"ENTRADA",Movimientos!$R$5:$R$2001,0))=0,"S/D",INDEX(Movimientos!$M$5:$M$2001,MATCH(A309&amp;"ENTRADA",Movimientos!$R$5:$R$2001,0))),"S/D")</f>
        <v>S/D</v>
      </c>
      <c r="I309" s="16" t="str">
        <f t="shared" ca="1" si="10"/>
        <v>S/D</v>
      </c>
      <c r="J309" s="6">
        <f>IF(A309="","",SUMIFS(Movimientos!$K:$K,Movimientos!$H:$H,A309))</f>
        <v>0</v>
      </c>
      <c r="K309" s="14" t="str">
        <f t="shared" ca="1" si="11"/>
        <v>OK</v>
      </c>
    </row>
    <row r="310" spans="1:11">
      <c r="A310" s="18" t="s">
        <v>2383</v>
      </c>
      <c r="B310" s="3" t="str">
        <f>IFERROR(INDEX(Movimientos!$C$5:$C$2001,MATCH(A310&amp;"ENTRADA",Movimientos!$R$5:$R$2001,0)),"-")</f>
        <v>-</v>
      </c>
      <c r="C310" s="3" t="str">
        <f>IFERROR(INDEX(Movimientos!$D$5:$D$2001,MATCH(A310&amp;"ENTRADA",Movimientos!$R$5:$R$2001,0)),"-")</f>
        <v>-</v>
      </c>
      <c r="D310" s="3" t="str">
        <f>IFERROR(INDEX(Movimientos!$E$5:$E$2001,MATCH(A310&amp;"ENTRADA",Movimientos!$R$5:$R$2001,0)),"-")</f>
        <v>-</v>
      </c>
      <c r="E310" s="3" t="str">
        <f>IFERROR(INDEX(Movimientos!$F$5:$F$2001,MATCH(A310&amp;"ENTRADA",Movimientos!$R$5:$R$2001,0)),"-")</f>
        <v>-</v>
      </c>
      <c r="F310" s="3" t="str">
        <f>IFERROR(INDEX(Movimientos!$G$5:$G$2001,MATCH(A310&amp;"ENTRADA",Movimientos!$R$5:$R$2001,0)),"-")</f>
        <v>-</v>
      </c>
      <c r="G310" s="3" t="str">
        <f>IFERROR(INDEX(Movimientos!$L$5:$L$2001,MATCH(A310&amp;"ENTRADA",Movimientos!$R$5:$R$2001,0)),"-")</f>
        <v>-</v>
      </c>
      <c r="H310" s="19" t="str">
        <f>IFERROR(IF(INDEX(Movimientos!$M$5:$M$2001,MATCH(A310&amp;"ENTRADA",Movimientos!$R$5:$R$2001,0))=0,"S/D",INDEX(Movimientos!$M$5:$M$2001,MATCH(A310&amp;"ENTRADA",Movimientos!$R$5:$R$2001,0))),"S/D")</f>
        <v>S/D</v>
      </c>
      <c r="I310" s="16" t="str">
        <f t="shared" ca="1" si="10"/>
        <v>S/D</v>
      </c>
      <c r="J310" s="6">
        <f>IF(A310="","",SUMIFS(Movimientos!$K:$K,Movimientos!$H:$H,A310))</f>
        <v>0</v>
      </c>
      <c r="K310" s="14" t="str">
        <f t="shared" ca="1" si="11"/>
        <v>OK</v>
      </c>
    </row>
    <row r="311" spans="1:11">
      <c r="A311" s="18" t="s">
        <v>2384</v>
      </c>
      <c r="B311" s="3" t="str">
        <f>IFERROR(INDEX(Movimientos!$C$5:$C$2001,MATCH(A311&amp;"ENTRADA",Movimientos!$R$5:$R$2001,0)),"-")</f>
        <v>-</v>
      </c>
      <c r="C311" s="3" t="str">
        <f>IFERROR(INDEX(Movimientos!$D$5:$D$2001,MATCH(A311&amp;"ENTRADA",Movimientos!$R$5:$R$2001,0)),"-")</f>
        <v>-</v>
      </c>
      <c r="D311" s="3" t="str">
        <f>IFERROR(INDEX(Movimientos!$E$5:$E$2001,MATCH(A311&amp;"ENTRADA",Movimientos!$R$5:$R$2001,0)),"-")</f>
        <v>-</v>
      </c>
      <c r="E311" s="3" t="str">
        <f>IFERROR(INDEX(Movimientos!$F$5:$F$2001,MATCH(A311&amp;"ENTRADA",Movimientos!$R$5:$R$2001,0)),"-")</f>
        <v>-</v>
      </c>
      <c r="F311" s="3" t="str">
        <f>IFERROR(INDEX(Movimientos!$G$5:$G$2001,MATCH(A311&amp;"ENTRADA",Movimientos!$R$5:$R$2001,0)),"-")</f>
        <v>-</v>
      </c>
      <c r="G311" s="3" t="str">
        <f>IFERROR(INDEX(Movimientos!$L$5:$L$2001,MATCH(A311&amp;"ENTRADA",Movimientos!$R$5:$R$2001,0)),"-")</f>
        <v>-</v>
      </c>
      <c r="H311" s="19" t="str">
        <f>IFERROR(IF(INDEX(Movimientos!$M$5:$M$2001,MATCH(A311&amp;"ENTRADA",Movimientos!$R$5:$R$2001,0))=0,"S/D",INDEX(Movimientos!$M$5:$M$2001,MATCH(A311&amp;"ENTRADA",Movimientos!$R$5:$R$2001,0))),"S/D")</f>
        <v>S/D</v>
      </c>
      <c r="I311" s="16" t="str">
        <f t="shared" ca="1" si="10"/>
        <v>S/D</v>
      </c>
      <c r="J311" s="6">
        <f>IF(A311="","",SUMIFS(Movimientos!$K:$K,Movimientos!$H:$H,A311))</f>
        <v>0</v>
      </c>
      <c r="K311" s="14" t="str">
        <f t="shared" ca="1" si="11"/>
        <v>OK</v>
      </c>
    </row>
    <row r="312" spans="1:11">
      <c r="A312" s="18" t="s">
        <v>2385</v>
      </c>
      <c r="B312" s="3" t="str">
        <f>IFERROR(INDEX(Movimientos!$C$5:$C$2001,MATCH(A312&amp;"ENTRADA",Movimientos!$R$5:$R$2001,0)),"-")</f>
        <v>-</v>
      </c>
      <c r="C312" s="3" t="str">
        <f>IFERROR(INDEX(Movimientos!$D$5:$D$2001,MATCH(A312&amp;"ENTRADA",Movimientos!$R$5:$R$2001,0)),"-")</f>
        <v>-</v>
      </c>
      <c r="D312" s="3" t="str">
        <f>IFERROR(INDEX(Movimientos!$E$5:$E$2001,MATCH(A312&amp;"ENTRADA",Movimientos!$R$5:$R$2001,0)),"-")</f>
        <v>-</v>
      </c>
      <c r="E312" s="3" t="str">
        <f>IFERROR(INDEX(Movimientos!$F$5:$F$2001,MATCH(A312&amp;"ENTRADA",Movimientos!$R$5:$R$2001,0)),"-")</f>
        <v>-</v>
      </c>
      <c r="F312" s="3" t="str">
        <f>IFERROR(INDEX(Movimientos!$G$5:$G$2001,MATCH(A312&amp;"ENTRADA",Movimientos!$R$5:$R$2001,0)),"-")</f>
        <v>-</v>
      </c>
      <c r="G312" s="3" t="str">
        <f>IFERROR(INDEX(Movimientos!$L$5:$L$2001,MATCH(A312&amp;"ENTRADA",Movimientos!$R$5:$R$2001,0)),"-")</f>
        <v>-</v>
      </c>
      <c r="H312" s="19" t="str">
        <f>IFERROR(IF(INDEX(Movimientos!$M$5:$M$2001,MATCH(A312&amp;"ENTRADA",Movimientos!$R$5:$R$2001,0))=0,"S/D",INDEX(Movimientos!$M$5:$M$2001,MATCH(A312&amp;"ENTRADA",Movimientos!$R$5:$R$2001,0))),"S/D")</f>
        <v>S/D</v>
      </c>
      <c r="I312" s="16" t="str">
        <f t="shared" ca="1" si="10"/>
        <v>S/D</v>
      </c>
      <c r="J312" s="6">
        <f>IF(A312="","",SUMIFS(Movimientos!$K:$K,Movimientos!$H:$H,A312))</f>
        <v>0</v>
      </c>
      <c r="K312" s="14" t="str">
        <f t="shared" ca="1" si="11"/>
        <v>OK</v>
      </c>
    </row>
    <row r="313" spans="1:11">
      <c r="A313" s="18" t="s">
        <v>2386</v>
      </c>
      <c r="B313" s="3" t="str">
        <f>IFERROR(INDEX(Movimientos!$C$5:$C$2001,MATCH(A313&amp;"ENTRADA",Movimientos!$R$5:$R$2001,0)),"-")</f>
        <v>-</v>
      </c>
      <c r="C313" s="3" t="str">
        <f>IFERROR(INDEX(Movimientos!$D$5:$D$2001,MATCH(A313&amp;"ENTRADA",Movimientos!$R$5:$R$2001,0)),"-")</f>
        <v>-</v>
      </c>
      <c r="D313" s="3" t="str">
        <f>IFERROR(INDEX(Movimientos!$E$5:$E$2001,MATCH(A313&amp;"ENTRADA",Movimientos!$R$5:$R$2001,0)),"-")</f>
        <v>-</v>
      </c>
      <c r="E313" s="3" t="str">
        <f>IFERROR(INDEX(Movimientos!$F$5:$F$2001,MATCH(A313&amp;"ENTRADA",Movimientos!$R$5:$R$2001,0)),"-")</f>
        <v>-</v>
      </c>
      <c r="F313" s="3" t="str">
        <f>IFERROR(INDEX(Movimientos!$G$5:$G$2001,MATCH(A313&amp;"ENTRADA",Movimientos!$R$5:$R$2001,0)),"-")</f>
        <v>-</v>
      </c>
      <c r="G313" s="3" t="str">
        <f>IFERROR(INDEX(Movimientos!$L$5:$L$2001,MATCH(A313&amp;"ENTRADA",Movimientos!$R$5:$R$2001,0)),"-")</f>
        <v>-</v>
      </c>
      <c r="H313" s="19" t="str">
        <f>IFERROR(IF(INDEX(Movimientos!$M$5:$M$2001,MATCH(A313&amp;"ENTRADA",Movimientos!$R$5:$R$2001,0))=0,"S/D",INDEX(Movimientos!$M$5:$M$2001,MATCH(A313&amp;"ENTRADA",Movimientos!$R$5:$R$2001,0))),"S/D")</f>
        <v>S/D</v>
      </c>
      <c r="I313" s="16" t="str">
        <f t="shared" ca="1" si="10"/>
        <v>S/D</v>
      </c>
      <c r="J313" s="6">
        <f>IF(A313="","",SUMIFS(Movimientos!$K:$K,Movimientos!$H:$H,A313))</f>
        <v>0</v>
      </c>
      <c r="K313" s="14" t="str">
        <f t="shared" ca="1" si="11"/>
        <v>OK</v>
      </c>
    </row>
    <row r="314" spans="1:11">
      <c r="A314" s="18" t="s">
        <v>2387</v>
      </c>
      <c r="B314" s="3" t="str">
        <f>IFERROR(INDEX(Movimientos!$C$5:$C$2001,MATCH(A314&amp;"ENTRADA",Movimientos!$R$5:$R$2001,0)),"-")</f>
        <v>-</v>
      </c>
      <c r="C314" s="3" t="str">
        <f>IFERROR(INDEX(Movimientos!$D$5:$D$2001,MATCH(A314&amp;"ENTRADA",Movimientos!$R$5:$R$2001,0)),"-")</f>
        <v>-</v>
      </c>
      <c r="D314" s="3" t="str">
        <f>IFERROR(INDEX(Movimientos!$E$5:$E$2001,MATCH(A314&amp;"ENTRADA",Movimientos!$R$5:$R$2001,0)),"-")</f>
        <v>-</v>
      </c>
      <c r="E314" s="3" t="str">
        <f>IFERROR(INDEX(Movimientos!$F$5:$F$2001,MATCH(A314&amp;"ENTRADA",Movimientos!$R$5:$R$2001,0)),"-")</f>
        <v>-</v>
      </c>
      <c r="F314" s="3" t="str">
        <f>IFERROR(INDEX(Movimientos!$G$5:$G$2001,MATCH(A314&amp;"ENTRADA",Movimientos!$R$5:$R$2001,0)),"-")</f>
        <v>-</v>
      </c>
      <c r="G314" s="3" t="str">
        <f>IFERROR(INDEX(Movimientos!$L$5:$L$2001,MATCH(A314&amp;"ENTRADA",Movimientos!$R$5:$R$2001,0)),"-")</f>
        <v>-</v>
      </c>
      <c r="H314" s="19" t="str">
        <f>IFERROR(IF(INDEX(Movimientos!$M$5:$M$2001,MATCH(A314&amp;"ENTRADA",Movimientos!$R$5:$R$2001,0))=0,"S/D",INDEX(Movimientos!$M$5:$M$2001,MATCH(A314&amp;"ENTRADA",Movimientos!$R$5:$R$2001,0))),"S/D")</f>
        <v>S/D</v>
      </c>
      <c r="I314" s="16" t="str">
        <f t="shared" ca="1" si="10"/>
        <v>S/D</v>
      </c>
      <c r="J314" s="6">
        <f>IF(A314="","",SUMIFS(Movimientos!$K:$K,Movimientos!$H:$H,A314))</f>
        <v>0</v>
      </c>
      <c r="K314" s="14" t="str">
        <f t="shared" ca="1" si="11"/>
        <v>OK</v>
      </c>
    </row>
    <row r="315" spans="1:11">
      <c r="A315" s="18" t="s">
        <v>2388</v>
      </c>
      <c r="B315" s="3" t="str">
        <f>IFERROR(INDEX(Movimientos!$C$5:$C$2001,MATCH(A315&amp;"ENTRADA",Movimientos!$R$5:$R$2001,0)),"-")</f>
        <v>-</v>
      </c>
      <c r="C315" s="3" t="str">
        <f>IFERROR(INDEX(Movimientos!$D$5:$D$2001,MATCH(A315&amp;"ENTRADA",Movimientos!$R$5:$R$2001,0)),"-")</f>
        <v>-</v>
      </c>
      <c r="D315" s="3" t="str">
        <f>IFERROR(INDEX(Movimientos!$E$5:$E$2001,MATCH(A315&amp;"ENTRADA",Movimientos!$R$5:$R$2001,0)),"-")</f>
        <v>-</v>
      </c>
      <c r="E315" s="3" t="str">
        <f>IFERROR(INDEX(Movimientos!$F$5:$F$2001,MATCH(A315&amp;"ENTRADA",Movimientos!$R$5:$R$2001,0)),"-")</f>
        <v>-</v>
      </c>
      <c r="F315" s="3" t="str">
        <f>IFERROR(INDEX(Movimientos!$G$5:$G$2001,MATCH(A315&amp;"ENTRADA",Movimientos!$R$5:$R$2001,0)),"-")</f>
        <v>-</v>
      </c>
      <c r="G315" s="3" t="str">
        <f>IFERROR(INDEX(Movimientos!$L$5:$L$2001,MATCH(A315&amp;"ENTRADA",Movimientos!$R$5:$R$2001,0)),"-")</f>
        <v>-</v>
      </c>
      <c r="H315" s="19" t="str">
        <f>IFERROR(IF(INDEX(Movimientos!$M$5:$M$2001,MATCH(A315&amp;"ENTRADA",Movimientos!$R$5:$R$2001,0))=0,"S/D",INDEX(Movimientos!$M$5:$M$2001,MATCH(A315&amp;"ENTRADA",Movimientos!$R$5:$R$2001,0))),"S/D")</f>
        <v>S/D</v>
      </c>
      <c r="I315" s="16" t="str">
        <f t="shared" ca="1" si="10"/>
        <v>S/D</v>
      </c>
      <c r="J315" s="6">
        <f>IF(A315="","",SUMIFS(Movimientos!$K:$K,Movimientos!$H:$H,A315))</f>
        <v>0</v>
      </c>
      <c r="K315" s="14" t="str">
        <f t="shared" ca="1" si="11"/>
        <v>OK</v>
      </c>
    </row>
    <row r="316" spans="1:11">
      <c r="A316" s="18" t="s">
        <v>2389</v>
      </c>
      <c r="B316" s="3" t="str">
        <f>IFERROR(INDEX(Movimientos!$C$5:$C$2001,MATCH(A316&amp;"ENTRADA",Movimientos!$R$5:$R$2001,0)),"-")</f>
        <v>-</v>
      </c>
      <c r="C316" s="3" t="str">
        <f>IFERROR(INDEX(Movimientos!$D$5:$D$2001,MATCH(A316&amp;"ENTRADA",Movimientos!$R$5:$R$2001,0)),"-")</f>
        <v>-</v>
      </c>
      <c r="D316" s="3" t="str">
        <f>IFERROR(INDEX(Movimientos!$E$5:$E$2001,MATCH(A316&amp;"ENTRADA",Movimientos!$R$5:$R$2001,0)),"-")</f>
        <v>-</v>
      </c>
      <c r="E316" s="3" t="str">
        <f>IFERROR(INDEX(Movimientos!$F$5:$F$2001,MATCH(A316&amp;"ENTRADA",Movimientos!$R$5:$R$2001,0)),"-")</f>
        <v>-</v>
      </c>
      <c r="F316" s="3" t="str">
        <f>IFERROR(INDEX(Movimientos!$G$5:$G$2001,MATCH(A316&amp;"ENTRADA",Movimientos!$R$5:$R$2001,0)),"-")</f>
        <v>-</v>
      </c>
      <c r="G316" s="3" t="str">
        <f>IFERROR(INDEX(Movimientos!$L$5:$L$2001,MATCH(A316&amp;"ENTRADA",Movimientos!$R$5:$R$2001,0)),"-")</f>
        <v>-</v>
      </c>
      <c r="H316" s="19" t="str">
        <f>IFERROR(IF(INDEX(Movimientos!$M$5:$M$2001,MATCH(A316&amp;"ENTRADA",Movimientos!$R$5:$R$2001,0))=0,"S/D",INDEX(Movimientos!$M$5:$M$2001,MATCH(A316&amp;"ENTRADA",Movimientos!$R$5:$R$2001,0))),"S/D")</f>
        <v>S/D</v>
      </c>
      <c r="I316" s="16" t="str">
        <f t="shared" ca="1" si="10"/>
        <v>S/D</v>
      </c>
      <c r="J316" s="6">
        <f>IF(A316="","",SUMIFS(Movimientos!$K:$K,Movimientos!$H:$H,A316))</f>
        <v>0</v>
      </c>
      <c r="K316" s="14" t="str">
        <f t="shared" ca="1" si="11"/>
        <v>OK</v>
      </c>
    </row>
    <row r="317" spans="1:11">
      <c r="A317" s="18" t="s">
        <v>2390</v>
      </c>
      <c r="B317" s="3" t="str">
        <f>IFERROR(INDEX(Movimientos!$C$5:$C$2001,MATCH(A317&amp;"ENTRADA",Movimientos!$R$5:$R$2001,0)),"-")</f>
        <v>-</v>
      </c>
      <c r="C317" s="3" t="str">
        <f>IFERROR(INDEX(Movimientos!$D$5:$D$2001,MATCH(A317&amp;"ENTRADA",Movimientos!$R$5:$R$2001,0)),"-")</f>
        <v>-</v>
      </c>
      <c r="D317" s="3" t="str">
        <f>IFERROR(INDEX(Movimientos!$E$5:$E$2001,MATCH(A317&amp;"ENTRADA",Movimientos!$R$5:$R$2001,0)),"-")</f>
        <v>-</v>
      </c>
      <c r="E317" s="3" t="str">
        <f>IFERROR(INDEX(Movimientos!$F$5:$F$2001,MATCH(A317&amp;"ENTRADA",Movimientos!$R$5:$R$2001,0)),"-")</f>
        <v>-</v>
      </c>
      <c r="F317" s="3" t="str">
        <f>IFERROR(INDEX(Movimientos!$G$5:$G$2001,MATCH(A317&amp;"ENTRADA",Movimientos!$R$5:$R$2001,0)),"-")</f>
        <v>-</v>
      </c>
      <c r="G317" s="3" t="str">
        <f>IFERROR(INDEX(Movimientos!$L$5:$L$2001,MATCH(A317&amp;"ENTRADA",Movimientos!$R$5:$R$2001,0)),"-")</f>
        <v>-</v>
      </c>
      <c r="H317" s="19" t="str">
        <f>IFERROR(IF(INDEX(Movimientos!$M$5:$M$2001,MATCH(A317&amp;"ENTRADA",Movimientos!$R$5:$R$2001,0))=0,"S/D",INDEX(Movimientos!$M$5:$M$2001,MATCH(A317&amp;"ENTRADA",Movimientos!$R$5:$R$2001,0))),"S/D")</f>
        <v>S/D</v>
      </c>
      <c r="I317" s="16" t="str">
        <f t="shared" ca="1" si="10"/>
        <v>S/D</v>
      </c>
      <c r="J317" s="6">
        <f>IF(A317="","",SUMIFS(Movimientos!$K:$K,Movimientos!$H:$H,A317))</f>
        <v>0</v>
      </c>
      <c r="K317" s="14" t="str">
        <f t="shared" ca="1" si="11"/>
        <v>OK</v>
      </c>
    </row>
    <row r="318" spans="1:11">
      <c r="A318" s="18" t="s">
        <v>2391</v>
      </c>
      <c r="B318" s="3" t="str">
        <f>IFERROR(INDEX(Movimientos!$C$5:$C$2001,MATCH(A318&amp;"ENTRADA",Movimientos!$R$5:$R$2001,0)),"-")</f>
        <v>-</v>
      </c>
      <c r="C318" s="3" t="str">
        <f>IFERROR(INDEX(Movimientos!$D$5:$D$2001,MATCH(A318&amp;"ENTRADA",Movimientos!$R$5:$R$2001,0)),"-")</f>
        <v>-</v>
      </c>
      <c r="D318" s="3" t="str">
        <f>IFERROR(INDEX(Movimientos!$E$5:$E$2001,MATCH(A318&amp;"ENTRADA",Movimientos!$R$5:$R$2001,0)),"-")</f>
        <v>-</v>
      </c>
      <c r="E318" s="3" t="str">
        <f>IFERROR(INDEX(Movimientos!$F$5:$F$2001,MATCH(A318&amp;"ENTRADA",Movimientos!$R$5:$R$2001,0)),"-")</f>
        <v>-</v>
      </c>
      <c r="F318" s="3" t="str">
        <f>IFERROR(INDEX(Movimientos!$G$5:$G$2001,MATCH(A318&amp;"ENTRADA",Movimientos!$R$5:$R$2001,0)),"-")</f>
        <v>-</v>
      </c>
      <c r="G318" s="3" t="str">
        <f>IFERROR(INDEX(Movimientos!$L$5:$L$2001,MATCH(A318&amp;"ENTRADA",Movimientos!$R$5:$R$2001,0)),"-")</f>
        <v>-</v>
      </c>
      <c r="H318" s="19" t="str">
        <f>IFERROR(IF(INDEX(Movimientos!$M$5:$M$2001,MATCH(A318&amp;"ENTRADA",Movimientos!$R$5:$R$2001,0))=0,"S/D",INDEX(Movimientos!$M$5:$M$2001,MATCH(A318&amp;"ENTRADA",Movimientos!$R$5:$R$2001,0))),"S/D")</f>
        <v>S/D</v>
      </c>
      <c r="I318" s="16" t="str">
        <f t="shared" ca="1" si="10"/>
        <v>S/D</v>
      </c>
      <c r="J318" s="6">
        <f>IF(A318="","",SUMIFS(Movimientos!$K:$K,Movimientos!$H:$H,A318))</f>
        <v>0</v>
      </c>
      <c r="K318" s="14" t="str">
        <f t="shared" ca="1" si="11"/>
        <v>OK</v>
      </c>
    </row>
    <row r="319" spans="1:11">
      <c r="A319" s="18" t="s">
        <v>2392</v>
      </c>
      <c r="B319" s="3" t="str">
        <f>IFERROR(INDEX(Movimientos!$C$5:$C$2001,MATCH(A319&amp;"ENTRADA",Movimientos!$R$5:$R$2001,0)),"-")</f>
        <v>-</v>
      </c>
      <c r="C319" s="3" t="str">
        <f>IFERROR(INDEX(Movimientos!$D$5:$D$2001,MATCH(A319&amp;"ENTRADA",Movimientos!$R$5:$R$2001,0)),"-")</f>
        <v>-</v>
      </c>
      <c r="D319" s="3" t="str">
        <f>IFERROR(INDEX(Movimientos!$E$5:$E$2001,MATCH(A319&amp;"ENTRADA",Movimientos!$R$5:$R$2001,0)),"-")</f>
        <v>-</v>
      </c>
      <c r="E319" s="3" t="str">
        <f>IFERROR(INDEX(Movimientos!$F$5:$F$2001,MATCH(A319&amp;"ENTRADA",Movimientos!$R$5:$R$2001,0)),"-")</f>
        <v>-</v>
      </c>
      <c r="F319" s="3" t="str">
        <f>IFERROR(INDEX(Movimientos!$G$5:$G$2001,MATCH(A319&amp;"ENTRADA",Movimientos!$R$5:$R$2001,0)),"-")</f>
        <v>-</v>
      </c>
      <c r="G319" s="3" t="str">
        <f>IFERROR(INDEX(Movimientos!$L$5:$L$2001,MATCH(A319&amp;"ENTRADA",Movimientos!$R$5:$R$2001,0)),"-")</f>
        <v>-</v>
      </c>
      <c r="H319" s="19" t="str">
        <f>IFERROR(IF(INDEX(Movimientos!$M$5:$M$2001,MATCH(A319&amp;"ENTRADA",Movimientos!$R$5:$R$2001,0))=0,"S/D",INDEX(Movimientos!$M$5:$M$2001,MATCH(A319&amp;"ENTRADA",Movimientos!$R$5:$R$2001,0))),"S/D")</f>
        <v>S/D</v>
      </c>
      <c r="I319" s="16" t="str">
        <f t="shared" ca="1" si="10"/>
        <v>S/D</v>
      </c>
      <c r="J319" s="6">
        <f>IF(A319="","",SUMIFS(Movimientos!$K:$K,Movimientos!$H:$H,A319))</f>
        <v>0</v>
      </c>
      <c r="K319" s="14" t="str">
        <f t="shared" ca="1" si="11"/>
        <v>OK</v>
      </c>
    </row>
    <row r="320" spans="1:11">
      <c r="A320" s="18" t="s">
        <v>2393</v>
      </c>
      <c r="B320" s="3" t="str">
        <f>IFERROR(INDEX(Movimientos!$C$5:$C$2001,MATCH(A320&amp;"ENTRADA",Movimientos!$R$5:$R$2001,0)),"-")</f>
        <v>-</v>
      </c>
      <c r="C320" s="3" t="str">
        <f>IFERROR(INDEX(Movimientos!$D$5:$D$2001,MATCH(A320&amp;"ENTRADA",Movimientos!$R$5:$R$2001,0)),"-")</f>
        <v>-</v>
      </c>
      <c r="D320" s="3" t="str">
        <f>IFERROR(INDEX(Movimientos!$E$5:$E$2001,MATCH(A320&amp;"ENTRADA",Movimientos!$R$5:$R$2001,0)),"-")</f>
        <v>-</v>
      </c>
      <c r="E320" s="3" t="str">
        <f>IFERROR(INDEX(Movimientos!$F$5:$F$2001,MATCH(A320&amp;"ENTRADA",Movimientos!$R$5:$R$2001,0)),"-")</f>
        <v>-</v>
      </c>
      <c r="F320" s="3" t="str">
        <f>IFERROR(INDEX(Movimientos!$G$5:$G$2001,MATCH(A320&amp;"ENTRADA",Movimientos!$R$5:$R$2001,0)),"-")</f>
        <v>-</v>
      </c>
      <c r="G320" s="3" t="str">
        <f>IFERROR(INDEX(Movimientos!$L$5:$L$2001,MATCH(A320&amp;"ENTRADA",Movimientos!$R$5:$R$2001,0)),"-")</f>
        <v>-</v>
      </c>
      <c r="H320" s="19" t="str">
        <f>IFERROR(IF(INDEX(Movimientos!$M$5:$M$2001,MATCH(A320&amp;"ENTRADA",Movimientos!$R$5:$R$2001,0))=0,"S/D",INDEX(Movimientos!$M$5:$M$2001,MATCH(A320&amp;"ENTRADA",Movimientos!$R$5:$R$2001,0))),"S/D")</f>
        <v>S/D</v>
      </c>
      <c r="I320" s="16" t="str">
        <f t="shared" ca="1" si="10"/>
        <v>S/D</v>
      </c>
      <c r="J320" s="6">
        <f>IF(A320="","",SUMIFS(Movimientos!$K:$K,Movimientos!$H:$H,A320))</f>
        <v>0</v>
      </c>
      <c r="K320" s="14" t="str">
        <f t="shared" ca="1" si="11"/>
        <v>OK</v>
      </c>
    </row>
    <row r="321" spans="1:11">
      <c r="A321" s="18" t="s">
        <v>2394</v>
      </c>
      <c r="B321" s="3" t="str">
        <f>IFERROR(INDEX(Movimientos!$C$5:$C$2001,MATCH(A321&amp;"ENTRADA",Movimientos!$R$5:$R$2001,0)),"-")</f>
        <v>-</v>
      </c>
      <c r="C321" s="3" t="str">
        <f>IFERROR(INDEX(Movimientos!$D$5:$D$2001,MATCH(A321&amp;"ENTRADA",Movimientos!$R$5:$R$2001,0)),"-")</f>
        <v>-</v>
      </c>
      <c r="D321" s="3" t="str">
        <f>IFERROR(INDEX(Movimientos!$E$5:$E$2001,MATCH(A321&amp;"ENTRADA",Movimientos!$R$5:$R$2001,0)),"-")</f>
        <v>-</v>
      </c>
      <c r="E321" s="3" t="str">
        <f>IFERROR(INDEX(Movimientos!$F$5:$F$2001,MATCH(A321&amp;"ENTRADA",Movimientos!$R$5:$R$2001,0)),"-")</f>
        <v>-</v>
      </c>
      <c r="F321" s="3" t="str">
        <f>IFERROR(INDEX(Movimientos!$G$5:$G$2001,MATCH(A321&amp;"ENTRADA",Movimientos!$R$5:$R$2001,0)),"-")</f>
        <v>-</v>
      </c>
      <c r="G321" s="3" t="str">
        <f>IFERROR(INDEX(Movimientos!$L$5:$L$2001,MATCH(A321&amp;"ENTRADA",Movimientos!$R$5:$R$2001,0)),"-")</f>
        <v>-</v>
      </c>
      <c r="H321" s="19" t="str">
        <f>IFERROR(IF(INDEX(Movimientos!$M$5:$M$2001,MATCH(A321&amp;"ENTRADA",Movimientos!$R$5:$R$2001,0))=0,"S/D",INDEX(Movimientos!$M$5:$M$2001,MATCH(A321&amp;"ENTRADA",Movimientos!$R$5:$R$2001,0))),"S/D")</f>
        <v>S/D</v>
      </c>
      <c r="I321" s="16" t="str">
        <f t="shared" ca="1" si="10"/>
        <v>S/D</v>
      </c>
      <c r="J321" s="6">
        <f>IF(A321="","",SUMIFS(Movimientos!$K:$K,Movimientos!$H:$H,A321))</f>
        <v>0</v>
      </c>
      <c r="K321" s="14" t="str">
        <f t="shared" ca="1" si="11"/>
        <v>OK</v>
      </c>
    </row>
    <row r="322" spans="1:11">
      <c r="A322" s="18" t="s">
        <v>2395</v>
      </c>
      <c r="B322" s="3" t="str">
        <f>IFERROR(INDEX(Movimientos!$C$5:$C$2001,MATCH(A322&amp;"ENTRADA",Movimientos!$R$5:$R$2001,0)),"-")</f>
        <v>-</v>
      </c>
      <c r="C322" s="3" t="str">
        <f>IFERROR(INDEX(Movimientos!$D$5:$D$2001,MATCH(A322&amp;"ENTRADA",Movimientos!$R$5:$R$2001,0)),"-")</f>
        <v>-</v>
      </c>
      <c r="D322" s="3" t="str">
        <f>IFERROR(INDEX(Movimientos!$E$5:$E$2001,MATCH(A322&amp;"ENTRADA",Movimientos!$R$5:$R$2001,0)),"-")</f>
        <v>-</v>
      </c>
      <c r="E322" s="3" t="str">
        <f>IFERROR(INDEX(Movimientos!$F$5:$F$2001,MATCH(A322&amp;"ENTRADA",Movimientos!$R$5:$R$2001,0)),"-")</f>
        <v>-</v>
      </c>
      <c r="F322" s="3" t="str">
        <f>IFERROR(INDEX(Movimientos!$G$5:$G$2001,MATCH(A322&amp;"ENTRADA",Movimientos!$R$5:$R$2001,0)),"-")</f>
        <v>-</v>
      </c>
      <c r="G322" s="3" t="str">
        <f>IFERROR(INDEX(Movimientos!$L$5:$L$2001,MATCH(A322&amp;"ENTRADA",Movimientos!$R$5:$R$2001,0)),"-")</f>
        <v>-</v>
      </c>
      <c r="H322" s="19" t="str">
        <f>IFERROR(IF(INDEX(Movimientos!$M$5:$M$2001,MATCH(A322&amp;"ENTRADA",Movimientos!$R$5:$R$2001,0))=0,"S/D",INDEX(Movimientos!$M$5:$M$2001,MATCH(A322&amp;"ENTRADA",Movimientos!$R$5:$R$2001,0))),"S/D")</f>
        <v>S/D</v>
      </c>
      <c r="I322" s="16" t="str">
        <f t="shared" ca="1" si="10"/>
        <v>S/D</v>
      </c>
      <c r="J322" s="6">
        <f>IF(A322="","",SUMIFS(Movimientos!$K:$K,Movimientos!$H:$H,A322))</f>
        <v>0</v>
      </c>
      <c r="K322" s="14" t="str">
        <f t="shared" ca="1" si="11"/>
        <v>OK</v>
      </c>
    </row>
    <row r="323" spans="1:11">
      <c r="A323" s="18" t="s">
        <v>2396</v>
      </c>
      <c r="B323" s="3" t="str">
        <f>IFERROR(INDEX(Movimientos!$C$5:$C$2001,MATCH(A323&amp;"ENTRADA",Movimientos!$R$5:$R$2001,0)),"-")</f>
        <v>-</v>
      </c>
      <c r="C323" s="3" t="str">
        <f>IFERROR(INDEX(Movimientos!$D$5:$D$2001,MATCH(A323&amp;"ENTRADA",Movimientos!$R$5:$R$2001,0)),"-")</f>
        <v>-</v>
      </c>
      <c r="D323" s="3" t="str">
        <f>IFERROR(INDEX(Movimientos!$E$5:$E$2001,MATCH(A323&amp;"ENTRADA",Movimientos!$R$5:$R$2001,0)),"-")</f>
        <v>-</v>
      </c>
      <c r="E323" s="3" t="str">
        <f>IFERROR(INDEX(Movimientos!$F$5:$F$2001,MATCH(A323&amp;"ENTRADA",Movimientos!$R$5:$R$2001,0)),"-")</f>
        <v>-</v>
      </c>
      <c r="F323" s="3" t="str">
        <f>IFERROR(INDEX(Movimientos!$G$5:$G$2001,MATCH(A323&amp;"ENTRADA",Movimientos!$R$5:$R$2001,0)),"-")</f>
        <v>-</v>
      </c>
      <c r="G323" s="3" t="str">
        <f>IFERROR(INDEX(Movimientos!$L$5:$L$2001,MATCH(A323&amp;"ENTRADA",Movimientos!$R$5:$R$2001,0)),"-")</f>
        <v>-</v>
      </c>
      <c r="H323" s="19" t="str">
        <f>IFERROR(IF(INDEX(Movimientos!$M$5:$M$2001,MATCH(A323&amp;"ENTRADA",Movimientos!$R$5:$R$2001,0))=0,"S/D",INDEX(Movimientos!$M$5:$M$2001,MATCH(A323&amp;"ENTRADA",Movimientos!$R$5:$R$2001,0))),"S/D")</f>
        <v>S/D</v>
      </c>
      <c r="I323" s="16" t="str">
        <f t="shared" ca="1" si="10"/>
        <v>S/D</v>
      </c>
      <c r="J323" s="6">
        <f>IF(A323="","",SUMIFS(Movimientos!$K:$K,Movimientos!$H:$H,A323))</f>
        <v>0</v>
      </c>
      <c r="K323" s="14" t="str">
        <f t="shared" ca="1" si="11"/>
        <v>OK</v>
      </c>
    </row>
    <row r="324" spans="1:11">
      <c r="A324" s="18" t="s">
        <v>2397</v>
      </c>
      <c r="B324" s="3" t="str">
        <f>IFERROR(INDEX(Movimientos!$C$5:$C$2001,MATCH(A324&amp;"ENTRADA",Movimientos!$R$5:$R$2001,0)),"-")</f>
        <v>-</v>
      </c>
      <c r="C324" s="3" t="str">
        <f>IFERROR(INDEX(Movimientos!$D$5:$D$2001,MATCH(A324&amp;"ENTRADA",Movimientos!$R$5:$R$2001,0)),"-")</f>
        <v>-</v>
      </c>
      <c r="D324" s="3" t="str">
        <f>IFERROR(INDEX(Movimientos!$E$5:$E$2001,MATCH(A324&amp;"ENTRADA",Movimientos!$R$5:$R$2001,0)),"-")</f>
        <v>-</v>
      </c>
      <c r="E324" s="3" t="str">
        <f>IFERROR(INDEX(Movimientos!$F$5:$F$2001,MATCH(A324&amp;"ENTRADA",Movimientos!$R$5:$R$2001,0)),"-")</f>
        <v>-</v>
      </c>
      <c r="F324" s="3" t="str">
        <f>IFERROR(INDEX(Movimientos!$G$5:$G$2001,MATCH(A324&amp;"ENTRADA",Movimientos!$R$5:$R$2001,0)),"-")</f>
        <v>-</v>
      </c>
      <c r="G324" s="3" t="str">
        <f>IFERROR(INDEX(Movimientos!$L$5:$L$2001,MATCH(A324&amp;"ENTRADA",Movimientos!$R$5:$R$2001,0)),"-")</f>
        <v>-</v>
      </c>
      <c r="H324" s="19" t="str">
        <f>IFERROR(IF(INDEX(Movimientos!$M$5:$M$2001,MATCH(A324&amp;"ENTRADA",Movimientos!$R$5:$R$2001,0))=0,"S/D",INDEX(Movimientos!$M$5:$M$2001,MATCH(A324&amp;"ENTRADA",Movimientos!$R$5:$R$2001,0))),"S/D")</f>
        <v>S/D</v>
      </c>
      <c r="I324" s="16" t="str">
        <f t="shared" ca="1" si="10"/>
        <v>S/D</v>
      </c>
      <c r="J324" s="6">
        <f>IF(A324="","",SUMIFS(Movimientos!$K:$K,Movimientos!$H:$H,A324))</f>
        <v>0</v>
      </c>
      <c r="K324" s="14" t="str">
        <f t="shared" ca="1" si="11"/>
        <v>OK</v>
      </c>
    </row>
    <row r="325" spans="1:11">
      <c r="A325" s="18" t="s">
        <v>2398</v>
      </c>
      <c r="B325" s="3" t="str">
        <f>IFERROR(INDEX(Movimientos!$C$5:$C$2001,MATCH(A325&amp;"ENTRADA",Movimientos!$R$5:$R$2001,0)),"-")</f>
        <v>-</v>
      </c>
      <c r="C325" s="3" t="str">
        <f>IFERROR(INDEX(Movimientos!$D$5:$D$2001,MATCH(A325&amp;"ENTRADA",Movimientos!$R$5:$R$2001,0)),"-")</f>
        <v>-</v>
      </c>
      <c r="D325" s="3" t="str">
        <f>IFERROR(INDEX(Movimientos!$E$5:$E$2001,MATCH(A325&amp;"ENTRADA",Movimientos!$R$5:$R$2001,0)),"-")</f>
        <v>-</v>
      </c>
      <c r="E325" s="3" t="str">
        <f>IFERROR(INDEX(Movimientos!$F$5:$F$2001,MATCH(A325&amp;"ENTRADA",Movimientos!$R$5:$R$2001,0)),"-")</f>
        <v>-</v>
      </c>
      <c r="F325" s="3" t="str">
        <f>IFERROR(INDEX(Movimientos!$G$5:$G$2001,MATCH(A325&amp;"ENTRADA",Movimientos!$R$5:$R$2001,0)),"-")</f>
        <v>-</v>
      </c>
      <c r="G325" s="3" t="str">
        <f>IFERROR(INDEX(Movimientos!$L$5:$L$2001,MATCH(A325&amp;"ENTRADA",Movimientos!$R$5:$R$2001,0)),"-")</f>
        <v>-</v>
      </c>
      <c r="H325" s="19" t="str">
        <f>IFERROR(IF(INDEX(Movimientos!$M$5:$M$2001,MATCH(A325&amp;"ENTRADA",Movimientos!$R$5:$R$2001,0))=0,"S/D",INDEX(Movimientos!$M$5:$M$2001,MATCH(A325&amp;"ENTRADA",Movimientos!$R$5:$R$2001,0))),"S/D")</f>
        <v>S/D</v>
      </c>
      <c r="I325" s="16" t="str">
        <f t="shared" ca="1" si="10"/>
        <v>S/D</v>
      </c>
      <c r="J325" s="6">
        <f>IF(A325="","",SUMIFS(Movimientos!$K:$K,Movimientos!$H:$H,A325))</f>
        <v>0</v>
      </c>
      <c r="K325" s="14" t="str">
        <f t="shared" ca="1" si="11"/>
        <v>OK</v>
      </c>
    </row>
    <row r="326" spans="1:11">
      <c r="A326" s="18" t="s">
        <v>2399</v>
      </c>
      <c r="B326" s="3" t="str">
        <f>IFERROR(INDEX(Movimientos!$C$5:$C$2001,MATCH(A326&amp;"ENTRADA",Movimientos!$R$5:$R$2001,0)),"-")</f>
        <v>-</v>
      </c>
      <c r="C326" s="3" t="str">
        <f>IFERROR(INDEX(Movimientos!$D$5:$D$2001,MATCH(A326&amp;"ENTRADA",Movimientos!$R$5:$R$2001,0)),"-")</f>
        <v>-</v>
      </c>
      <c r="D326" s="3" t="str">
        <f>IFERROR(INDEX(Movimientos!$E$5:$E$2001,MATCH(A326&amp;"ENTRADA",Movimientos!$R$5:$R$2001,0)),"-")</f>
        <v>-</v>
      </c>
      <c r="E326" s="3" t="str">
        <f>IFERROR(INDEX(Movimientos!$F$5:$F$2001,MATCH(A326&amp;"ENTRADA",Movimientos!$R$5:$R$2001,0)),"-")</f>
        <v>-</v>
      </c>
      <c r="F326" s="3" t="str">
        <f>IFERROR(INDEX(Movimientos!$G$5:$G$2001,MATCH(A326&amp;"ENTRADA",Movimientos!$R$5:$R$2001,0)),"-")</f>
        <v>-</v>
      </c>
      <c r="G326" s="3" t="str">
        <f>IFERROR(INDEX(Movimientos!$L$5:$L$2001,MATCH(A326&amp;"ENTRADA",Movimientos!$R$5:$R$2001,0)),"-")</f>
        <v>-</v>
      </c>
      <c r="H326" s="19" t="str">
        <f>IFERROR(IF(INDEX(Movimientos!$M$5:$M$2001,MATCH(A326&amp;"ENTRADA",Movimientos!$R$5:$R$2001,0))=0,"S/D",INDEX(Movimientos!$M$5:$M$2001,MATCH(A326&amp;"ENTRADA",Movimientos!$R$5:$R$2001,0))),"S/D")</f>
        <v>S/D</v>
      </c>
      <c r="I326" s="16" t="str">
        <f t="shared" ca="1" si="10"/>
        <v>S/D</v>
      </c>
      <c r="J326" s="6">
        <f>IF(A326="","",SUMIFS(Movimientos!$K:$K,Movimientos!$H:$H,A326))</f>
        <v>0</v>
      </c>
      <c r="K326" s="14" t="str">
        <f t="shared" ca="1" si="11"/>
        <v>OK</v>
      </c>
    </row>
    <row r="327" spans="1:11">
      <c r="A327" s="18" t="s">
        <v>2400</v>
      </c>
      <c r="B327" s="3" t="str">
        <f>IFERROR(INDEX(Movimientos!$C$5:$C$2001,MATCH(A327&amp;"ENTRADA",Movimientos!$R$5:$R$2001,0)),"-")</f>
        <v>-</v>
      </c>
      <c r="C327" s="3" t="str">
        <f>IFERROR(INDEX(Movimientos!$D$5:$D$2001,MATCH(A327&amp;"ENTRADA",Movimientos!$R$5:$R$2001,0)),"-")</f>
        <v>-</v>
      </c>
      <c r="D327" s="3" t="str">
        <f>IFERROR(INDEX(Movimientos!$E$5:$E$2001,MATCH(A327&amp;"ENTRADA",Movimientos!$R$5:$R$2001,0)),"-")</f>
        <v>-</v>
      </c>
      <c r="E327" s="3" t="str">
        <f>IFERROR(INDEX(Movimientos!$F$5:$F$2001,MATCH(A327&amp;"ENTRADA",Movimientos!$R$5:$R$2001,0)),"-")</f>
        <v>-</v>
      </c>
      <c r="F327" s="3" t="str">
        <f>IFERROR(INDEX(Movimientos!$G$5:$G$2001,MATCH(A327&amp;"ENTRADA",Movimientos!$R$5:$R$2001,0)),"-")</f>
        <v>-</v>
      </c>
      <c r="G327" s="3" t="str">
        <f>IFERROR(INDEX(Movimientos!$L$5:$L$2001,MATCH(A327&amp;"ENTRADA",Movimientos!$R$5:$R$2001,0)),"-")</f>
        <v>-</v>
      </c>
      <c r="H327" s="19" t="str">
        <f>IFERROR(IF(INDEX(Movimientos!$M$5:$M$2001,MATCH(A327&amp;"ENTRADA",Movimientos!$R$5:$R$2001,0))=0,"S/D",INDEX(Movimientos!$M$5:$M$2001,MATCH(A327&amp;"ENTRADA",Movimientos!$R$5:$R$2001,0))),"S/D")</f>
        <v>S/D</v>
      </c>
      <c r="I327" s="16" t="str">
        <f t="shared" ca="1" si="10"/>
        <v>S/D</v>
      </c>
      <c r="J327" s="6">
        <f>IF(A327="","",SUMIFS(Movimientos!$K:$K,Movimientos!$H:$H,A327))</f>
        <v>0</v>
      </c>
      <c r="K327" s="14" t="str">
        <f t="shared" ca="1" si="11"/>
        <v>OK</v>
      </c>
    </row>
    <row r="328" spans="1:11">
      <c r="A328" s="18" t="s">
        <v>2401</v>
      </c>
      <c r="B328" s="3" t="str">
        <f>IFERROR(INDEX(Movimientos!$C$5:$C$2001,MATCH(A328&amp;"ENTRADA",Movimientos!$R$5:$R$2001,0)),"-")</f>
        <v>-</v>
      </c>
      <c r="C328" s="3" t="str">
        <f>IFERROR(INDEX(Movimientos!$D$5:$D$2001,MATCH(A328&amp;"ENTRADA",Movimientos!$R$5:$R$2001,0)),"-")</f>
        <v>-</v>
      </c>
      <c r="D328" s="3" t="str">
        <f>IFERROR(INDEX(Movimientos!$E$5:$E$2001,MATCH(A328&amp;"ENTRADA",Movimientos!$R$5:$R$2001,0)),"-")</f>
        <v>-</v>
      </c>
      <c r="E328" s="3" t="str">
        <f>IFERROR(INDEX(Movimientos!$F$5:$F$2001,MATCH(A328&amp;"ENTRADA",Movimientos!$R$5:$R$2001,0)),"-")</f>
        <v>-</v>
      </c>
      <c r="F328" s="3" t="str">
        <f>IFERROR(INDEX(Movimientos!$G$5:$G$2001,MATCH(A328&amp;"ENTRADA",Movimientos!$R$5:$R$2001,0)),"-")</f>
        <v>-</v>
      </c>
      <c r="G328" s="3" t="str">
        <f>IFERROR(INDEX(Movimientos!$L$5:$L$2001,MATCH(A328&amp;"ENTRADA",Movimientos!$R$5:$R$2001,0)),"-")</f>
        <v>-</v>
      </c>
      <c r="H328" s="19" t="str">
        <f>IFERROR(IF(INDEX(Movimientos!$M$5:$M$2001,MATCH(A328&amp;"ENTRADA",Movimientos!$R$5:$R$2001,0))=0,"S/D",INDEX(Movimientos!$M$5:$M$2001,MATCH(A328&amp;"ENTRADA",Movimientos!$R$5:$R$2001,0))),"S/D")</f>
        <v>S/D</v>
      </c>
      <c r="I328" s="16" t="str">
        <f t="shared" ca="1" si="10"/>
        <v>S/D</v>
      </c>
      <c r="J328" s="6">
        <f>IF(A328="","",SUMIFS(Movimientos!$K:$K,Movimientos!$H:$H,A328))</f>
        <v>0</v>
      </c>
      <c r="K328" s="14" t="str">
        <f t="shared" ca="1" si="11"/>
        <v>OK</v>
      </c>
    </row>
    <row r="329" spans="1:11">
      <c r="A329" s="18" t="s">
        <v>2402</v>
      </c>
      <c r="B329" s="3" t="str">
        <f>IFERROR(INDEX(Movimientos!$C$5:$C$2001,MATCH(A329&amp;"ENTRADA",Movimientos!$R$5:$R$2001,0)),"-")</f>
        <v>-</v>
      </c>
      <c r="C329" s="3" t="str">
        <f>IFERROR(INDEX(Movimientos!$D$5:$D$2001,MATCH(A329&amp;"ENTRADA",Movimientos!$R$5:$R$2001,0)),"-")</f>
        <v>-</v>
      </c>
      <c r="D329" s="3" t="str">
        <f>IFERROR(INDEX(Movimientos!$E$5:$E$2001,MATCH(A329&amp;"ENTRADA",Movimientos!$R$5:$R$2001,0)),"-")</f>
        <v>-</v>
      </c>
      <c r="E329" s="3" t="str">
        <f>IFERROR(INDEX(Movimientos!$F$5:$F$2001,MATCH(A329&amp;"ENTRADA",Movimientos!$R$5:$R$2001,0)),"-")</f>
        <v>-</v>
      </c>
      <c r="F329" s="3" t="str">
        <f>IFERROR(INDEX(Movimientos!$G$5:$G$2001,MATCH(A329&amp;"ENTRADA",Movimientos!$R$5:$R$2001,0)),"-")</f>
        <v>-</v>
      </c>
      <c r="G329" s="3" t="str">
        <f>IFERROR(INDEX(Movimientos!$L$5:$L$2001,MATCH(A329&amp;"ENTRADA",Movimientos!$R$5:$R$2001,0)),"-")</f>
        <v>-</v>
      </c>
      <c r="H329" s="19" t="str">
        <f>IFERROR(IF(INDEX(Movimientos!$M$5:$M$2001,MATCH(A329&amp;"ENTRADA",Movimientos!$R$5:$R$2001,0))=0,"S/D",INDEX(Movimientos!$M$5:$M$2001,MATCH(A329&amp;"ENTRADA",Movimientos!$R$5:$R$2001,0))),"S/D")</f>
        <v>S/D</v>
      </c>
      <c r="I329" s="16" t="str">
        <f t="shared" ca="1" si="10"/>
        <v>S/D</v>
      </c>
      <c r="J329" s="6">
        <f>IF(A329="","",SUMIFS(Movimientos!$K:$K,Movimientos!$H:$H,A329))</f>
        <v>0</v>
      </c>
      <c r="K329" s="14" t="str">
        <f t="shared" ca="1" si="11"/>
        <v>OK</v>
      </c>
    </row>
    <row r="330" spans="1:11">
      <c r="A330" s="18" t="s">
        <v>2403</v>
      </c>
      <c r="B330" s="3" t="str">
        <f>IFERROR(INDEX(Movimientos!$C$5:$C$2001,MATCH(A330&amp;"ENTRADA",Movimientos!$R$5:$R$2001,0)),"-")</f>
        <v>-</v>
      </c>
      <c r="C330" s="3" t="str">
        <f>IFERROR(INDEX(Movimientos!$D$5:$D$2001,MATCH(A330&amp;"ENTRADA",Movimientos!$R$5:$R$2001,0)),"-")</f>
        <v>-</v>
      </c>
      <c r="D330" s="3" t="str">
        <f>IFERROR(INDEX(Movimientos!$E$5:$E$2001,MATCH(A330&amp;"ENTRADA",Movimientos!$R$5:$R$2001,0)),"-")</f>
        <v>-</v>
      </c>
      <c r="E330" s="3" t="str">
        <f>IFERROR(INDEX(Movimientos!$F$5:$F$2001,MATCH(A330&amp;"ENTRADA",Movimientos!$R$5:$R$2001,0)),"-")</f>
        <v>-</v>
      </c>
      <c r="F330" s="3" t="str">
        <f>IFERROR(INDEX(Movimientos!$G$5:$G$2001,MATCH(A330&amp;"ENTRADA",Movimientos!$R$5:$R$2001,0)),"-")</f>
        <v>-</v>
      </c>
      <c r="G330" s="3" t="str">
        <f>IFERROR(INDEX(Movimientos!$L$5:$L$2001,MATCH(A330&amp;"ENTRADA",Movimientos!$R$5:$R$2001,0)),"-")</f>
        <v>-</v>
      </c>
      <c r="H330" s="19" t="str">
        <f>IFERROR(IF(INDEX(Movimientos!$M$5:$M$2001,MATCH(A330&amp;"ENTRADA",Movimientos!$R$5:$R$2001,0))=0,"S/D",INDEX(Movimientos!$M$5:$M$2001,MATCH(A330&amp;"ENTRADA",Movimientos!$R$5:$R$2001,0))),"S/D")</f>
        <v>S/D</v>
      </c>
      <c r="I330" s="16" t="str">
        <f t="shared" ca="1" si="10"/>
        <v>S/D</v>
      </c>
      <c r="J330" s="6">
        <f>IF(A330="","",SUMIFS(Movimientos!$K:$K,Movimientos!$H:$H,A330))</f>
        <v>0</v>
      </c>
      <c r="K330" s="14" t="str">
        <f t="shared" ca="1" si="11"/>
        <v>OK</v>
      </c>
    </row>
    <row r="331" spans="1:11">
      <c r="A331" s="18" t="s">
        <v>2404</v>
      </c>
      <c r="B331" s="3" t="str">
        <f>IFERROR(INDEX(Movimientos!$C$5:$C$2001,MATCH(A331&amp;"ENTRADA",Movimientos!$R$5:$R$2001,0)),"-")</f>
        <v>-</v>
      </c>
      <c r="C331" s="3" t="str">
        <f>IFERROR(INDEX(Movimientos!$D$5:$D$2001,MATCH(A331&amp;"ENTRADA",Movimientos!$R$5:$R$2001,0)),"-")</f>
        <v>-</v>
      </c>
      <c r="D331" s="3" t="str">
        <f>IFERROR(INDEX(Movimientos!$E$5:$E$2001,MATCH(A331&amp;"ENTRADA",Movimientos!$R$5:$R$2001,0)),"-")</f>
        <v>-</v>
      </c>
      <c r="E331" s="3" t="str">
        <f>IFERROR(INDEX(Movimientos!$F$5:$F$2001,MATCH(A331&amp;"ENTRADA",Movimientos!$R$5:$R$2001,0)),"-")</f>
        <v>-</v>
      </c>
      <c r="F331" s="3" t="str">
        <f>IFERROR(INDEX(Movimientos!$G$5:$G$2001,MATCH(A331&amp;"ENTRADA",Movimientos!$R$5:$R$2001,0)),"-")</f>
        <v>-</v>
      </c>
      <c r="G331" s="3" t="str">
        <f>IFERROR(INDEX(Movimientos!$L$5:$L$2001,MATCH(A331&amp;"ENTRADA",Movimientos!$R$5:$R$2001,0)),"-")</f>
        <v>-</v>
      </c>
      <c r="H331" s="19" t="str">
        <f>IFERROR(IF(INDEX(Movimientos!$M$5:$M$2001,MATCH(A331&amp;"ENTRADA",Movimientos!$R$5:$R$2001,0))=0,"S/D",INDEX(Movimientos!$M$5:$M$2001,MATCH(A331&amp;"ENTRADA",Movimientos!$R$5:$R$2001,0))),"S/D")</f>
        <v>S/D</v>
      </c>
      <c r="I331" s="16" t="str">
        <f t="shared" ref="I331:I394" ca="1" si="12">IF(OR(A331="",H331="S/D"),"S/D",H331-TODAY())</f>
        <v>S/D</v>
      </c>
      <c r="J331" s="6">
        <f>IF(A331="","",SUMIFS(Movimientos!$K:$K,Movimientos!$H:$H,A331))</f>
        <v>0</v>
      </c>
      <c r="K331" s="14" t="str">
        <f t="shared" ref="K331:K394" ca="1" si="13">IF(A331="","",IF(H331="S/D","OK",IF(H331&lt;TODAY(),"VENCIDO",IF(J331&lt;=0,"SIN STOCK",IF(I331&gt;=180,"OK","PRÓXIMO A VENCER")))))</f>
        <v>OK</v>
      </c>
    </row>
    <row r="332" spans="1:11">
      <c r="A332" s="18" t="s">
        <v>2405</v>
      </c>
      <c r="B332" s="3" t="str">
        <f>IFERROR(INDEX(Movimientos!$C$5:$C$2001,MATCH(A332&amp;"ENTRADA",Movimientos!$R$5:$R$2001,0)),"-")</f>
        <v>-</v>
      </c>
      <c r="C332" s="3" t="str">
        <f>IFERROR(INDEX(Movimientos!$D$5:$D$2001,MATCH(A332&amp;"ENTRADA",Movimientos!$R$5:$R$2001,0)),"-")</f>
        <v>-</v>
      </c>
      <c r="D332" s="3" t="str">
        <f>IFERROR(INDEX(Movimientos!$E$5:$E$2001,MATCH(A332&amp;"ENTRADA",Movimientos!$R$5:$R$2001,0)),"-")</f>
        <v>-</v>
      </c>
      <c r="E332" s="3" t="str">
        <f>IFERROR(INDEX(Movimientos!$F$5:$F$2001,MATCH(A332&amp;"ENTRADA",Movimientos!$R$5:$R$2001,0)),"-")</f>
        <v>-</v>
      </c>
      <c r="F332" s="3" t="str">
        <f>IFERROR(INDEX(Movimientos!$G$5:$G$2001,MATCH(A332&amp;"ENTRADA",Movimientos!$R$5:$R$2001,0)),"-")</f>
        <v>-</v>
      </c>
      <c r="G332" s="3" t="str">
        <f>IFERROR(INDEX(Movimientos!$L$5:$L$2001,MATCH(A332&amp;"ENTRADA",Movimientos!$R$5:$R$2001,0)),"-")</f>
        <v>-</v>
      </c>
      <c r="H332" s="19" t="str">
        <f>IFERROR(IF(INDEX(Movimientos!$M$5:$M$2001,MATCH(A332&amp;"ENTRADA",Movimientos!$R$5:$R$2001,0))=0,"S/D",INDEX(Movimientos!$M$5:$M$2001,MATCH(A332&amp;"ENTRADA",Movimientos!$R$5:$R$2001,0))),"S/D")</f>
        <v>S/D</v>
      </c>
      <c r="I332" s="16" t="str">
        <f t="shared" ca="1" si="12"/>
        <v>S/D</v>
      </c>
      <c r="J332" s="6">
        <f>IF(A332="","",SUMIFS(Movimientos!$K:$K,Movimientos!$H:$H,A332))</f>
        <v>0</v>
      </c>
      <c r="K332" s="14" t="str">
        <f t="shared" ca="1" si="13"/>
        <v>OK</v>
      </c>
    </row>
    <row r="333" spans="1:11">
      <c r="A333" s="18" t="s">
        <v>2406</v>
      </c>
      <c r="B333" s="3" t="str">
        <f>IFERROR(INDEX(Movimientos!$C$5:$C$2001,MATCH(A333&amp;"ENTRADA",Movimientos!$R$5:$R$2001,0)),"-")</f>
        <v>-</v>
      </c>
      <c r="C333" s="3" t="str">
        <f>IFERROR(INDEX(Movimientos!$D$5:$D$2001,MATCH(A333&amp;"ENTRADA",Movimientos!$R$5:$R$2001,0)),"-")</f>
        <v>-</v>
      </c>
      <c r="D333" s="3" t="str">
        <f>IFERROR(INDEX(Movimientos!$E$5:$E$2001,MATCH(A333&amp;"ENTRADA",Movimientos!$R$5:$R$2001,0)),"-")</f>
        <v>-</v>
      </c>
      <c r="E333" s="3" t="str">
        <f>IFERROR(INDEX(Movimientos!$F$5:$F$2001,MATCH(A333&amp;"ENTRADA",Movimientos!$R$5:$R$2001,0)),"-")</f>
        <v>-</v>
      </c>
      <c r="F333" s="3" t="str">
        <f>IFERROR(INDEX(Movimientos!$G$5:$G$2001,MATCH(A333&amp;"ENTRADA",Movimientos!$R$5:$R$2001,0)),"-")</f>
        <v>-</v>
      </c>
      <c r="G333" s="3" t="str">
        <f>IFERROR(INDEX(Movimientos!$L$5:$L$2001,MATCH(A333&amp;"ENTRADA",Movimientos!$R$5:$R$2001,0)),"-")</f>
        <v>-</v>
      </c>
      <c r="H333" s="19" t="str">
        <f>IFERROR(IF(INDEX(Movimientos!$M$5:$M$2001,MATCH(A333&amp;"ENTRADA",Movimientos!$R$5:$R$2001,0))=0,"S/D",INDEX(Movimientos!$M$5:$M$2001,MATCH(A333&amp;"ENTRADA",Movimientos!$R$5:$R$2001,0))),"S/D")</f>
        <v>S/D</v>
      </c>
      <c r="I333" s="16" t="str">
        <f t="shared" ca="1" si="12"/>
        <v>S/D</v>
      </c>
      <c r="J333" s="6">
        <f>IF(A333="","",SUMIFS(Movimientos!$K:$K,Movimientos!$H:$H,A333))</f>
        <v>0</v>
      </c>
      <c r="K333" s="14" t="str">
        <f t="shared" ca="1" si="13"/>
        <v>OK</v>
      </c>
    </row>
    <row r="334" spans="1:11">
      <c r="A334" s="18" t="s">
        <v>2407</v>
      </c>
      <c r="B334" s="3" t="str">
        <f>IFERROR(INDEX(Movimientos!$C$5:$C$2001,MATCH(A334&amp;"ENTRADA",Movimientos!$R$5:$R$2001,0)),"-")</f>
        <v>-</v>
      </c>
      <c r="C334" s="3" t="str">
        <f>IFERROR(INDEX(Movimientos!$D$5:$D$2001,MATCH(A334&amp;"ENTRADA",Movimientos!$R$5:$R$2001,0)),"-")</f>
        <v>-</v>
      </c>
      <c r="D334" s="3" t="str">
        <f>IFERROR(INDEX(Movimientos!$E$5:$E$2001,MATCH(A334&amp;"ENTRADA",Movimientos!$R$5:$R$2001,0)),"-")</f>
        <v>-</v>
      </c>
      <c r="E334" s="3" t="str">
        <f>IFERROR(INDEX(Movimientos!$F$5:$F$2001,MATCH(A334&amp;"ENTRADA",Movimientos!$R$5:$R$2001,0)),"-")</f>
        <v>-</v>
      </c>
      <c r="F334" s="3" t="str">
        <f>IFERROR(INDEX(Movimientos!$G$5:$G$2001,MATCH(A334&amp;"ENTRADA",Movimientos!$R$5:$R$2001,0)),"-")</f>
        <v>-</v>
      </c>
      <c r="G334" s="3" t="str">
        <f>IFERROR(INDEX(Movimientos!$L$5:$L$2001,MATCH(A334&amp;"ENTRADA",Movimientos!$R$5:$R$2001,0)),"-")</f>
        <v>-</v>
      </c>
      <c r="H334" s="19" t="str">
        <f>IFERROR(IF(INDEX(Movimientos!$M$5:$M$2001,MATCH(A334&amp;"ENTRADA",Movimientos!$R$5:$R$2001,0))=0,"S/D",INDEX(Movimientos!$M$5:$M$2001,MATCH(A334&amp;"ENTRADA",Movimientos!$R$5:$R$2001,0))),"S/D")</f>
        <v>S/D</v>
      </c>
      <c r="I334" s="16" t="str">
        <f t="shared" ca="1" si="12"/>
        <v>S/D</v>
      </c>
      <c r="J334" s="6">
        <f>IF(A334="","",SUMIFS(Movimientos!$K:$K,Movimientos!$H:$H,A334))</f>
        <v>0</v>
      </c>
      <c r="K334" s="14" t="str">
        <f t="shared" ca="1" si="13"/>
        <v>OK</v>
      </c>
    </row>
    <row r="335" spans="1:11">
      <c r="A335" s="18" t="s">
        <v>2408</v>
      </c>
      <c r="B335" s="3" t="str">
        <f>IFERROR(INDEX(Movimientos!$C$5:$C$2001,MATCH(A335&amp;"ENTRADA",Movimientos!$R$5:$R$2001,0)),"-")</f>
        <v>-</v>
      </c>
      <c r="C335" s="3" t="str">
        <f>IFERROR(INDEX(Movimientos!$D$5:$D$2001,MATCH(A335&amp;"ENTRADA",Movimientos!$R$5:$R$2001,0)),"-")</f>
        <v>-</v>
      </c>
      <c r="D335" s="3" t="str">
        <f>IFERROR(INDEX(Movimientos!$E$5:$E$2001,MATCH(A335&amp;"ENTRADA",Movimientos!$R$5:$R$2001,0)),"-")</f>
        <v>-</v>
      </c>
      <c r="E335" s="3" t="str">
        <f>IFERROR(INDEX(Movimientos!$F$5:$F$2001,MATCH(A335&amp;"ENTRADA",Movimientos!$R$5:$R$2001,0)),"-")</f>
        <v>-</v>
      </c>
      <c r="F335" s="3" t="str">
        <f>IFERROR(INDEX(Movimientos!$G$5:$G$2001,MATCH(A335&amp;"ENTRADA",Movimientos!$R$5:$R$2001,0)),"-")</f>
        <v>-</v>
      </c>
      <c r="G335" s="3" t="str">
        <f>IFERROR(INDEX(Movimientos!$L$5:$L$2001,MATCH(A335&amp;"ENTRADA",Movimientos!$R$5:$R$2001,0)),"-")</f>
        <v>-</v>
      </c>
      <c r="H335" s="19" t="str">
        <f>IFERROR(IF(INDEX(Movimientos!$M$5:$M$2001,MATCH(A335&amp;"ENTRADA",Movimientos!$R$5:$R$2001,0))=0,"S/D",INDEX(Movimientos!$M$5:$M$2001,MATCH(A335&amp;"ENTRADA",Movimientos!$R$5:$R$2001,0))),"S/D")</f>
        <v>S/D</v>
      </c>
      <c r="I335" s="16" t="str">
        <f t="shared" ca="1" si="12"/>
        <v>S/D</v>
      </c>
      <c r="J335" s="6">
        <f>IF(A335="","",SUMIFS(Movimientos!$K:$K,Movimientos!$H:$H,A335))</f>
        <v>0</v>
      </c>
      <c r="K335" s="14" t="str">
        <f t="shared" ca="1" si="13"/>
        <v>OK</v>
      </c>
    </row>
    <row r="336" spans="1:11">
      <c r="A336" s="18" t="s">
        <v>2409</v>
      </c>
      <c r="B336" s="3" t="str">
        <f>IFERROR(INDEX(Movimientos!$C$5:$C$2001,MATCH(A336&amp;"ENTRADA",Movimientos!$R$5:$R$2001,0)),"-")</f>
        <v>-</v>
      </c>
      <c r="C336" s="3" t="str">
        <f>IFERROR(INDEX(Movimientos!$D$5:$D$2001,MATCH(A336&amp;"ENTRADA",Movimientos!$R$5:$R$2001,0)),"-")</f>
        <v>-</v>
      </c>
      <c r="D336" s="3" t="str">
        <f>IFERROR(INDEX(Movimientos!$E$5:$E$2001,MATCH(A336&amp;"ENTRADA",Movimientos!$R$5:$R$2001,0)),"-")</f>
        <v>-</v>
      </c>
      <c r="E336" s="3" t="str">
        <f>IFERROR(INDEX(Movimientos!$F$5:$F$2001,MATCH(A336&amp;"ENTRADA",Movimientos!$R$5:$R$2001,0)),"-")</f>
        <v>-</v>
      </c>
      <c r="F336" s="3" t="str">
        <f>IFERROR(INDEX(Movimientos!$G$5:$G$2001,MATCH(A336&amp;"ENTRADA",Movimientos!$R$5:$R$2001,0)),"-")</f>
        <v>-</v>
      </c>
      <c r="G336" s="3" t="str">
        <f>IFERROR(INDEX(Movimientos!$L$5:$L$2001,MATCH(A336&amp;"ENTRADA",Movimientos!$R$5:$R$2001,0)),"-")</f>
        <v>-</v>
      </c>
      <c r="H336" s="19" t="str">
        <f>IFERROR(IF(INDEX(Movimientos!$M$5:$M$2001,MATCH(A336&amp;"ENTRADA",Movimientos!$R$5:$R$2001,0))=0,"S/D",INDEX(Movimientos!$M$5:$M$2001,MATCH(A336&amp;"ENTRADA",Movimientos!$R$5:$R$2001,0))),"S/D")</f>
        <v>S/D</v>
      </c>
      <c r="I336" s="16" t="str">
        <f t="shared" ca="1" si="12"/>
        <v>S/D</v>
      </c>
      <c r="J336" s="6">
        <f>IF(A336="","",SUMIFS(Movimientos!$K:$K,Movimientos!$H:$H,A336))</f>
        <v>0</v>
      </c>
      <c r="K336" s="14" t="str">
        <f t="shared" ca="1" si="13"/>
        <v>OK</v>
      </c>
    </row>
    <row r="337" spans="1:11">
      <c r="A337" s="18" t="s">
        <v>2410</v>
      </c>
      <c r="B337" s="3" t="str">
        <f>IFERROR(INDEX(Movimientos!$C$5:$C$2001,MATCH(A337&amp;"ENTRADA",Movimientos!$R$5:$R$2001,0)),"-")</f>
        <v>-</v>
      </c>
      <c r="C337" s="3" t="str">
        <f>IFERROR(INDEX(Movimientos!$D$5:$D$2001,MATCH(A337&amp;"ENTRADA",Movimientos!$R$5:$R$2001,0)),"-")</f>
        <v>-</v>
      </c>
      <c r="D337" s="3" t="str">
        <f>IFERROR(INDEX(Movimientos!$E$5:$E$2001,MATCH(A337&amp;"ENTRADA",Movimientos!$R$5:$R$2001,0)),"-")</f>
        <v>-</v>
      </c>
      <c r="E337" s="3" t="str">
        <f>IFERROR(INDEX(Movimientos!$F$5:$F$2001,MATCH(A337&amp;"ENTRADA",Movimientos!$R$5:$R$2001,0)),"-")</f>
        <v>-</v>
      </c>
      <c r="F337" s="3" t="str">
        <f>IFERROR(INDEX(Movimientos!$G$5:$G$2001,MATCH(A337&amp;"ENTRADA",Movimientos!$R$5:$R$2001,0)),"-")</f>
        <v>-</v>
      </c>
      <c r="G337" s="3" t="str">
        <f>IFERROR(INDEX(Movimientos!$L$5:$L$2001,MATCH(A337&amp;"ENTRADA",Movimientos!$R$5:$R$2001,0)),"-")</f>
        <v>-</v>
      </c>
      <c r="H337" s="19" t="str">
        <f>IFERROR(IF(INDEX(Movimientos!$M$5:$M$2001,MATCH(A337&amp;"ENTRADA",Movimientos!$R$5:$R$2001,0))=0,"S/D",INDEX(Movimientos!$M$5:$M$2001,MATCH(A337&amp;"ENTRADA",Movimientos!$R$5:$R$2001,0))),"S/D")</f>
        <v>S/D</v>
      </c>
      <c r="I337" s="16" t="str">
        <f t="shared" ca="1" si="12"/>
        <v>S/D</v>
      </c>
      <c r="J337" s="6">
        <f>IF(A337="","",SUMIFS(Movimientos!$K:$K,Movimientos!$H:$H,A337))</f>
        <v>0</v>
      </c>
      <c r="K337" s="14" t="str">
        <f t="shared" ca="1" si="13"/>
        <v>OK</v>
      </c>
    </row>
    <row r="338" spans="1:11">
      <c r="A338" s="18" t="s">
        <v>2411</v>
      </c>
      <c r="B338" s="3" t="str">
        <f>IFERROR(INDEX(Movimientos!$C$5:$C$2001,MATCH(A338&amp;"ENTRADA",Movimientos!$R$5:$R$2001,0)),"-")</f>
        <v>-</v>
      </c>
      <c r="C338" s="3" t="str">
        <f>IFERROR(INDEX(Movimientos!$D$5:$D$2001,MATCH(A338&amp;"ENTRADA",Movimientos!$R$5:$R$2001,0)),"-")</f>
        <v>-</v>
      </c>
      <c r="D338" s="3" t="str">
        <f>IFERROR(INDEX(Movimientos!$E$5:$E$2001,MATCH(A338&amp;"ENTRADA",Movimientos!$R$5:$R$2001,0)),"-")</f>
        <v>-</v>
      </c>
      <c r="E338" s="3" t="str">
        <f>IFERROR(INDEX(Movimientos!$F$5:$F$2001,MATCH(A338&amp;"ENTRADA",Movimientos!$R$5:$R$2001,0)),"-")</f>
        <v>-</v>
      </c>
      <c r="F338" s="3" t="str">
        <f>IFERROR(INDEX(Movimientos!$G$5:$G$2001,MATCH(A338&amp;"ENTRADA",Movimientos!$R$5:$R$2001,0)),"-")</f>
        <v>-</v>
      </c>
      <c r="G338" s="3" t="str">
        <f>IFERROR(INDEX(Movimientos!$L$5:$L$2001,MATCH(A338&amp;"ENTRADA",Movimientos!$R$5:$R$2001,0)),"-")</f>
        <v>-</v>
      </c>
      <c r="H338" s="19" t="str">
        <f>IFERROR(IF(INDEX(Movimientos!$M$5:$M$2001,MATCH(A338&amp;"ENTRADA",Movimientos!$R$5:$R$2001,0))=0,"S/D",INDEX(Movimientos!$M$5:$M$2001,MATCH(A338&amp;"ENTRADA",Movimientos!$R$5:$R$2001,0))),"S/D")</f>
        <v>S/D</v>
      </c>
      <c r="I338" s="16" t="str">
        <f t="shared" ca="1" si="12"/>
        <v>S/D</v>
      </c>
      <c r="J338" s="6">
        <f>IF(A338="","",SUMIFS(Movimientos!$K:$K,Movimientos!$H:$H,A338))</f>
        <v>0</v>
      </c>
      <c r="K338" s="14" t="str">
        <f t="shared" ca="1" si="13"/>
        <v>OK</v>
      </c>
    </row>
    <row r="339" spans="1:11">
      <c r="A339" s="18" t="s">
        <v>2412</v>
      </c>
      <c r="B339" s="3" t="str">
        <f>IFERROR(INDEX(Movimientos!$C$5:$C$2001,MATCH(A339&amp;"ENTRADA",Movimientos!$R$5:$R$2001,0)),"-")</f>
        <v>-</v>
      </c>
      <c r="C339" s="3" t="str">
        <f>IFERROR(INDEX(Movimientos!$D$5:$D$2001,MATCH(A339&amp;"ENTRADA",Movimientos!$R$5:$R$2001,0)),"-")</f>
        <v>-</v>
      </c>
      <c r="D339" s="3" t="str">
        <f>IFERROR(INDEX(Movimientos!$E$5:$E$2001,MATCH(A339&amp;"ENTRADA",Movimientos!$R$5:$R$2001,0)),"-")</f>
        <v>-</v>
      </c>
      <c r="E339" s="3" t="str">
        <f>IFERROR(INDEX(Movimientos!$F$5:$F$2001,MATCH(A339&amp;"ENTRADA",Movimientos!$R$5:$R$2001,0)),"-")</f>
        <v>-</v>
      </c>
      <c r="F339" s="3" t="str">
        <f>IFERROR(INDEX(Movimientos!$G$5:$G$2001,MATCH(A339&amp;"ENTRADA",Movimientos!$R$5:$R$2001,0)),"-")</f>
        <v>-</v>
      </c>
      <c r="G339" s="3" t="str">
        <f>IFERROR(INDEX(Movimientos!$L$5:$L$2001,MATCH(A339&amp;"ENTRADA",Movimientos!$R$5:$R$2001,0)),"-")</f>
        <v>-</v>
      </c>
      <c r="H339" s="19" t="str">
        <f>IFERROR(IF(INDEX(Movimientos!$M$5:$M$2001,MATCH(A339&amp;"ENTRADA",Movimientos!$R$5:$R$2001,0))=0,"S/D",INDEX(Movimientos!$M$5:$M$2001,MATCH(A339&amp;"ENTRADA",Movimientos!$R$5:$R$2001,0))),"S/D")</f>
        <v>S/D</v>
      </c>
      <c r="I339" s="16" t="str">
        <f t="shared" ca="1" si="12"/>
        <v>S/D</v>
      </c>
      <c r="J339" s="6">
        <f>IF(A339="","",SUMIFS(Movimientos!$K:$K,Movimientos!$H:$H,A339))</f>
        <v>0</v>
      </c>
      <c r="K339" s="14" t="str">
        <f t="shared" ca="1" si="13"/>
        <v>OK</v>
      </c>
    </row>
    <row r="340" spans="1:11">
      <c r="A340" s="18" t="s">
        <v>2413</v>
      </c>
      <c r="B340" s="3" t="str">
        <f>IFERROR(INDEX(Movimientos!$C$5:$C$2001,MATCH(A340&amp;"ENTRADA",Movimientos!$R$5:$R$2001,0)),"-")</f>
        <v>-</v>
      </c>
      <c r="C340" s="3" t="str">
        <f>IFERROR(INDEX(Movimientos!$D$5:$D$2001,MATCH(A340&amp;"ENTRADA",Movimientos!$R$5:$R$2001,0)),"-")</f>
        <v>-</v>
      </c>
      <c r="D340" s="3" t="str">
        <f>IFERROR(INDEX(Movimientos!$E$5:$E$2001,MATCH(A340&amp;"ENTRADA",Movimientos!$R$5:$R$2001,0)),"-")</f>
        <v>-</v>
      </c>
      <c r="E340" s="3" t="str">
        <f>IFERROR(INDEX(Movimientos!$F$5:$F$2001,MATCH(A340&amp;"ENTRADA",Movimientos!$R$5:$R$2001,0)),"-")</f>
        <v>-</v>
      </c>
      <c r="F340" s="3" t="str">
        <f>IFERROR(INDEX(Movimientos!$G$5:$G$2001,MATCH(A340&amp;"ENTRADA",Movimientos!$R$5:$R$2001,0)),"-")</f>
        <v>-</v>
      </c>
      <c r="G340" s="3" t="str">
        <f>IFERROR(INDEX(Movimientos!$L$5:$L$2001,MATCH(A340&amp;"ENTRADA",Movimientos!$R$5:$R$2001,0)),"-")</f>
        <v>-</v>
      </c>
      <c r="H340" s="19" t="str">
        <f>IFERROR(IF(INDEX(Movimientos!$M$5:$M$2001,MATCH(A340&amp;"ENTRADA",Movimientos!$R$5:$R$2001,0))=0,"S/D",INDEX(Movimientos!$M$5:$M$2001,MATCH(A340&amp;"ENTRADA",Movimientos!$R$5:$R$2001,0))),"S/D")</f>
        <v>S/D</v>
      </c>
      <c r="I340" s="16" t="str">
        <f t="shared" ca="1" si="12"/>
        <v>S/D</v>
      </c>
      <c r="J340" s="6">
        <f>IF(A340="","",SUMIFS(Movimientos!$K:$K,Movimientos!$H:$H,A340))</f>
        <v>0</v>
      </c>
      <c r="K340" s="14" t="str">
        <f t="shared" ca="1" si="13"/>
        <v>OK</v>
      </c>
    </row>
    <row r="341" spans="1:11">
      <c r="A341" s="18" t="s">
        <v>2414</v>
      </c>
      <c r="B341" s="3" t="str">
        <f>IFERROR(INDEX(Movimientos!$C$5:$C$2001,MATCH(A341&amp;"ENTRADA",Movimientos!$R$5:$R$2001,0)),"-")</f>
        <v>-</v>
      </c>
      <c r="C341" s="3" t="str">
        <f>IFERROR(INDEX(Movimientos!$D$5:$D$2001,MATCH(A341&amp;"ENTRADA",Movimientos!$R$5:$R$2001,0)),"-")</f>
        <v>-</v>
      </c>
      <c r="D341" s="3" t="str">
        <f>IFERROR(INDEX(Movimientos!$E$5:$E$2001,MATCH(A341&amp;"ENTRADA",Movimientos!$R$5:$R$2001,0)),"-")</f>
        <v>-</v>
      </c>
      <c r="E341" s="3" t="str">
        <f>IFERROR(INDEX(Movimientos!$F$5:$F$2001,MATCH(A341&amp;"ENTRADA",Movimientos!$R$5:$R$2001,0)),"-")</f>
        <v>-</v>
      </c>
      <c r="F341" s="3" t="str">
        <f>IFERROR(INDEX(Movimientos!$G$5:$G$2001,MATCH(A341&amp;"ENTRADA",Movimientos!$R$5:$R$2001,0)),"-")</f>
        <v>-</v>
      </c>
      <c r="G341" s="3" t="str">
        <f>IFERROR(INDEX(Movimientos!$L$5:$L$2001,MATCH(A341&amp;"ENTRADA",Movimientos!$R$5:$R$2001,0)),"-")</f>
        <v>-</v>
      </c>
      <c r="H341" s="19" t="str">
        <f>IFERROR(IF(INDEX(Movimientos!$M$5:$M$2001,MATCH(A341&amp;"ENTRADA",Movimientos!$R$5:$R$2001,0))=0,"S/D",INDEX(Movimientos!$M$5:$M$2001,MATCH(A341&amp;"ENTRADA",Movimientos!$R$5:$R$2001,0))),"S/D")</f>
        <v>S/D</v>
      </c>
      <c r="I341" s="16" t="str">
        <f t="shared" ca="1" si="12"/>
        <v>S/D</v>
      </c>
      <c r="J341" s="6">
        <f>IF(A341="","",SUMIFS(Movimientos!$K:$K,Movimientos!$H:$H,A341))</f>
        <v>0</v>
      </c>
      <c r="K341" s="14" t="str">
        <f t="shared" ca="1" si="13"/>
        <v>OK</v>
      </c>
    </row>
    <row r="342" spans="1:11">
      <c r="A342" s="18" t="s">
        <v>2415</v>
      </c>
      <c r="B342" s="3" t="str">
        <f>IFERROR(INDEX(Movimientos!$C$5:$C$2001,MATCH(A342&amp;"ENTRADA",Movimientos!$R$5:$R$2001,0)),"-")</f>
        <v>-</v>
      </c>
      <c r="C342" s="3" t="str">
        <f>IFERROR(INDEX(Movimientos!$D$5:$D$2001,MATCH(A342&amp;"ENTRADA",Movimientos!$R$5:$R$2001,0)),"-")</f>
        <v>-</v>
      </c>
      <c r="D342" s="3" t="str">
        <f>IFERROR(INDEX(Movimientos!$E$5:$E$2001,MATCH(A342&amp;"ENTRADA",Movimientos!$R$5:$R$2001,0)),"-")</f>
        <v>-</v>
      </c>
      <c r="E342" s="3" t="str">
        <f>IFERROR(INDEX(Movimientos!$F$5:$F$2001,MATCH(A342&amp;"ENTRADA",Movimientos!$R$5:$R$2001,0)),"-")</f>
        <v>-</v>
      </c>
      <c r="F342" s="3" t="str">
        <f>IFERROR(INDEX(Movimientos!$G$5:$G$2001,MATCH(A342&amp;"ENTRADA",Movimientos!$R$5:$R$2001,0)),"-")</f>
        <v>-</v>
      </c>
      <c r="G342" s="3" t="str">
        <f>IFERROR(INDEX(Movimientos!$L$5:$L$2001,MATCH(A342&amp;"ENTRADA",Movimientos!$R$5:$R$2001,0)),"-")</f>
        <v>-</v>
      </c>
      <c r="H342" s="19" t="str">
        <f>IFERROR(IF(INDEX(Movimientos!$M$5:$M$2001,MATCH(A342&amp;"ENTRADA",Movimientos!$R$5:$R$2001,0))=0,"S/D",INDEX(Movimientos!$M$5:$M$2001,MATCH(A342&amp;"ENTRADA",Movimientos!$R$5:$R$2001,0))),"S/D")</f>
        <v>S/D</v>
      </c>
      <c r="I342" s="16" t="str">
        <f t="shared" ca="1" si="12"/>
        <v>S/D</v>
      </c>
      <c r="J342" s="6">
        <f>IF(A342="","",SUMIFS(Movimientos!$K:$K,Movimientos!$H:$H,A342))</f>
        <v>0</v>
      </c>
      <c r="K342" s="14" t="str">
        <f t="shared" ca="1" si="13"/>
        <v>OK</v>
      </c>
    </row>
    <row r="343" spans="1:11">
      <c r="A343" s="18" t="s">
        <v>2416</v>
      </c>
      <c r="B343" s="3" t="str">
        <f>IFERROR(INDEX(Movimientos!$C$5:$C$2001,MATCH(A343&amp;"ENTRADA",Movimientos!$R$5:$R$2001,0)),"-")</f>
        <v>-</v>
      </c>
      <c r="C343" s="3" t="str">
        <f>IFERROR(INDEX(Movimientos!$D$5:$D$2001,MATCH(A343&amp;"ENTRADA",Movimientos!$R$5:$R$2001,0)),"-")</f>
        <v>-</v>
      </c>
      <c r="D343" s="3" t="str">
        <f>IFERROR(INDEX(Movimientos!$E$5:$E$2001,MATCH(A343&amp;"ENTRADA",Movimientos!$R$5:$R$2001,0)),"-")</f>
        <v>-</v>
      </c>
      <c r="E343" s="3" t="str">
        <f>IFERROR(INDEX(Movimientos!$F$5:$F$2001,MATCH(A343&amp;"ENTRADA",Movimientos!$R$5:$R$2001,0)),"-")</f>
        <v>-</v>
      </c>
      <c r="F343" s="3" t="str">
        <f>IFERROR(INDEX(Movimientos!$G$5:$G$2001,MATCH(A343&amp;"ENTRADA",Movimientos!$R$5:$R$2001,0)),"-")</f>
        <v>-</v>
      </c>
      <c r="G343" s="3" t="str">
        <f>IFERROR(INDEX(Movimientos!$L$5:$L$2001,MATCH(A343&amp;"ENTRADA",Movimientos!$R$5:$R$2001,0)),"-")</f>
        <v>-</v>
      </c>
      <c r="H343" s="19" t="str">
        <f>IFERROR(IF(INDEX(Movimientos!$M$5:$M$2001,MATCH(A343&amp;"ENTRADA",Movimientos!$R$5:$R$2001,0))=0,"S/D",INDEX(Movimientos!$M$5:$M$2001,MATCH(A343&amp;"ENTRADA",Movimientos!$R$5:$R$2001,0))),"S/D")</f>
        <v>S/D</v>
      </c>
      <c r="I343" s="16" t="str">
        <f t="shared" ca="1" si="12"/>
        <v>S/D</v>
      </c>
      <c r="J343" s="6">
        <f>IF(A343="","",SUMIFS(Movimientos!$K:$K,Movimientos!$H:$H,A343))</f>
        <v>0</v>
      </c>
      <c r="K343" s="14" t="str">
        <f t="shared" ca="1" si="13"/>
        <v>OK</v>
      </c>
    </row>
    <row r="344" spans="1:11">
      <c r="A344" s="18" t="s">
        <v>2417</v>
      </c>
      <c r="B344" s="3" t="str">
        <f>IFERROR(INDEX(Movimientos!$C$5:$C$2001,MATCH(A344&amp;"ENTRADA",Movimientos!$R$5:$R$2001,0)),"-")</f>
        <v>-</v>
      </c>
      <c r="C344" s="3" t="str">
        <f>IFERROR(INDEX(Movimientos!$D$5:$D$2001,MATCH(A344&amp;"ENTRADA",Movimientos!$R$5:$R$2001,0)),"-")</f>
        <v>-</v>
      </c>
      <c r="D344" s="3" t="str">
        <f>IFERROR(INDEX(Movimientos!$E$5:$E$2001,MATCH(A344&amp;"ENTRADA",Movimientos!$R$5:$R$2001,0)),"-")</f>
        <v>-</v>
      </c>
      <c r="E344" s="3" t="str">
        <f>IFERROR(INDEX(Movimientos!$F$5:$F$2001,MATCH(A344&amp;"ENTRADA",Movimientos!$R$5:$R$2001,0)),"-")</f>
        <v>-</v>
      </c>
      <c r="F344" s="3" t="str">
        <f>IFERROR(INDEX(Movimientos!$G$5:$G$2001,MATCH(A344&amp;"ENTRADA",Movimientos!$R$5:$R$2001,0)),"-")</f>
        <v>-</v>
      </c>
      <c r="G344" s="3" t="str">
        <f>IFERROR(INDEX(Movimientos!$L$5:$L$2001,MATCH(A344&amp;"ENTRADA",Movimientos!$R$5:$R$2001,0)),"-")</f>
        <v>-</v>
      </c>
      <c r="H344" s="19" t="str">
        <f>IFERROR(IF(INDEX(Movimientos!$M$5:$M$2001,MATCH(A344&amp;"ENTRADA",Movimientos!$R$5:$R$2001,0))=0,"S/D",INDEX(Movimientos!$M$5:$M$2001,MATCH(A344&amp;"ENTRADA",Movimientos!$R$5:$R$2001,0))),"S/D")</f>
        <v>S/D</v>
      </c>
      <c r="I344" s="16" t="str">
        <f t="shared" ca="1" si="12"/>
        <v>S/D</v>
      </c>
      <c r="J344" s="6">
        <f>IF(A344="","",SUMIFS(Movimientos!$K:$K,Movimientos!$H:$H,A344))</f>
        <v>0</v>
      </c>
      <c r="K344" s="14" t="str">
        <f t="shared" ca="1" si="13"/>
        <v>OK</v>
      </c>
    </row>
    <row r="345" spans="1:11">
      <c r="A345" s="18" t="s">
        <v>2418</v>
      </c>
      <c r="B345" s="3" t="str">
        <f>IFERROR(INDEX(Movimientos!$C$5:$C$2001,MATCH(A345&amp;"ENTRADA",Movimientos!$R$5:$R$2001,0)),"-")</f>
        <v>-</v>
      </c>
      <c r="C345" s="3" t="str">
        <f>IFERROR(INDEX(Movimientos!$D$5:$D$2001,MATCH(A345&amp;"ENTRADA",Movimientos!$R$5:$R$2001,0)),"-")</f>
        <v>-</v>
      </c>
      <c r="D345" s="3" t="str">
        <f>IFERROR(INDEX(Movimientos!$E$5:$E$2001,MATCH(A345&amp;"ENTRADA",Movimientos!$R$5:$R$2001,0)),"-")</f>
        <v>-</v>
      </c>
      <c r="E345" s="3" t="str">
        <f>IFERROR(INDEX(Movimientos!$F$5:$F$2001,MATCH(A345&amp;"ENTRADA",Movimientos!$R$5:$R$2001,0)),"-")</f>
        <v>-</v>
      </c>
      <c r="F345" s="3" t="str">
        <f>IFERROR(INDEX(Movimientos!$G$5:$G$2001,MATCH(A345&amp;"ENTRADA",Movimientos!$R$5:$R$2001,0)),"-")</f>
        <v>-</v>
      </c>
      <c r="G345" s="3" t="str">
        <f>IFERROR(INDEX(Movimientos!$L$5:$L$2001,MATCH(A345&amp;"ENTRADA",Movimientos!$R$5:$R$2001,0)),"-")</f>
        <v>-</v>
      </c>
      <c r="H345" s="19" t="str">
        <f>IFERROR(IF(INDEX(Movimientos!$M$5:$M$2001,MATCH(A345&amp;"ENTRADA",Movimientos!$R$5:$R$2001,0))=0,"S/D",INDEX(Movimientos!$M$5:$M$2001,MATCH(A345&amp;"ENTRADA",Movimientos!$R$5:$R$2001,0))),"S/D")</f>
        <v>S/D</v>
      </c>
      <c r="I345" s="16" t="str">
        <f t="shared" ca="1" si="12"/>
        <v>S/D</v>
      </c>
      <c r="J345" s="6">
        <f>IF(A345="","",SUMIFS(Movimientos!$K:$K,Movimientos!$H:$H,A345))</f>
        <v>0</v>
      </c>
      <c r="K345" s="14" t="str">
        <f t="shared" ca="1" si="13"/>
        <v>OK</v>
      </c>
    </row>
    <row r="346" spans="1:11">
      <c r="A346" s="18" t="s">
        <v>2419</v>
      </c>
      <c r="B346" s="3" t="str">
        <f>IFERROR(INDEX(Movimientos!$C$5:$C$2001,MATCH(A346&amp;"ENTRADA",Movimientos!$R$5:$R$2001,0)),"-")</f>
        <v>-</v>
      </c>
      <c r="C346" s="3" t="str">
        <f>IFERROR(INDEX(Movimientos!$D$5:$D$2001,MATCH(A346&amp;"ENTRADA",Movimientos!$R$5:$R$2001,0)),"-")</f>
        <v>-</v>
      </c>
      <c r="D346" s="3" t="str">
        <f>IFERROR(INDEX(Movimientos!$E$5:$E$2001,MATCH(A346&amp;"ENTRADA",Movimientos!$R$5:$R$2001,0)),"-")</f>
        <v>-</v>
      </c>
      <c r="E346" s="3" t="str">
        <f>IFERROR(INDEX(Movimientos!$F$5:$F$2001,MATCH(A346&amp;"ENTRADA",Movimientos!$R$5:$R$2001,0)),"-")</f>
        <v>-</v>
      </c>
      <c r="F346" s="3" t="str">
        <f>IFERROR(INDEX(Movimientos!$G$5:$G$2001,MATCH(A346&amp;"ENTRADA",Movimientos!$R$5:$R$2001,0)),"-")</f>
        <v>-</v>
      </c>
      <c r="G346" s="3" t="str">
        <f>IFERROR(INDEX(Movimientos!$L$5:$L$2001,MATCH(A346&amp;"ENTRADA",Movimientos!$R$5:$R$2001,0)),"-")</f>
        <v>-</v>
      </c>
      <c r="H346" s="19" t="str">
        <f>IFERROR(IF(INDEX(Movimientos!$M$5:$M$2001,MATCH(A346&amp;"ENTRADA",Movimientos!$R$5:$R$2001,0))=0,"S/D",INDEX(Movimientos!$M$5:$M$2001,MATCH(A346&amp;"ENTRADA",Movimientos!$R$5:$R$2001,0))),"S/D")</f>
        <v>S/D</v>
      </c>
      <c r="I346" s="16" t="str">
        <f t="shared" ca="1" si="12"/>
        <v>S/D</v>
      </c>
      <c r="J346" s="6">
        <f>IF(A346="","",SUMIFS(Movimientos!$K:$K,Movimientos!$H:$H,A346))</f>
        <v>0</v>
      </c>
      <c r="K346" s="14" t="str">
        <f t="shared" ca="1" si="13"/>
        <v>OK</v>
      </c>
    </row>
    <row r="347" spans="1:11">
      <c r="A347" s="18" t="s">
        <v>2420</v>
      </c>
      <c r="B347" s="3" t="str">
        <f>IFERROR(INDEX(Movimientos!$C$5:$C$2001,MATCH(A347&amp;"ENTRADA",Movimientos!$R$5:$R$2001,0)),"-")</f>
        <v>-</v>
      </c>
      <c r="C347" s="3" t="str">
        <f>IFERROR(INDEX(Movimientos!$D$5:$D$2001,MATCH(A347&amp;"ENTRADA",Movimientos!$R$5:$R$2001,0)),"-")</f>
        <v>-</v>
      </c>
      <c r="D347" s="3" t="str">
        <f>IFERROR(INDEX(Movimientos!$E$5:$E$2001,MATCH(A347&amp;"ENTRADA",Movimientos!$R$5:$R$2001,0)),"-")</f>
        <v>-</v>
      </c>
      <c r="E347" s="3" t="str">
        <f>IFERROR(INDEX(Movimientos!$F$5:$F$2001,MATCH(A347&amp;"ENTRADA",Movimientos!$R$5:$R$2001,0)),"-")</f>
        <v>-</v>
      </c>
      <c r="F347" s="3" t="str">
        <f>IFERROR(INDEX(Movimientos!$G$5:$G$2001,MATCH(A347&amp;"ENTRADA",Movimientos!$R$5:$R$2001,0)),"-")</f>
        <v>-</v>
      </c>
      <c r="G347" s="3" t="str">
        <f>IFERROR(INDEX(Movimientos!$L$5:$L$2001,MATCH(A347&amp;"ENTRADA",Movimientos!$R$5:$R$2001,0)),"-")</f>
        <v>-</v>
      </c>
      <c r="H347" s="19" t="str">
        <f>IFERROR(IF(INDEX(Movimientos!$M$5:$M$2001,MATCH(A347&amp;"ENTRADA",Movimientos!$R$5:$R$2001,0))=0,"S/D",INDEX(Movimientos!$M$5:$M$2001,MATCH(A347&amp;"ENTRADA",Movimientos!$R$5:$R$2001,0))),"S/D")</f>
        <v>S/D</v>
      </c>
      <c r="I347" s="16" t="str">
        <f t="shared" ca="1" si="12"/>
        <v>S/D</v>
      </c>
      <c r="J347" s="6">
        <f>IF(A347="","",SUMIFS(Movimientos!$K:$K,Movimientos!$H:$H,A347))</f>
        <v>0</v>
      </c>
      <c r="K347" s="14" t="str">
        <f t="shared" ca="1" si="13"/>
        <v>OK</v>
      </c>
    </row>
    <row r="348" spans="1:11">
      <c r="A348" s="18" t="s">
        <v>2421</v>
      </c>
      <c r="B348" s="3" t="str">
        <f>IFERROR(INDEX(Movimientos!$C$5:$C$2001,MATCH(A348&amp;"ENTRADA",Movimientos!$R$5:$R$2001,0)),"-")</f>
        <v>-</v>
      </c>
      <c r="C348" s="3" t="str">
        <f>IFERROR(INDEX(Movimientos!$D$5:$D$2001,MATCH(A348&amp;"ENTRADA",Movimientos!$R$5:$R$2001,0)),"-")</f>
        <v>-</v>
      </c>
      <c r="D348" s="3" t="str">
        <f>IFERROR(INDEX(Movimientos!$E$5:$E$2001,MATCH(A348&amp;"ENTRADA",Movimientos!$R$5:$R$2001,0)),"-")</f>
        <v>-</v>
      </c>
      <c r="E348" s="3" t="str">
        <f>IFERROR(INDEX(Movimientos!$F$5:$F$2001,MATCH(A348&amp;"ENTRADA",Movimientos!$R$5:$R$2001,0)),"-")</f>
        <v>-</v>
      </c>
      <c r="F348" s="3" t="str">
        <f>IFERROR(INDEX(Movimientos!$G$5:$G$2001,MATCH(A348&amp;"ENTRADA",Movimientos!$R$5:$R$2001,0)),"-")</f>
        <v>-</v>
      </c>
      <c r="G348" s="3" t="str">
        <f>IFERROR(INDEX(Movimientos!$L$5:$L$2001,MATCH(A348&amp;"ENTRADA",Movimientos!$R$5:$R$2001,0)),"-")</f>
        <v>-</v>
      </c>
      <c r="H348" s="19" t="str">
        <f>IFERROR(IF(INDEX(Movimientos!$M$5:$M$2001,MATCH(A348&amp;"ENTRADA",Movimientos!$R$5:$R$2001,0))=0,"S/D",INDEX(Movimientos!$M$5:$M$2001,MATCH(A348&amp;"ENTRADA",Movimientos!$R$5:$R$2001,0))),"S/D")</f>
        <v>S/D</v>
      </c>
      <c r="I348" s="16" t="str">
        <f t="shared" ca="1" si="12"/>
        <v>S/D</v>
      </c>
      <c r="J348" s="6">
        <f>IF(A348="","",SUMIFS(Movimientos!$K:$K,Movimientos!$H:$H,A348))</f>
        <v>0</v>
      </c>
      <c r="K348" s="14" t="str">
        <f t="shared" ca="1" si="13"/>
        <v>OK</v>
      </c>
    </row>
    <row r="349" spans="1:11">
      <c r="A349" s="18" t="s">
        <v>2422</v>
      </c>
      <c r="B349" s="3" t="str">
        <f>IFERROR(INDEX(Movimientos!$C$5:$C$2001,MATCH(A349&amp;"ENTRADA",Movimientos!$R$5:$R$2001,0)),"-")</f>
        <v>-</v>
      </c>
      <c r="C349" s="3" t="str">
        <f>IFERROR(INDEX(Movimientos!$D$5:$D$2001,MATCH(A349&amp;"ENTRADA",Movimientos!$R$5:$R$2001,0)),"-")</f>
        <v>-</v>
      </c>
      <c r="D349" s="3" t="str">
        <f>IFERROR(INDEX(Movimientos!$E$5:$E$2001,MATCH(A349&amp;"ENTRADA",Movimientos!$R$5:$R$2001,0)),"-")</f>
        <v>-</v>
      </c>
      <c r="E349" s="3" t="str">
        <f>IFERROR(INDEX(Movimientos!$F$5:$F$2001,MATCH(A349&amp;"ENTRADA",Movimientos!$R$5:$R$2001,0)),"-")</f>
        <v>-</v>
      </c>
      <c r="F349" s="3" t="str">
        <f>IFERROR(INDEX(Movimientos!$G$5:$G$2001,MATCH(A349&amp;"ENTRADA",Movimientos!$R$5:$R$2001,0)),"-")</f>
        <v>-</v>
      </c>
      <c r="G349" s="3" t="str">
        <f>IFERROR(INDEX(Movimientos!$L$5:$L$2001,MATCH(A349&amp;"ENTRADA",Movimientos!$R$5:$R$2001,0)),"-")</f>
        <v>-</v>
      </c>
      <c r="H349" s="19" t="str">
        <f>IFERROR(IF(INDEX(Movimientos!$M$5:$M$2001,MATCH(A349&amp;"ENTRADA",Movimientos!$R$5:$R$2001,0))=0,"S/D",INDEX(Movimientos!$M$5:$M$2001,MATCH(A349&amp;"ENTRADA",Movimientos!$R$5:$R$2001,0))),"S/D")</f>
        <v>S/D</v>
      </c>
      <c r="I349" s="16" t="str">
        <f t="shared" ca="1" si="12"/>
        <v>S/D</v>
      </c>
      <c r="J349" s="6">
        <f>IF(A349="","",SUMIFS(Movimientos!$K:$K,Movimientos!$H:$H,A349))</f>
        <v>0</v>
      </c>
      <c r="K349" s="14" t="str">
        <f t="shared" ca="1" si="13"/>
        <v>OK</v>
      </c>
    </row>
    <row r="350" spans="1:11">
      <c r="A350" s="18" t="s">
        <v>2423</v>
      </c>
      <c r="B350" s="3" t="str">
        <f>IFERROR(INDEX(Movimientos!$C$5:$C$2001,MATCH(A350&amp;"ENTRADA",Movimientos!$R$5:$R$2001,0)),"-")</f>
        <v>-</v>
      </c>
      <c r="C350" s="3" t="str">
        <f>IFERROR(INDEX(Movimientos!$D$5:$D$2001,MATCH(A350&amp;"ENTRADA",Movimientos!$R$5:$R$2001,0)),"-")</f>
        <v>-</v>
      </c>
      <c r="D350" s="3" t="str">
        <f>IFERROR(INDEX(Movimientos!$E$5:$E$2001,MATCH(A350&amp;"ENTRADA",Movimientos!$R$5:$R$2001,0)),"-")</f>
        <v>-</v>
      </c>
      <c r="E350" s="3" t="str">
        <f>IFERROR(INDEX(Movimientos!$F$5:$F$2001,MATCH(A350&amp;"ENTRADA",Movimientos!$R$5:$R$2001,0)),"-")</f>
        <v>-</v>
      </c>
      <c r="F350" s="3" t="str">
        <f>IFERROR(INDEX(Movimientos!$G$5:$G$2001,MATCH(A350&amp;"ENTRADA",Movimientos!$R$5:$R$2001,0)),"-")</f>
        <v>-</v>
      </c>
      <c r="G350" s="3" t="str">
        <f>IFERROR(INDEX(Movimientos!$L$5:$L$2001,MATCH(A350&amp;"ENTRADA",Movimientos!$R$5:$R$2001,0)),"-")</f>
        <v>-</v>
      </c>
      <c r="H350" s="19" t="str">
        <f>IFERROR(IF(INDEX(Movimientos!$M$5:$M$2001,MATCH(A350&amp;"ENTRADA",Movimientos!$R$5:$R$2001,0))=0,"S/D",INDEX(Movimientos!$M$5:$M$2001,MATCH(A350&amp;"ENTRADA",Movimientos!$R$5:$R$2001,0))),"S/D")</f>
        <v>S/D</v>
      </c>
      <c r="I350" s="16" t="str">
        <f t="shared" ca="1" si="12"/>
        <v>S/D</v>
      </c>
      <c r="J350" s="6">
        <f>IF(A350="","",SUMIFS(Movimientos!$K:$K,Movimientos!$H:$H,A350))</f>
        <v>0</v>
      </c>
      <c r="K350" s="14" t="str">
        <f t="shared" ca="1" si="13"/>
        <v>OK</v>
      </c>
    </row>
    <row r="351" spans="1:11">
      <c r="A351" s="18" t="s">
        <v>2424</v>
      </c>
      <c r="B351" s="3" t="str">
        <f>IFERROR(INDEX(Movimientos!$C$5:$C$2001,MATCH(A351&amp;"ENTRADA",Movimientos!$R$5:$R$2001,0)),"-")</f>
        <v>-</v>
      </c>
      <c r="C351" s="3" t="str">
        <f>IFERROR(INDEX(Movimientos!$D$5:$D$2001,MATCH(A351&amp;"ENTRADA",Movimientos!$R$5:$R$2001,0)),"-")</f>
        <v>-</v>
      </c>
      <c r="D351" s="3" t="str">
        <f>IFERROR(INDEX(Movimientos!$E$5:$E$2001,MATCH(A351&amp;"ENTRADA",Movimientos!$R$5:$R$2001,0)),"-")</f>
        <v>-</v>
      </c>
      <c r="E351" s="3" t="str">
        <f>IFERROR(INDEX(Movimientos!$F$5:$F$2001,MATCH(A351&amp;"ENTRADA",Movimientos!$R$5:$R$2001,0)),"-")</f>
        <v>-</v>
      </c>
      <c r="F351" s="3" t="str">
        <f>IFERROR(INDEX(Movimientos!$G$5:$G$2001,MATCH(A351&amp;"ENTRADA",Movimientos!$R$5:$R$2001,0)),"-")</f>
        <v>-</v>
      </c>
      <c r="G351" s="3" t="str">
        <f>IFERROR(INDEX(Movimientos!$L$5:$L$2001,MATCH(A351&amp;"ENTRADA",Movimientos!$R$5:$R$2001,0)),"-")</f>
        <v>-</v>
      </c>
      <c r="H351" s="19" t="str">
        <f>IFERROR(IF(INDEX(Movimientos!$M$5:$M$2001,MATCH(A351&amp;"ENTRADA",Movimientos!$R$5:$R$2001,0))=0,"S/D",INDEX(Movimientos!$M$5:$M$2001,MATCH(A351&amp;"ENTRADA",Movimientos!$R$5:$R$2001,0))),"S/D")</f>
        <v>S/D</v>
      </c>
      <c r="I351" s="16" t="str">
        <f t="shared" ca="1" si="12"/>
        <v>S/D</v>
      </c>
      <c r="J351" s="6">
        <f>IF(A351="","",SUMIFS(Movimientos!$K:$K,Movimientos!$H:$H,A351))</f>
        <v>0</v>
      </c>
      <c r="K351" s="14" t="str">
        <f t="shared" ca="1" si="13"/>
        <v>OK</v>
      </c>
    </row>
    <row r="352" spans="1:11">
      <c r="A352" s="18" t="s">
        <v>2425</v>
      </c>
      <c r="B352" s="3" t="str">
        <f>IFERROR(INDEX(Movimientos!$C$5:$C$2001,MATCH(A352&amp;"ENTRADA",Movimientos!$R$5:$R$2001,0)),"-")</f>
        <v>-</v>
      </c>
      <c r="C352" s="3" t="str">
        <f>IFERROR(INDEX(Movimientos!$D$5:$D$2001,MATCH(A352&amp;"ENTRADA",Movimientos!$R$5:$R$2001,0)),"-")</f>
        <v>-</v>
      </c>
      <c r="D352" s="3" t="str">
        <f>IFERROR(INDEX(Movimientos!$E$5:$E$2001,MATCH(A352&amp;"ENTRADA",Movimientos!$R$5:$R$2001,0)),"-")</f>
        <v>-</v>
      </c>
      <c r="E352" s="3" t="str">
        <f>IFERROR(INDEX(Movimientos!$F$5:$F$2001,MATCH(A352&amp;"ENTRADA",Movimientos!$R$5:$R$2001,0)),"-")</f>
        <v>-</v>
      </c>
      <c r="F352" s="3" t="str">
        <f>IFERROR(INDEX(Movimientos!$G$5:$G$2001,MATCH(A352&amp;"ENTRADA",Movimientos!$R$5:$R$2001,0)),"-")</f>
        <v>-</v>
      </c>
      <c r="G352" s="3" t="str">
        <f>IFERROR(INDEX(Movimientos!$L$5:$L$2001,MATCH(A352&amp;"ENTRADA",Movimientos!$R$5:$R$2001,0)),"-")</f>
        <v>-</v>
      </c>
      <c r="H352" s="19" t="str">
        <f>IFERROR(IF(INDEX(Movimientos!$M$5:$M$2001,MATCH(A352&amp;"ENTRADA",Movimientos!$R$5:$R$2001,0))=0,"S/D",INDEX(Movimientos!$M$5:$M$2001,MATCH(A352&amp;"ENTRADA",Movimientos!$R$5:$R$2001,0))),"S/D")</f>
        <v>S/D</v>
      </c>
      <c r="I352" s="16" t="str">
        <f t="shared" ca="1" si="12"/>
        <v>S/D</v>
      </c>
      <c r="J352" s="6">
        <f>IF(A352="","",SUMIFS(Movimientos!$K:$K,Movimientos!$H:$H,A352))</f>
        <v>0</v>
      </c>
      <c r="K352" s="14" t="str">
        <f t="shared" ca="1" si="13"/>
        <v>OK</v>
      </c>
    </row>
    <row r="353" spans="1:11">
      <c r="A353" s="18" t="s">
        <v>2426</v>
      </c>
      <c r="B353" s="3" t="str">
        <f>IFERROR(INDEX(Movimientos!$C$5:$C$2001,MATCH(A353&amp;"ENTRADA",Movimientos!$R$5:$R$2001,0)),"-")</f>
        <v>-</v>
      </c>
      <c r="C353" s="3" t="str">
        <f>IFERROR(INDEX(Movimientos!$D$5:$D$2001,MATCH(A353&amp;"ENTRADA",Movimientos!$R$5:$R$2001,0)),"-")</f>
        <v>-</v>
      </c>
      <c r="D353" s="3" t="str">
        <f>IFERROR(INDEX(Movimientos!$E$5:$E$2001,MATCH(A353&amp;"ENTRADA",Movimientos!$R$5:$R$2001,0)),"-")</f>
        <v>-</v>
      </c>
      <c r="E353" s="3" t="str">
        <f>IFERROR(INDEX(Movimientos!$F$5:$F$2001,MATCH(A353&amp;"ENTRADA",Movimientos!$R$5:$R$2001,0)),"-")</f>
        <v>-</v>
      </c>
      <c r="F353" s="3" t="str">
        <f>IFERROR(INDEX(Movimientos!$G$5:$G$2001,MATCH(A353&amp;"ENTRADA",Movimientos!$R$5:$R$2001,0)),"-")</f>
        <v>-</v>
      </c>
      <c r="G353" s="3" t="str">
        <f>IFERROR(INDEX(Movimientos!$L$5:$L$2001,MATCH(A353&amp;"ENTRADA",Movimientos!$R$5:$R$2001,0)),"-")</f>
        <v>-</v>
      </c>
      <c r="H353" s="19" t="str">
        <f>IFERROR(IF(INDEX(Movimientos!$M$5:$M$2001,MATCH(A353&amp;"ENTRADA",Movimientos!$R$5:$R$2001,0))=0,"S/D",INDEX(Movimientos!$M$5:$M$2001,MATCH(A353&amp;"ENTRADA",Movimientos!$R$5:$R$2001,0))),"S/D")</f>
        <v>S/D</v>
      </c>
      <c r="I353" s="16" t="str">
        <f t="shared" ca="1" si="12"/>
        <v>S/D</v>
      </c>
      <c r="J353" s="6">
        <f>IF(A353="","",SUMIFS(Movimientos!$K:$K,Movimientos!$H:$H,A353))</f>
        <v>0</v>
      </c>
      <c r="K353" s="14" t="str">
        <f t="shared" ca="1" si="13"/>
        <v>OK</v>
      </c>
    </row>
    <row r="354" spans="1:11">
      <c r="A354" s="18" t="s">
        <v>2427</v>
      </c>
      <c r="B354" s="3" t="str">
        <f>IFERROR(INDEX(Movimientos!$C$5:$C$2001,MATCH(A354&amp;"ENTRADA",Movimientos!$R$5:$R$2001,0)),"-")</f>
        <v>-</v>
      </c>
      <c r="C354" s="3" t="str">
        <f>IFERROR(INDEX(Movimientos!$D$5:$D$2001,MATCH(A354&amp;"ENTRADA",Movimientos!$R$5:$R$2001,0)),"-")</f>
        <v>-</v>
      </c>
      <c r="D354" s="3" t="str">
        <f>IFERROR(INDEX(Movimientos!$E$5:$E$2001,MATCH(A354&amp;"ENTRADA",Movimientos!$R$5:$R$2001,0)),"-")</f>
        <v>-</v>
      </c>
      <c r="E354" s="3" t="str">
        <f>IFERROR(INDEX(Movimientos!$F$5:$F$2001,MATCH(A354&amp;"ENTRADA",Movimientos!$R$5:$R$2001,0)),"-")</f>
        <v>-</v>
      </c>
      <c r="F354" s="3" t="str">
        <f>IFERROR(INDEX(Movimientos!$G$5:$G$2001,MATCH(A354&amp;"ENTRADA",Movimientos!$R$5:$R$2001,0)),"-")</f>
        <v>-</v>
      </c>
      <c r="G354" s="3" t="str">
        <f>IFERROR(INDEX(Movimientos!$L$5:$L$2001,MATCH(A354&amp;"ENTRADA",Movimientos!$R$5:$R$2001,0)),"-")</f>
        <v>-</v>
      </c>
      <c r="H354" s="19" t="str">
        <f>IFERROR(IF(INDEX(Movimientos!$M$5:$M$2001,MATCH(A354&amp;"ENTRADA",Movimientos!$R$5:$R$2001,0))=0,"S/D",INDEX(Movimientos!$M$5:$M$2001,MATCH(A354&amp;"ENTRADA",Movimientos!$R$5:$R$2001,0))),"S/D")</f>
        <v>S/D</v>
      </c>
      <c r="I354" s="16" t="str">
        <f t="shared" ca="1" si="12"/>
        <v>S/D</v>
      </c>
      <c r="J354" s="6">
        <f>IF(A354="","",SUMIFS(Movimientos!$K:$K,Movimientos!$H:$H,A354))</f>
        <v>0</v>
      </c>
      <c r="K354" s="14" t="str">
        <f t="shared" ca="1" si="13"/>
        <v>OK</v>
      </c>
    </row>
    <row r="355" spans="1:11">
      <c r="A355" s="18" t="s">
        <v>2428</v>
      </c>
      <c r="B355" s="3" t="str">
        <f>IFERROR(INDEX(Movimientos!$C$5:$C$2001,MATCH(A355&amp;"ENTRADA",Movimientos!$R$5:$R$2001,0)),"-")</f>
        <v>-</v>
      </c>
      <c r="C355" s="3" t="str">
        <f>IFERROR(INDEX(Movimientos!$D$5:$D$2001,MATCH(A355&amp;"ENTRADA",Movimientos!$R$5:$R$2001,0)),"-")</f>
        <v>-</v>
      </c>
      <c r="D355" s="3" t="str">
        <f>IFERROR(INDEX(Movimientos!$E$5:$E$2001,MATCH(A355&amp;"ENTRADA",Movimientos!$R$5:$R$2001,0)),"-")</f>
        <v>-</v>
      </c>
      <c r="E355" s="3" t="str">
        <f>IFERROR(INDEX(Movimientos!$F$5:$F$2001,MATCH(A355&amp;"ENTRADA",Movimientos!$R$5:$R$2001,0)),"-")</f>
        <v>-</v>
      </c>
      <c r="F355" s="3" t="str">
        <f>IFERROR(INDEX(Movimientos!$G$5:$G$2001,MATCH(A355&amp;"ENTRADA",Movimientos!$R$5:$R$2001,0)),"-")</f>
        <v>-</v>
      </c>
      <c r="G355" s="3" t="str">
        <f>IFERROR(INDEX(Movimientos!$L$5:$L$2001,MATCH(A355&amp;"ENTRADA",Movimientos!$R$5:$R$2001,0)),"-")</f>
        <v>-</v>
      </c>
      <c r="H355" s="19" t="str">
        <f>IFERROR(IF(INDEX(Movimientos!$M$5:$M$2001,MATCH(A355&amp;"ENTRADA",Movimientos!$R$5:$R$2001,0))=0,"S/D",INDEX(Movimientos!$M$5:$M$2001,MATCH(A355&amp;"ENTRADA",Movimientos!$R$5:$R$2001,0))),"S/D")</f>
        <v>S/D</v>
      </c>
      <c r="I355" s="16" t="str">
        <f t="shared" ca="1" si="12"/>
        <v>S/D</v>
      </c>
      <c r="J355" s="6">
        <f>IF(A355="","",SUMIFS(Movimientos!$K:$K,Movimientos!$H:$H,A355))</f>
        <v>0</v>
      </c>
      <c r="K355" s="14" t="str">
        <f t="shared" ca="1" si="13"/>
        <v>OK</v>
      </c>
    </row>
    <row r="356" spans="1:11">
      <c r="A356" s="18" t="s">
        <v>2429</v>
      </c>
      <c r="B356" s="3" t="str">
        <f>IFERROR(INDEX(Movimientos!$C$5:$C$2001,MATCH(A356&amp;"ENTRADA",Movimientos!$R$5:$R$2001,0)),"-")</f>
        <v>-</v>
      </c>
      <c r="C356" s="3" t="str">
        <f>IFERROR(INDEX(Movimientos!$D$5:$D$2001,MATCH(A356&amp;"ENTRADA",Movimientos!$R$5:$R$2001,0)),"-")</f>
        <v>-</v>
      </c>
      <c r="D356" s="3" t="str">
        <f>IFERROR(INDEX(Movimientos!$E$5:$E$2001,MATCH(A356&amp;"ENTRADA",Movimientos!$R$5:$R$2001,0)),"-")</f>
        <v>-</v>
      </c>
      <c r="E356" s="3" t="str">
        <f>IFERROR(INDEX(Movimientos!$F$5:$F$2001,MATCH(A356&amp;"ENTRADA",Movimientos!$R$5:$R$2001,0)),"-")</f>
        <v>-</v>
      </c>
      <c r="F356" s="3" t="str">
        <f>IFERROR(INDEX(Movimientos!$G$5:$G$2001,MATCH(A356&amp;"ENTRADA",Movimientos!$R$5:$R$2001,0)),"-")</f>
        <v>-</v>
      </c>
      <c r="G356" s="3" t="str">
        <f>IFERROR(INDEX(Movimientos!$L$5:$L$2001,MATCH(A356&amp;"ENTRADA",Movimientos!$R$5:$R$2001,0)),"-")</f>
        <v>-</v>
      </c>
      <c r="H356" s="19" t="str">
        <f>IFERROR(IF(INDEX(Movimientos!$M$5:$M$2001,MATCH(A356&amp;"ENTRADA",Movimientos!$R$5:$R$2001,0))=0,"S/D",INDEX(Movimientos!$M$5:$M$2001,MATCH(A356&amp;"ENTRADA",Movimientos!$R$5:$R$2001,0))),"S/D")</f>
        <v>S/D</v>
      </c>
      <c r="I356" s="16" t="str">
        <f t="shared" ca="1" si="12"/>
        <v>S/D</v>
      </c>
      <c r="J356" s="6">
        <f>IF(A356="","",SUMIFS(Movimientos!$K:$K,Movimientos!$H:$H,A356))</f>
        <v>0</v>
      </c>
      <c r="K356" s="14" t="str">
        <f t="shared" ca="1" si="13"/>
        <v>OK</v>
      </c>
    </row>
    <row r="357" spans="1:11">
      <c r="A357" s="18" t="s">
        <v>2430</v>
      </c>
      <c r="B357" s="3" t="str">
        <f>IFERROR(INDEX(Movimientos!$C$5:$C$2001,MATCH(A357&amp;"ENTRADA",Movimientos!$R$5:$R$2001,0)),"-")</f>
        <v>-</v>
      </c>
      <c r="C357" s="3" t="str">
        <f>IFERROR(INDEX(Movimientos!$D$5:$D$2001,MATCH(A357&amp;"ENTRADA",Movimientos!$R$5:$R$2001,0)),"-")</f>
        <v>-</v>
      </c>
      <c r="D357" s="3" t="str">
        <f>IFERROR(INDEX(Movimientos!$E$5:$E$2001,MATCH(A357&amp;"ENTRADA",Movimientos!$R$5:$R$2001,0)),"-")</f>
        <v>-</v>
      </c>
      <c r="E357" s="3" t="str">
        <f>IFERROR(INDEX(Movimientos!$F$5:$F$2001,MATCH(A357&amp;"ENTRADA",Movimientos!$R$5:$R$2001,0)),"-")</f>
        <v>-</v>
      </c>
      <c r="F357" s="3" t="str">
        <f>IFERROR(INDEX(Movimientos!$G$5:$G$2001,MATCH(A357&amp;"ENTRADA",Movimientos!$R$5:$R$2001,0)),"-")</f>
        <v>-</v>
      </c>
      <c r="G357" s="3" t="str">
        <f>IFERROR(INDEX(Movimientos!$L$5:$L$2001,MATCH(A357&amp;"ENTRADA",Movimientos!$R$5:$R$2001,0)),"-")</f>
        <v>-</v>
      </c>
      <c r="H357" s="19" t="str">
        <f>IFERROR(IF(INDEX(Movimientos!$M$5:$M$2001,MATCH(A357&amp;"ENTRADA",Movimientos!$R$5:$R$2001,0))=0,"S/D",INDEX(Movimientos!$M$5:$M$2001,MATCH(A357&amp;"ENTRADA",Movimientos!$R$5:$R$2001,0))),"S/D")</f>
        <v>S/D</v>
      </c>
      <c r="I357" s="16" t="str">
        <f t="shared" ca="1" si="12"/>
        <v>S/D</v>
      </c>
      <c r="J357" s="6">
        <f>IF(A357="","",SUMIFS(Movimientos!$K:$K,Movimientos!$H:$H,A357))</f>
        <v>0</v>
      </c>
      <c r="K357" s="14" t="str">
        <f t="shared" ca="1" si="13"/>
        <v>OK</v>
      </c>
    </row>
    <row r="358" spans="1:11">
      <c r="A358" s="18" t="s">
        <v>2431</v>
      </c>
      <c r="B358" s="3" t="str">
        <f>IFERROR(INDEX(Movimientos!$C$5:$C$2001,MATCH(A358&amp;"ENTRADA",Movimientos!$R$5:$R$2001,0)),"-")</f>
        <v>-</v>
      </c>
      <c r="C358" s="3" t="str">
        <f>IFERROR(INDEX(Movimientos!$D$5:$D$2001,MATCH(A358&amp;"ENTRADA",Movimientos!$R$5:$R$2001,0)),"-")</f>
        <v>-</v>
      </c>
      <c r="D358" s="3" t="str">
        <f>IFERROR(INDEX(Movimientos!$E$5:$E$2001,MATCH(A358&amp;"ENTRADA",Movimientos!$R$5:$R$2001,0)),"-")</f>
        <v>-</v>
      </c>
      <c r="E358" s="3" t="str">
        <f>IFERROR(INDEX(Movimientos!$F$5:$F$2001,MATCH(A358&amp;"ENTRADA",Movimientos!$R$5:$R$2001,0)),"-")</f>
        <v>-</v>
      </c>
      <c r="F358" s="3" t="str">
        <f>IFERROR(INDEX(Movimientos!$G$5:$G$2001,MATCH(A358&amp;"ENTRADA",Movimientos!$R$5:$R$2001,0)),"-")</f>
        <v>-</v>
      </c>
      <c r="G358" s="3" t="str">
        <f>IFERROR(INDEX(Movimientos!$L$5:$L$2001,MATCH(A358&amp;"ENTRADA",Movimientos!$R$5:$R$2001,0)),"-")</f>
        <v>-</v>
      </c>
      <c r="H358" s="19" t="str">
        <f>IFERROR(IF(INDEX(Movimientos!$M$5:$M$2001,MATCH(A358&amp;"ENTRADA",Movimientos!$R$5:$R$2001,0))=0,"S/D",INDEX(Movimientos!$M$5:$M$2001,MATCH(A358&amp;"ENTRADA",Movimientos!$R$5:$R$2001,0))),"S/D")</f>
        <v>S/D</v>
      </c>
      <c r="I358" s="16" t="str">
        <f t="shared" ca="1" si="12"/>
        <v>S/D</v>
      </c>
      <c r="J358" s="6">
        <f>IF(A358="","",SUMIFS(Movimientos!$K:$K,Movimientos!$H:$H,A358))</f>
        <v>0</v>
      </c>
      <c r="K358" s="14" t="str">
        <f t="shared" ca="1" si="13"/>
        <v>OK</v>
      </c>
    </row>
    <row r="359" spans="1:11">
      <c r="A359" s="18" t="s">
        <v>2432</v>
      </c>
      <c r="B359" s="3" t="str">
        <f>IFERROR(INDEX(Movimientos!$C$5:$C$2001,MATCH(A359&amp;"ENTRADA",Movimientos!$R$5:$R$2001,0)),"-")</f>
        <v>-</v>
      </c>
      <c r="C359" s="3" t="str">
        <f>IFERROR(INDEX(Movimientos!$D$5:$D$2001,MATCH(A359&amp;"ENTRADA",Movimientos!$R$5:$R$2001,0)),"-")</f>
        <v>-</v>
      </c>
      <c r="D359" s="3" t="str">
        <f>IFERROR(INDEX(Movimientos!$E$5:$E$2001,MATCH(A359&amp;"ENTRADA",Movimientos!$R$5:$R$2001,0)),"-")</f>
        <v>-</v>
      </c>
      <c r="E359" s="3" t="str">
        <f>IFERROR(INDEX(Movimientos!$F$5:$F$2001,MATCH(A359&amp;"ENTRADA",Movimientos!$R$5:$R$2001,0)),"-")</f>
        <v>-</v>
      </c>
      <c r="F359" s="3" t="str">
        <f>IFERROR(INDEX(Movimientos!$G$5:$G$2001,MATCH(A359&amp;"ENTRADA",Movimientos!$R$5:$R$2001,0)),"-")</f>
        <v>-</v>
      </c>
      <c r="G359" s="3" t="str">
        <f>IFERROR(INDEX(Movimientos!$L$5:$L$2001,MATCH(A359&amp;"ENTRADA",Movimientos!$R$5:$R$2001,0)),"-")</f>
        <v>-</v>
      </c>
      <c r="H359" s="19" t="str">
        <f>IFERROR(IF(INDEX(Movimientos!$M$5:$M$2001,MATCH(A359&amp;"ENTRADA",Movimientos!$R$5:$R$2001,0))=0,"S/D",INDEX(Movimientos!$M$5:$M$2001,MATCH(A359&amp;"ENTRADA",Movimientos!$R$5:$R$2001,0))),"S/D")</f>
        <v>S/D</v>
      </c>
      <c r="I359" s="16" t="str">
        <f t="shared" ca="1" si="12"/>
        <v>S/D</v>
      </c>
      <c r="J359" s="6">
        <f>IF(A359="","",SUMIFS(Movimientos!$K:$K,Movimientos!$H:$H,A359))</f>
        <v>0</v>
      </c>
      <c r="K359" s="14" t="str">
        <f t="shared" ca="1" si="13"/>
        <v>OK</v>
      </c>
    </row>
    <row r="360" spans="1:11">
      <c r="A360" s="18" t="s">
        <v>2433</v>
      </c>
      <c r="B360" s="3" t="str">
        <f>IFERROR(INDEX(Movimientos!$C$5:$C$2001,MATCH(A360&amp;"ENTRADA",Movimientos!$R$5:$R$2001,0)),"-")</f>
        <v>-</v>
      </c>
      <c r="C360" s="3" t="str">
        <f>IFERROR(INDEX(Movimientos!$D$5:$D$2001,MATCH(A360&amp;"ENTRADA",Movimientos!$R$5:$R$2001,0)),"-")</f>
        <v>-</v>
      </c>
      <c r="D360" s="3" t="str">
        <f>IFERROR(INDEX(Movimientos!$E$5:$E$2001,MATCH(A360&amp;"ENTRADA",Movimientos!$R$5:$R$2001,0)),"-")</f>
        <v>-</v>
      </c>
      <c r="E360" s="3" t="str">
        <f>IFERROR(INDEX(Movimientos!$F$5:$F$2001,MATCH(A360&amp;"ENTRADA",Movimientos!$R$5:$R$2001,0)),"-")</f>
        <v>-</v>
      </c>
      <c r="F360" s="3" t="str">
        <f>IFERROR(INDEX(Movimientos!$G$5:$G$2001,MATCH(A360&amp;"ENTRADA",Movimientos!$R$5:$R$2001,0)),"-")</f>
        <v>-</v>
      </c>
      <c r="G360" s="3" t="str">
        <f>IFERROR(INDEX(Movimientos!$L$5:$L$2001,MATCH(A360&amp;"ENTRADA",Movimientos!$R$5:$R$2001,0)),"-")</f>
        <v>-</v>
      </c>
      <c r="H360" s="19" t="str">
        <f>IFERROR(IF(INDEX(Movimientos!$M$5:$M$2001,MATCH(A360&amp;"ENTRADA",Movimientos!$R$5:$R$2001,0))=0,"S/D",INDEX(Movimientos!$M$5:$M$2001,MATCH(A360&amp;"ENTRADA",Movimientos!$R$5:$R$2001,0))),"S/D")</f>
        <v>S/D</v>
      </c>
      <c r="I360" s="16" t="str">
        <f t="shared" ca="1" si="12"/>
        <v>S/D</v>
      </c>
      <c r="J360" s="6">
        <f>IF(A360="","",SUMIFS(Movimientos!$K:$K,Movimientos!$H:$H,A360))</f>
        <v>0</v>
      </c>
      <c r="K360" s="14" t="str">
        <f t="shared" ca="1" si="13"/>
        <v>OK</v>
      </c>
    </row>
    <row r="361" spans="1:11">
      <c r="A361" s="18" t="s">
        <v>2434</v>
      </c>
      <c r="B361" s="3" t="str">
        <f>IFERROR(INDEX(Movimientos!$C$5:$C$2001,MATCH(A361&amp;"ENTRADA",Movimientos!$R$5:$R$2001,0)),"-")</f>
        <v>-</v>
      </c>
      <c r="C361" s="3" t="str">
        <f>IFERROR(INDEX(Movimientos!$D$5:$D$2001,MATCH(A361&amp;"ENTRADA",Movimientos!$R$5:$R$2001,0)),"-")</f>
        <v>-</v>
      </c>
      <c r="D361" s="3" t="str">
        <f>IFERROR(INDEX(Movimientos!$E$5:$E$2001,MATCH(A361&amp;"ENTRADA",Movimientos!$R$5:$R$2001,0)),"-")</f>
        <v>-</v>
      </c>
      <c r="E361" s="3" t="str">
        <f>IFERROR(INDEX(Movimientos!$F$5:$F$2001,MATCH(A361&amp;"ENTRADA",Movimientos!$R$5:$R$2001,0)),"-")</f>
        <v>-</v>
      </c>
      <c r="F361" s="3" t="str">
        <f>IFERROR(INDEX(Movimientos!$G$5:$G$2001,MATCH(A361&amp;"ENTRADA",Movimientos!$R$5:$R$2001,0)),"-")</f>
        <v>-</v>
      </c>
      <c r="G361" s="3" t="str">
        <f>IFERROR(INDEX(Movimientos!$L$5:$L$2001,MATCH(A361&amp;"ENTRADA",Movimientos!$R$5:$R$2001,0)),"-")</f>
        <v>-</v>
      </c>
      <c r="H361" s="19" t="str">
        <f>IFERROR(IF(INDEX(Movimientos!$M$5:$M$2001,MATCH(A361&amp;"ENTRADA",Movimientos!$R$5:$R$2001,0))=0,"S/D",INDEX(Movimientos!$M$5:$M$2001,MATCH(A361&amp;"ENTRADA",Movimientos!$R$5:$R$2001,0))),"S/D")</f>
        <v>S/D</v>
      </c>
      <c r="I361" s="16" t="str">
        <f t="shared" ca="1" si="12"/>
        <v>S/D</v>
      </c>
      <c r="J361" s="6">
        <f>IF(A361="","",SUMIFS(Movimientos!$K:$K,Movimientos!$H:$H,A361))</f>
        <v>0</v>
      </c>
      <c r="K361" s="14" t="str">
        <f t="shared" ca="1" si="13"/>
        <v>OK</v>
      </c>
    </row>
    <row r="362" spans="1:11">
      <c r="A362" s="18" t="s">
        <v>2435</v>
      </c>
      <c r="B362" s="3" t="str">
        <f>IFERROR(INDEX(Movimientos!$C$5:$C$2001,MATCH(A362&amp;"ENTRADA",Movimientos!$R$5:$R$2001,0)),"-")</f>
        <v>-</v>
      </c>
      <c r="C362" s="3" t="str">
        <f>IFERROR(INDEX(Movimientos!$D$5:$D$2001,MATCH(A362&amp;"ENTRADA",Movimientos!$R$5:$R$2001,0)),"-")</f>
        <v>-</v>
      </c>
      <c r="D362" s="3" t="str">
        <f>IFERROR(INDEX(Movimientos!$E$5:$E$2001,MATCH(A362&amp;"ENTRADA",Movimientos!$R$5:$R$2001,0)),"-")</f>
        <v>-</v>
      </c>
      <c r="E362" s="3" t="str">
        <f>IFERROR(INDEX(Movimientos!$F$5:$F$2001,MATCH(A362&amp;"ENTRADA",Movimientos!$R$5:$R$2001,0)),"-")</f>
        <v>-</v>
      </c>
      <c r="F362" s="3" t="str">
        <f>IFERROR(INDEX(Movimientos!$G$5:$G$2001,MATCH(A362&amp;"ENTRADA",Movimientos!$R$5:$R$2001,0)),"-")</f>
        <v>-</v>
      </c>
      <c r="G362" s="3" t="str">
        <f>IFERROR(INDEX(Movimientos!$L$5:$L$2001,MATCH(A362&amp;"ENTRADA",Movimientos!$R$5:$R$2001,0)),"-")</f>
        <v>-</v>
      </c>
      <c r="H362" s="19" t="str">
        <f>IFERROR(IF(INDEX(Movimientos!$M$5:$M$2001,MATCH(A362&amp;"ENTRADA",Movimientos!$R$5:$R$2001,0))=0,"S/D",INDEX(Movimientos!$M$5:$M$2001,MATCH(A362&amp;"ENTRADA",Movimientos!$R$5:$R$2001,0))),"S/D")</f>
        <v>S/D</v>
      </c>
      <c r="I362" s="16" t="str">
        <f t="shared" ca="1" si="12"/>
        <v>S/D</v>
      </c>
      <c r="J362" s="6">
        <f>IF(A362="","",SUMIFS(Movimientos!$K:$K,Movimientos!$H:$H,A362))</f>
        <v>0</v>
      </c>
      <c r="K362" s="14" t="str">
        <f t="shared" ca="1" si="13"/>
        <v>OK</v>
      </c>
    </row>
    <row r="363" spans="1:11">
      <c r="A363" s="18" t="s">
        <v>2436</v>
      </c>
      <c r="B363" s="3" t="str">
        <f>IFERROR(INDEX(Movimientos!$C$5:$C$2001,MATCH(A363&amp;"ENTRADA",Movimientos!$R$5:$R$2001,0)),"-")</f>
        <v>-</v>
      </c>
      <c r="C363" s="3" t="str">
        <f>IFERROR(INDEX(Movimientos!$D$5:$D$2001,MATCH(A363&amp;"ENTRADA",Movimientos!$R$5:$R$2001,0)),"-")</f>
        <v>-</v>
      </c>
      <c r="D363" s="3" t="str">
        <f>IFERROR(INDEX(Movimientos!$E$5:$E$2001,MATCH(A363&amp;"ENTRADA",Movimientos!$R$5:$R$2001,0)),"-")</f>
        <v>-</v>
      </c>
      <c r="E363" s="3" t="str">
        <f>IFERROR(INDEX(Movimientos!$F$5:$F$2001,MATCH(A363&amp;"ENTRADA",Movimientos!$R$5:$R$2001,0)),"-")</f>
        <v>-</v>
      </c>
      <c r="F363" s="3" t="str">
        <f>IFERROR(INDEX(Movimientos!$G$5:$G$2001,MATCH(A363&amp;"ENTRADA",Movimientos!$R$5:$R$2001,0)),"-")</f>
        <v>-</v>
      </c>
      <c r="G363" s="3" t="str">
        <f>IFERROR(INDEX(Movimientos!$L$5:$L$2001,MATCH(A363&amp;"ENTRADA",Movimientos!$R$5:$R$2001,0)),"-")</f>
        <v>-</v>
      </c>
      <c r="H363" s="19" t="str">
        <f>IFERROR(IF(INDEX(Movimientos!$M$5:$M$2001,MATCH(A363&amp;"ENTRADA",Movimientos!$R$5:$R$2001,0))=0,"S/D",INDEX(Movimientos!$M$5:$M$2001,MATCH(A363&amp;"ENTRADA",Movimientos!$R$5:$R$2001,0))),"S/D")</f>
        <v>S/D</v>
      </c>
      <c r="I363" s="16" t="str">
        <f t="shared" ca="1" si="12"/>
        <v>S/D</v>
      </c>
      <c r="J363" s="6">
        <f>IF(A363="","",SUMIFS(Movimientos!$K:$K,Movimientos!$H:$H,A363))</f>
        <v>0</v>
      </c>
      <c r="K363" s="14" t="str">
        <f t="shared" ca="1" si="13"/>
        <v>OK</v>
      </c>
    </row>
    <row r="364" spans="1:11">
      <c r="A364" s="18" t="s">
        <v>2437</v>
      </c>
      <c r="B364" s="3" t="str">
        <f>IFERROR(INDEX(Movimientos!$C$5:$C$2001,MATCH(A364&amp;"ENTRADA",Movimientos!$R$5:$R$2001,0)),"-")</f>
        <v>-</v>
      </c>
      <c r="C364" s="3" t="str">
        <f>IFERROR(INDEX(Movimientos!$D$5:$D$2001,MATCH(A364&amp;"ENTRADA",Movimientos!$R$5:$R$2001,0)),"-")</f>
        <v>-</v>
      </c>
      <c r="D364" s="3" t="str">
        <f>IFERROR(INDEX(Movimientos!$E$5:$E$2001,MATCH(A364&amp;"ENTRADA",Movimientos!$R$5:$R$2001,0)),"-")</f>
        <v>-</v>
      </c>
      <c r="E364" s="3" t="str">
        <f>IFERROR(INDEX(Movimientos!$F$5:$F$2001,MATCH(A364&amp;"ENTRADA",Movimientos!$R$5:$R$2001,0)),"-")</f>
        <v>-</v>
      </c>
      <c r="F364" s="3" t="str">
        <f>IFERROR(INDEX(Movimientos!$G$5:$G$2001,MATCH(A364&amp;"ENTRADA",Movimientos!$R$5:$R$2001,0)),"-")</f>
        <v>-</v>
      </c>
      <c r="G364" s="3" t="str">
        <f>IFERROR(INDEX(Movimientos!$L$5:$L$2001,MATCH(A364&amp;"ENTRADA",Movimientos!$R$5:$R$2001,0)),"-")</f>
        <v>-</v>
      </c>
      <c r="H364" s="19" t="str">
        <f>IFERROR(IF(INDEX(Movimientos!$M$5:$M$2001,MATCH(A364&amp;"ENTRADA",Movimientos!$R$5:$R$2001,0))=0,"S/D",INDEX(Movimientos!$M$5:$M$2001,MATCH(A364&amp;"ENTRADA",Movimientos!$R$5:$R$2001,0))),"S/D")</f>
        <v>S/D</v>
      </c>
      <c r="I364" s="16" t="str">
        <f t="shared" ca="1" si="12"/>
        <v>S/D</v>
      </c>
      <c r="J364" s="6">
        <f>IF(A364="","",SUMIFS(Movimientos!$K:$K,Movimientos!$H:$H,A364))</f>
        <v>0</v>
      </c>
      <c r="K364" s="14" t="str">
        <f t="shared" ca="1" si="13"/>
        <v>OK</v>
      </c>
    </row>
    <row r="365" spans="1:11">
      <c r="A365" s="18" t="s">
        <v>2438</v>
      </c>
      <c r="B365" s="3" t="str">
        <f>IFERROR(INDEX(Movimientos!$C$5:$C$2001,MATCH(A365&amp;"ENTRADA",Movimientos!$R$5:$R$2001,0)),"-")</f>
        <v>-</v>
      </c>
      <c r="C365" s="3" t="str">
        <f>IFERROR(INDEX(Movimientos!$D$5:$D$2001,MATCH(A365&amp;"ENTRADA",Movimientos!$R$5:$R$2001,0)),"-")</f>
        <v>-</v>
      </c>
      <c r="D365" s="3" t="str">
        <f>IFERROR(INDEX(Movimientos!$E$5:$E$2001,MATCH(A365&amp;"ENTRADA",Movimientos!$R$5:$R$2001,0)),"-")</f>
        <v>-</v>
      </c>
      <c r="E365" s="3" t="str">
        <f>IFERROR(INDEX(Movimientos!$F$5:$F$2001,MATCH(A365&amp;"ENTRADA",Movimientos!$R$5:$R$2001,0)),"-")</f>
        <v>-</v>
      </c>
      <c r="F365" s="3" t="str">
        <f>IFERROR(INDEX(Movimientos!$G$5:$G$2001,MATCH(A365&amp;"ENTRADA",Movimientos!$R$5:$R$2001,0)),"-")</f>
        <v>-</v>
      </c>
      <c r="G365" s="3" t="str">
        <f>IFERROR(INDEX(Movimientos!$L$5:$L$2001,MATCH(A365&amp;"ENTRADA",Movimientos!$R$5:$R$2001,0)),"-")</f>
        <v>-</v>
      </c>
      <c r="H365" s="19" t="str">
        <f>IFERROR(IF(INDEX(Movimientos!$M$5:$M$2001,MATCH(A365&amp;"ENTRADA",Movimientos!$R$5:$R$2001,0))=0,"S/D",INDEX(Movimientos!$M$5:$M$2001,MATCH(A365&amp;"ENTRADA",Movimientos!$R$5:$R$2001,0))),"S/D")</f>
        <v>S/D</v>
      </c>
      <c r="I365" s="16" t="str">
        <f t="shared" ca="1" si="12"/>
        <v>S/D</v>
      </c>
      <c r="J365" s="6">
        <f>IF(A365="","",SUMIFS(Movimientos!$K:$K,Movimientos!$H:$H,A365))</f>
        <v>0</v>
      </c>
      <c r="K365" s="14" t="str">
        <f t="shared" ca="1" si="13"/>
        <v>OK</v>
      </c>
    </row>
    <row r="366" spans="1:11">
      <c r="A366" s="18" t="s">
        <v>2439</v>
      </c>
      <c r="B366" s="3" t="str">
        <f>IFERROR(INDEX(Movimientos!$C$5:$C$2001,MATCH(A366&amp;"ENTRADA",Movimientos!$R$5:$R$2001,0)),"-")</f>
        <v>-</v>
      </c>
      <c r="C366" s="3" t="str">
        <f>IFERROR(INDEX(Movimientos!$D$5:$D$2001,MATCH(A366&amp;"ENTRADA",Movimientos!$R$5:$R$2001,0)),"-")</f>
        <v>-</v>
      </c>
      <c r="D366" s="3" t="str">
        <f>IFERROR(INDEX(Movimientos!$E$5:$E$2001,MATCH(A366&amp;"ENTRADA",Movimientos!$R$5:$R$2001,0)),"-")</f>
        <v>-</v>
      </c>
      <c r="E366" s="3" t="str">
        <f>IFERROR(INDEX(Movimientos!$F$5:$F$2001,MATCH(A366&amp;"ENTRADA",Movimientos!$R$5:$R$2001,0)),"-")</f>
        <v>-</v>
      </c>
      <c r="F366" s="3" t="str">
        <f>IFERROR(INDEX(Movimientos!$G$5:$G$2001,MATCH(A366&amp;"ENTRADA",Movimientos!$R$5:$R$2001,0)),"-")</f>
        <v>-</v>
      </c>
      <c r="G366" s="3" t="str">
        <f>IFERROR(INDEX(Movimientos!$L$5:$L$2001,MATCH(A366&amp;"ENTRADA",Movimientos!$R$5:$R$2001,0)),"-")</f>
        <v>-</v>
      </c>
      <c r="H366" s="19" t="str">
        <f>IFERROR(IF(INDEX(Movimientos!$M$5:$M$2001,MATCH(A366&amp;"ENTRADA",Movimientos!$R$5:$R$2001,0))=0,"S/D",INDEX(Movimientos!$M$5:$M$2001,MATCH(A366&amp;"ENTRADA",Movimientos!$R$5:$R$2001,0))),"S/D")</f>
        <v>S/D</v>
      </c>
      <c r="I366" s="16" t="str">
        <f t="shared" ca="1" si="12"/>
        <v>S/D</v>
      </c>
      <c r="J366" s="6">
        <f>IF(A366="","",SUMIFS(Movimientos!$K:$K,Movimientos!$H:$H,A366))</f>
        <v>0</v>
      </c>
      <c r="K366" s="14" t="str">
        <f t="shared" ca="1" si="13"/>
        <v>OK</v>
      </c>
    </row>
    <row r="367" spans="1:11">
      <c r="A367" s="18" t="s">
        <v>2440</v>
      </c>
      <c r="B367" s="3" t="str">
        <f>IFERROR(INDEX(Movimientos!$C$5:$C$2001,MATCH(A367&amp;"ENTRADA",Movimientos!$R$5:$R$2001,0)),"-")</f>
        <v>-</v>
      </c>
      <c r="C367" s="3" t="str">
        <f>IFERROR(INDEX(Movimientos!$D$5:$D$2001,MATCH(A367&amp;"ENTRADA",Movimientos!$R$5:$R$2001,0)),"-")</f>
        <v>-</v>
      </c>
      <c r="D367" s="3" t="str">
        <f>IFERROR(INDEX(Movimientos!$E$5:$E$2001,MATCH(A367&amp;"ENTRADA",Movimientos!$R$5:$R$2001,0)),"-")</f>
        <v>-</v>
      </c>
      <c r="E367" s="3" t="str">
        <f>IFERROR(INDEX(Movimientos!$F$5:$F$2001,MATCH(A367&amp;"ENTRADA",Movimientos!$R$5:$R$2001,0)),"-")</f>
        <v>-</v>
      </c>
      <c r="F367" s="3" t="str">
        <f>IFERROR(INDEX(Movimientos!$G$5:$G$2001,MATCH(A367&amp;"ENTRADA",Movimientos!$R$5:$R$2001,0)),"-")</f>
        <v>-</v>
      </c>
      <c r="G367" s="3" t="str">
        <f>IFERROR(INDEX(Movimientos!$L$5:$L$2001,MATCH(A367&amp;"ENTRADA",Movimientos!$R$5:$R$2001,0)),"-")</f>
        <v>-</v>
      </c>
      <c r="H367" s="19" t="str">
        <f>IFERROR(IF(INDEX(Movimientos!$M$5:$M$2001,MATCH(A367&amp;"ENTRADA",Movimientos!$R$5:$R$2001,0))=0,"S/D",INDEX(Movimientos!$M$5:$M$2001,MATCH(A367&amp;"ENTRADA",Movimientos!$R$5:$R$2001,0))),"S/D")</f>
        <v>S/D</v>
      </c>
      <c r="I367" s="16" t="str">
        <f t="shared" ca="1" si="12"/>
        <v>S/D</v>
      </c>
      <c r="J367" s="6">
        <f>IF(A367="","",SUMIFS(Movimientos!$K:$K,Movimientos!$H:$H,A367))</f>
        <v>0</v>
      </c>
      <c r="K367" s="14" t="str">
        <f t="shared" ca="1" si="13"/>
        <v>OK</v>
      </c>
    </row>
    <row r="368" spans="1:11">
      <c r="A368" s="18" t="s">
        <v>2441</v>
      </c>
      <c r="B368" s="3" t="str">
        <f>IFERROR(INDEX(Movimientos!$C$5:$C$2001,MATCH(A368&amp;"ENTRADA",Movimientos!$R$5:$R$2001,0)),"-")</f>
        <v>-</v>
      </c>
      <c r="C368" s="3" t="str">
        <f>IFERROR(INDEX(Movimientos!$D$5:$D$2001,MATCH(A368&amp;"ENTRADA",Movimientos!$R$5:$R$2001,0)),"-")</f>
        <v>-</v>
      </c>
      <c r="D368" s="3" t="str">
        <f>IFERROR(INDEX(Movimientos!$E$5:$E$2001,MATCH(A368&amp;"ENTRADA",Movimientos!$R$5:$R$2001,0)),"-")</f>
        <v>-</v>
      </c>
      <c r="E368" s="3" t="str">
        <f>IFERROR(INDEX(Movimientos!$F$5:$F$2001,MATCH(A368&amp;"ENTRADA",Movimientos!$R$5:$R$2001,0)),"-")</f>
        <v>-</v>
      </c>
      <c r="F368" s="3" t="str">
        <f>IFERROR(INDEX(Movimientos!$G$5:$G$2001,MATCH(A368&amp;"ENTRADA",Movimientos!$R$5:$R$2001,0)),"-")</f>
        <v>-</v>
      </c>
      <c r="G368" s="3" t="str">
        <f>IFERROR(INDEX(Movimientos!$L$5:$L$2001,MATCH(A368&amp;"ENTRADA",Movimientos!$R$5:$R$2001,0)),"-")</f>
        <v>-</v>
      </c>
      <c r="H368" s="19" t="str">
        <f>IFERROR(IF(INDEX(Movimientos!$M$5:$M$2001,MATCH(A368&amp;"ENTRADA",Movimientos!$R$5:$R$2001,0))=0,"S/D",INDEX(Movimientos!$M$5:$M$2001,MATCH(A368&amp;"ENTRADA",Movimientos!$R$5:$R$2001,0))),"S/D")</f>
        <v>S/D</v>
      </c>
      <c r="I368" s="16" t="str">
        <f t="shared" ca="1" si="12"/>
        <v>S/D</v>
      </c>
      <c r="J368" s="6">
        <f>IF(A368="","",SUMIFS(Movimientos!$K:$K,Movimientos!$H:$H,A368))</f>
        <v>0</v>
      </c>
      <c r="K368" s="14" t="str">
        <f t="shared" ca="1" si="13"/>
        <v>OK</v>
      </c>
    </row>
    <row r="369" spans="1:11">
      <c r="A369" s="18" t="s">
        <v>2442</v>
      </c>
      <c r="B369" s="3" t="str">
        <f>IFERROR(INDEX(Movimientos!$C$5:$C$2001,MATCH(A369&amp;"ENTRADA",Movimientos!$R$5:$R$2001,0)),"-")</f>
        <v>-</v>
      </c>
      <c r="C369" s="3" t="str">
        <f>IFERROR(INDEX(Movimientos!$D$5:$D$2001,MATCH(A369&amp;"ENTRADA",Movimientos!$R$5:$R$2001,0)),"-")</f>
        <v>-</v>
      </c>
      <c r="D369" s="3" t="str">
        <f>IFERROR(INDEX(Movimientos!$E$5:$E$2001,MATCH(A369&amp;"ENTRADA",Movimientos!$R$5:$R$2001,0)),"-")</f>
        <v>-</v>
      </c>
      <c r="E369" s="3" t="str">
        <f>IFERROR(INDEX(Movimientos!$F$5:$F$2001,MATCH(A369&amp;"ENTRADA",Movimientos!$R$5:$R$2001,0)),"-")</f>
        <v>-</v>
      </c>
      <c r="F369" s="3" t="str">
        <f>IFERROR(INDEX(Movimientos!$G$5:$G$2001,MATCH(A369&amp;"ENTRADA",Movimientos!$R$5:$R$2001,0)),"-")</f>
        <v>-</v>
      </c>
      <c r="G369" s="3" t="str">
        <f>IFERROR(INDEX(Movimientos!$L$5:$L$2001,MATCH(A369&amp;"ENTRADA",Movimientos!$R$5:$R$2001,0)),"-")</f>
        <v>-</v>
      </c>
      <c r="H369" s="19" t="str">
        <f>IFERROR(IF(INDEX(Movimientos!$M$5:$M$2001,MATCH(A369&amp;"ENTRADA",Movimientos!$R$5:$R$2001,0))=0,"S/D",INDEX(Movimientos!$M$5:$M$2001,MATCH(A369&amp;"ENTRADA",Movimientos!$R$5:$R$2001,0))),"S/D")</f>
        <v>S/D</v>
      </c>
      <c r="I369" s="16" t="str">
        <f t="shared" ca="1" si="12"/>
        <v>S/D</v>
      </c>
      <c r="J369" s="6">
        <f>IF(A369="","",SUMIFS(Movimientos!$K:$K,Movimientos!$H:$H,A369))</f>
        <v>0</v>
      </c>
      <c r="K369" s="14" t="str">
        <f t="shared" ca="1" si="13"/>
        <v>OK</v>
      </c>
    </row>
    <row r="370" spans="1:11">
      <c r="A370" s="18" t="s">
        <v>2443</v>
      </c>
      <c r="B370" s="3" t="str">
        <f>IFERROR(INDEX(Movimientos!$C$5:$C$2001,MATCH(A370&amp;"ENTRADA",Movimientos!$R$5:$R$2001,0)),"-")</f>
        <v>-</v>
      </c>
      <c r="C370" s="3" t="str">
        <f>IFERROR(INDEX(Movimientos!$D$5:$D$2001,MATCH(A370&amp;"ENTRADA",Movimientos!$R$5:$R$2001,0)),"-")</f>
        <v>-</v>
      </c>
      <c r="D370" s="3" t="str">
        <f>IFERROR(INDEX(Movimientos!$E$5:$E$2001,MATCH(A370&amp;"ENTRADA",Movimientos!$R$5:$R$2001,0)),"-")</f>
        <v>-</v>
      </c>
      <c r="E370" s="3" t="str">
        <f>IFERROR(INDEX(Movimientos!$F$5:$F$2001,MATCH(A370&amp;"ENTRADA",Movimientos!$R$5:$R$2001,0)),"-")</f>
        <v>-</v>
      </c>
      <c r="F370" s="3" t="str">
        <f>IFERROR(INDEX(Movimientos!$G$5:$G$2001,MATCH(A370&amp;"ENTRADA",Movimientos!$R$5:$R$2001,0)),"-")</f>
        <v>-</v>
      </c>
      <c r="G370" s="3" t="str">
        <f>IFERROR(INDEX(Movimientos!$L$5:$L$2001,MATCH(A370&amp;"ENTRADA",Movimientos!$R$5:$R$2001,0)),"-")</f>
        <v>-</v>
      </c>
      <c r="H370" s="19" t="str">
        <f>IFERROR(IF(INDEX(Movimientos!$M$5:$M$2001,MATCH(A370&amp;"ENTRADA",Movimientos!$R$5:$R$2001,0))=0,"S/D",INDEX(Movimientos!$M$5:$M$2001,MATCH(A370&amp;"ENTRADA",Movimientos!$R$5:$R$2001,0))),"S/D")</f>
        <v>S/D</v>
      </c>
      <c r="I370" s="16" t="str">
        <f t="shared" ca="1" si="12"/>
        <v>S/D</v>
      </c>
      <c r="J370" s="6">
        <f>IF(A370="","",SUMIFS(Movimientos!$K:$K,Movimientos!$H:$H,A370))</f>
        <v>0</v>
      </c>
      <c r="K370" s="14" t="str">
        <f t="shared" ca="1" si="13"/>
        <v>OK</v>
      </c>
    </row>
    <row r="371" spans="1:11">
      <c r="A371" s="18" t="s">
        <v>2444</v>
      </c>
      <c r="B371" s="3" t="str">
        <f>IFERROR(INDEX(Movimientos!$C$5:$C$2001,MATCH(A371&amp;"ENTRADA",Movimientos!$R$5:$R$2001,0)),"-")</f>
        <v>-</v>
      </c>
      <c r="C371" s="3" t="str">
        <f>IFERROR(INDEX(Movimientos!$D$5:$D$2001,MATCH(A371&amp;"ENTRADA",Movimientos!$R$5:$R$2001,0)),"-")</f>
        <v>-</v>
      </c>
      <c r="D371" s="3" t="str">
        <f>IFERROR(INDEX(Movimientos!$E$5:$E$2001,MATCH(A371&amp;"ENTRADA",Movimientos!$R$5:$R$2001,0)),"-")</f>
        <v>-</v>
      </c>
      <c r="E371" s="3" t="str">
        <f>IFERROR(INDEX(Movimientos!$F$5:$F$2001,MATCH(A371&amp;"ENTRADA",Movimientos!$R$5:$R$2001,0)),"-")</f>
        <v>-</v>
      </c>
      <c r="F371" s="3" t="str">
        <f>IFERROR(INDEX(Movimientos!$G$5:$G$2001,MATCH(A371&amp;"ENTRADA",Movimientos!$R$5:$R$2001,0)),"-")</f>
        <v>-</v>
      </c>
      <c r="G371" s="3" t="str">
        <f>IFERROR(INDEX(Movimientos!$L$5:$L$2001,MATCH(A371&amp;"ENTRADA",Movimientos!$R$5:$R$2001,0)),"-")</f>
        <v>-</v>
      </c>
      <c r="H371" s="19" t="str">
        <f>IFERROR(IF(INDEX(Movimientos!$M$5:$M$2001,MATCH(A371&amp;"ENTRADA",Movimientos!$R$5:$R$2001,0))=0,"S/D",INDEX(Movimientos!$M$5:$M$2001,MATCH(A371&amp;"ENTRADA",Movimientos!$R$5:$R$2001,0))),"S/D")</f>
        <v>S/D</v>
      </c>
      <c r="I371" s="16" t="str">
        <f t="shared" ca="1" si="12"/>
        <v>S/D</v>
      </c>
      <c r="J371" s="6">
        <f>IF(A371="","",SUMIFS(Movimientos!$K:$K,Movimientos!$H:$H,A371))</f>
        <v>0</v>
      </c>
      <c r="K371" s="14" t="str">
        <f t="shared" ca="1" si="13"/>
        <v>OK</v>
      </c>
    </row>
    <row r="372" spans="1:11">
      <c r="A372" s="18" t="s">
        <v>2445</v>
      </c>
      <c r="B372" s="3" t="str">
        <f>IFERROR(INDEX(Movimientos!$C$5:$C$2001,MATCH(A372&amp;"ENTRADA",Movimientos!$R$5:$R$2001,0)),"-")</f>
        <v>-</v>
      </c>
      <c r="C372" s="3" t="str">
        <f>IFERROR(INDEX(Movimientos!$D$5:$D$2001,MATCH(A372&amp;"ENTRADA",Movimientos!$R$5:$R$2001,0)),"-")</f>
        <v>-</v>
      </c>
      <c r="D372" s="3" t="str">
        <f>IFERROR(INDEX(Movimientos!$E$5:$E$2001,MATCH(A372&amp;"ENTRADA",Movimientos!$R$5:$R$2001,0)),"-")</f>
        <v>-</v>
      </c>
      <c r="E372" s="3" t="str">
        <f>IFERROR(INDEX(Movimientos!$F$5:$F$2001,MATCH(A372&amp;"ENTRADA",Movimientos!$R$5:$R$2001,0)),"-")</f>
        <v>-</v>
      </c>
      <c r="F372" s="3" t="str">
        <f>IFERROR(INDEX(Movimientos!$G$5:$G$2001,MATCH(A372&amp;"ENTRADA",Movimientos!$R$5:$R$2001,0)),"-")</f>
        <v>-</v>
      </c>
      <c r="G372" s="3" t="str">
        <f>IFERROR(INDEX(Movimientos!$L$5:$L$2001,MATCH(A372&amp;"ENTRADA",Movimientos!$R$5:$R$2001,0)),"-")</f>
        <v>-</v>
      </c>
      <c r="H372" s="19" t="str">
        <f>IFERROR(IF(INDEX(Movimientos!$M$5:$M$2001,MATCH(A372&amp;"ENTRADA",Movimientos!$R$5:$R$2001,0))=0,"S/D",INDEX(Movimientos!$M$5:$M$2001,MATCH(A372&amp;"ENTRADA",Movimientos!$R$5:$R$2001,0))),"S/D")</f>
        <v>S/D</v>
      </c>
      <c r="I372" s="16" t="str">
        <f t="shared" ca="1" si="12"/>
        <v>S/D</v>
      </c>
      <c r="J372" s="6">
        <f>IF(A372="","",SUMIFS(Movimientos!$K:$K,Movimientos!$H:$H,A372))</f>
        <v>0</v>
      </c>
      <c r="K372" s="14" t="str">
        <f t="shared" ca="1" si="13"/>
        <v>OK</v>
      </c>
    </row>
    <row r="373" spans="1:11">
      <c r="A373" s="18" t="s">
        <v>2446</v>
      </c>
      <c r="B373" s="3" t="str">
        <f>IFERROR(INDEX(Movimientos!$C$5:$C$2001,MATCH(A373&amp;"ENTRADA",Movimientos!$R$5:$R$2001,0)),"-")</f>
        <v>-</v>
      </c>
      <c r="C373" s="3" t="str">
        <f>IFERROR(INDEX(Movimientos!$D$5:$D$2001,MATCH(A373&amp;"ENTRADA",Movimientos!$R$5:$R$2001,0)),"-")</f>
        <v>-</v>
      </c>
      <c r="D373" s="3" t="str">
        <f>IFERROR(INDEX(Movimientos!$E$5:$E$2001,MATCH(A373&amp;"ENTRADA",Movimientos!$R$5:$R$2001,0)),"-")</f>
        <v>-</v>
      </c>
      <c r="E373" s="3" t="str">
        <f>IFERROR(INDEX(Movimientos!$F$5:$F$2001,MATCH(A373&amp;"ENTRADA",Movimientos!$R$5:$R$2001,0)),"-")</f>
        <v>-</v>
      </c>
      <c r="F373" s="3" t="str">
        <f>IFERROR(INDEX(Movimientos!$G$5:$G$2001,MATCH(A373&amp;"ENTRADA",Movimientos!$R$5:$R$2001,0)),"-")</f>
        <v>-</v>
      </c>
      <c r="G373" s="3" t="str">
        <f>IFERROR(INDEX(Movimientos!$L$5:$L$2001,MATCH(A373&amp;"ENTRADA",Movimientos!$R$5:$R$2001,0)),"-")</f>
        <v>-</v>
      </c>
      <c r="H373" s="19" t="str">
        <f>IFERROR(IF(INDEX(Movimientos!$M$5:$M$2001,MATCH(A373&amp;"ENTRADA",Movimientos!$R$5:$R$2001,0))=0,"S/D",INDEX(Movimientos!$M$5:$M$2001,MATCH(A373&amp;"ENTRADA",Movimientos!$R$5:$R$2001,0))),"S/D")</f>
        <v>S/D</v>
      </c>
      <c r="I373" s="16" t="str">
        <f t="shared" ca="1" si="12"/>
        <v>S/D</v>
      </c>
      <c r="J373" s="6">
        <f>IF(A373="","",SUMIFS(Movimientos!$K:$K,Movimientos!$H:$H,A373))</f>
        <v>0</v>
      </c>
      <c r="K373" s="14" t="str">
        <f t="shared" ca="1" si="13"/>
        <v>OK</v>
      </c>
    </row>
    <row r="374" spans="1:11">
      <c r="A374" s="18" t="s">
        <v>2447</v>
      </c>
      <c r="B374" s="3" t="str">
        <f>IFERROR(INDEX(Movimientos!$C$5:$C$2001,MATCH(A374&amp;"ENTRADA",Movimientos!$R$5:$R$2001,0)),"-")</f>
        <v>-</v>
      </c>
      <c r="C374" s="3" t="str">
        <f>IFERROR(INDEX(Movimientos!$D$5:$D$2001,MATCH(A374&amp;"ENTRADA",Movimientos!$R$5:$R$2001,0)),"-")</f>
        <v>-</v>
      </c>
      <c r="D374" s="3" t="str">
        <f>IFERROR(INDEX(Movimientos!$E$5:$E$2001,MATCH(A374&amp;"ENTRADA",Movimientos!$R$5:$R$2001,0)),"-")</f>
        <v>-</v>
      </c>
      <c r="E374" s="3" t="str">
        <f>IFERROR(INDEX(Movimientos!$F$5:$F$2001,MATCH(A374&amp;"ENTRADA",Movimientos!$R$5:$R$2001,0)),"-")</f>
        <v>-</v>
      </c>
      <c r="F374" s="3" t="str">
        <f>IFERROR(INDEX(Movimientos!$G$5:$G$2001,MATCH(A374&amp;"ENTRADA",Movimientos!$R$5:$R$2001,0)),"-")</f>
        <v>-</v>
      </c>
      <c r="G374" s="3" t="str">
        <f>IFERROR(INDEX(Movimientos!$L$5:$L$2001,MATCH(A374&amp;"ENTRADA",Movimientos!$R$5:$R$2001,0)),"-")</f>
        <v>-</v>
      </c>
      <c r="H374" s="19" t="str">
        <f>IFERROR(IF(INDEX(Movimientos!$M$5:$M$2001,MATCH(A374&amp;"ENTRADA",Movimientos!$R$5:$R$2001,0))=0,"S/D",INDEX(Movimientos!$M$5:$M$2001,MATCH(A374&amp;"ENTRADA",Movimientos!$R$5:$R$2001,0))),"S/D")</f>
        <v>S/D</v>
      </c>
      <c r="I374" s="16" t="str">
        <f t="shared" ca="1" si="12"/>
        <v>S/D</v>
      </c>
      <c r="J374" s="6">
        <f>IF(A374="","",SUMIFS(Movimientos!$K:$K,Movimientos!$H:$H,A374))</f>
        <v>0</v>
      </c>
      <c r="K374" s="14" t="str">
        <f t="shared" ca="1" si="13"/>
        <v>OK</v>
      </c>
    </row>
    <row r="375" spans="1:11">
      <c r="A375" s="18" t="s">
        <v>2448</v>
      </c>
      <c r="B375" s="3" t="str">
        <f>IFERROR(INDEX(Movimientos!$C$5:$C$2001,MATCH(A375&amp;"ENTRADA",Movimientos!$R$5:$R$2001,0)),"-")</f>
        <v>-</v>
      </c>
      <c r="C375" s="3" t="str">
        <f>IFERROR(INDEX(Movimientos!$D$5:$D$2001,MATCH(A375&amp;"ENTRADA",Movimientos!$R$5:$R$2001,0)),"-")</f>
        <v>-</v>
      </c>
      <c r="D375" s="3" t="str">
        <f>IFERROR(INDEX(Movimientos!$E$5:$E$2001,MATCH(A375&amp;"ENTRADA",Movimientos!$R$5:$R$2001,0)),"-")</f>
        <v>-</v>
      </c>
      <c r="E375" s="3" t="str">
        <f>IFERROR(INDEX(Movimientos!$F$5:$F$2001,MATCH(A375&amp;"ENTRADA",Movimientos!$R$5:$R$2001,0)),"-")</f>
        <v>-</v>
      </c>
      <c r="F375" s="3" t="str">
        <f>IFERROR(INDEX(Movimientos!$G$5:$G$2001,MATCH(A375&amp;"ENTRADA",Movimientos!$R$5:$R$2001,0)),"-")</f>
        <v>-</v>
      </c>
      <c r="G375" s="3" t="str">
        <f>IFERROR(INDEX(Movimientos!$L$5:$L$2001,MATCH(A375&amp;"ENTRADA",Movimientos!$R$5:$R$2001,0)),"-")</f>
        <v>-</v>
      </c>
      <c r="H375" s="19" t="str">
        <f>IFERROR(IF(INDEX(Movimientos!$M$5:$M$2001,MATCH(A375&amp;"ENTRADA",Movimientos!$R$5:$R$2001,0))=0,"S/D",INDEX(Movimientos!$M$5:$M$2001,MATCH(A375&amp;"ENTRADA",Movimientos!$R$5:$R$2001,0))),"S/D")</f>
        <v>S/D</v>
      </c>
      <c r="I375" s="16" t="str">
        <f t="shared" ca="1" si="12"/>
        <v>S/D</v>
      </c>
      <c r="J375" s="6">
        <f>IF(A375="","",SUMIFS(Movimientos!$K:$K,Movimientos!$H:$H,A375))</f>
        <v>0</v>
      </c>
      <c r="K375" s="14" t="str">
        <f t="shared" ca="1" si="13"/>
        <v>OK</v>
      </c>
    </row>
    <row r="376" spans="1:11">
      <c r="A376" s="18" t="s">
        <v>2449</v>
      </c>
      <c r="B376" s="3" t="str">
        <f>IFERROR(INDEX(Movimientos!$C$5:$C$2001,MATCH(A376&amp;"ENTRADA",Movimientos!$R$5:$R$2001,0)),"-")</f>
        <v>-</v>
      </c>
      <c r="C376" s="3" t="str">
        <f>IFERROR(INDEX(Movimientos!$D$5:$D$2001,MATCH(A376&amp;"ENTRADA",Movimientos!$R$5:$R$2001,0)),"-")</f>
        <v>-</v>
      </c>
      <c r="D376" s="3" t="str">
        <f>IFERROR(INDEX(Movimientos!$E$5:$E$2001,MATCH(A376&amp;"ENTRADA",Movimientos!$R$5:$R$2001,0)),"-")</f>
        <v>-</v>
      </c>
      <c r="E376" s="3" t="str">
        <f>IFERROR(INDEX(Movimientos!$F$5:$F$2001,MATCH(A376&amp;"ENTRADA",Movimientos!$R$5:$R$2001,0)),"-")</f>
        <v>-</v>
      </c>
      <c r="F376" s="3" t="str">
        <f>IFERROR(INDEX(Movimientos!$G$5:$G$2001,MATCH(A376&amp;"ENTRADA",Movimientos!$R$5:$R$2001,0)),"-")</f>
        <v>-</v>
      </c>
      <c r="G376" s="3" t="str">
        <f>IFERROR(INDEX(Movimientos!$L$5:$L$2001,MATCH(A376&amp;"ENTRADA",Movimientos!$R$5:$R$2001,0)),"-")</f>
        <v>-</v>
      </c>
      <c r="H376" s="19" t="str">
        <f>IFERROR(IF(INDEX(Movimientos!$M$5:$M$2001,MATCH(A376&amp;"ENTRADA",Movimientos!$R$5:$R$2001,0))=0,"S/D",INDEX(Movimientos!$M$5:$M$2001,MATCH(A376&amp;"ENTRADA",Movimientos!$R$5:$R$2001,0))),"S/D")</f>
        <v>S/D</v>
      </c>
      <c r="I376" s="16" t="str">
        <f t="shared" ca="1" si="12"/>
        <v>S/D</v>
      </c>
      <c r="J376" s="6">
        <f>IF(A376="","",SUMIFS(Movimientos!$K:$K,Movimientos!$H:$H,A376))</f>
        <v>0</v>
      </c>
      <c r="K376" s="14" t="str">
        <f t="shared" ca="1" si="13"/>
        <v>OK</v>
      </c>
    </row>
    <row r="377" spans="1:11">
      <c r="A377" s="18" t="s">
        <v>2450</v>
      </c>
      <c r="B377" s="3" t="str">
        <f>IFERROR(INDEX(Movimientos!$C$5:$C$2001,MATCH(A377&amp;"ENTRADA",Movimientos!$R$5:$R$2001,0)),"-")</f>
        <v>-</v>
      </c>
      <c r="C377" s="3" t="str">
        <f>IFERROR(INDEX(Movimientos!$D$5:$D$2001,MATCH(A377&amp;"ENTRADA",Movimientos!$R$5:$R$2001,0)),"-")</f>
        <v>-</v>
      </c>
      <c r="D377" s="3" t="str">
        <f>IFERROR(INDEX(Movimientos!$E$5:$E$2001,MATCH(A377&amp;"ENTRADA",Movimientos!$R$5:$R$2001,0)),"-")</f>
        <v>-</v>
      </c>
      <c r="E377" s="3" t="str">
        <f>IFERROR(INDEX(Movimientos!$F$5:$F$2001,MATCH(A377&amp;"ENTRADA",Movimientos!$R$5:$R$2001,0)),"-")</f>
        <v>-</v>
      </c>
      <c r="F377" s="3" t="str">
        <f>IFERROR(INDEX(Movimientos!$G$5:$G$2001,MATCH(A377&amp;"ENTRADA",Movimientos!$R$5:$R$2001,0)),"-")</f>
        <v>-</v>
      </c>
      <c r="G377" s="3" t="str">
        <f>IFERROR(INDEX(Movimientos!$L$5:$L$2001,MATCH(A377&amp;"ENTRADA",Movimientos!$R$5:$R$2001,0)),"-")</f>
        <v>-</v>
      </c>
      <c r="H377" s="19" t="str">
        <f>IFERROR(IF(INDEX(Movimientos!$M$5:$M$2001,MATCH(A377&amp;"ENTRADA",Movimientos!$R$5:$R$2001,0))=0,"S/D",INDEX(Movimientos!$M$5:$M$2001,MATCH(A377&amp;"ENTRADA",Movimientos!$R$5:$R$2001,0))),"S/D")</f>
        <v>S/D</v>
      </c>
      <c r="I377" s="16" t="str">
        <f t="shared" ca="1" si="12"/>
        <v>S/D</v>
      </c>
      <c r="J377" s="6">
        <f>IF(A377="","",SUMIFS(Movimientos!$K:$K,Movimientos!$H:$H,A377))</f>
        <v>0</v>
      </c>
      <c r="K377" s="14" t="str">
        <f t="shared" ca="1" si="13"/>
        <v>OK</v>
      </c>
    </row>
    <row r="378" spans="1:11">
      <c r="A378" s="18" t="s">
        <v>2451</v>
      </c>
      <c r="B378" s="3" t="str">
        <f>IFERROR(INDEX(Movimientos!$C$5:$C$2001,MATCH(A378&amp;"ENTRADA",Movimientos!$R$5:$R$2001,0)),"-")</f>
        <v>-</v>
      </c>
      <c r="C378" s="3" t="str">
        <f>IFERROR(INDEX(Movimientos!$D$5:$D$2001,MATCH(A378&amp;"ENTRADA",Movimientos!$R$5:$R$2001,0)),"-")</f>
        <v>-</v>
      </c>
      <c r="D378" s="3" t="str">
        <f>IFERROR(INDEX(Movimientos!$E$5:$E$2001,MATCH(A378&amp;"ENTRADA",Movimientos!$R$5:$R$2001,0)),"-")</f>
        <v>-</v>
      </c>
      <c r="E378" s="3" t="str">
        <f>IFERROR(INDEX(Movimientos!$F$5:$F$2001,MATCH(A378&amp;"ENTRADA",Movimientos!$R$5:$R$2001,0)),"-")</f>
        <v>-</v>
      </c>
      <c r="F378" s="3" t="str">
        <f>IFERROR(INDEX(Movimientos!$G$5:$G$2001,MATCH(A378&amp;"ENTRADA",Movimientos!$R$5:$R$2001,0)),"-")</f>
        <v>-</v>
      </c>
      <c r="G378" s="3" t="str">
        <f>IFERROR(INDEX(Movimientos!$L$5:$L$2001,MATCH(A378&amp;"ENTRADA",Movimientos!$R$5:$R$2001,0)),"-")</f>
        <v>-</v>
      </c>
      <c r="H378" s="19" t="str">
        <f>IFERROR(IF(INDEX(Movimientos!$M$5:$M$2001,MATCH(A378&amp;"ENTRADA",Movimientos!$R$5:$R$2001,0))=0,"S/D",INDEX(Movimientos!$M$5:$M$2001,MATCH(A378&amp;"ENTRADA",Movimientos!$R$5:$R$2001,0))),"S/D")</f>
        <v>S/D</v>
      </c>
      <c r="I378" s="16" t="str">
        <f t="shared" ca="1" si="12"/>
        <v>S/D</v>
      </c>
      <c r="J378" s="6">
        <f>IF(A378="","",SUMIFS(Movimientos!$K:$K,Movimientos!$H:$H,A378))</f>
        <v>0</v>
      </c>
      <c r="K378" s="14" t="str">
        <f t="shared" ca="1" si="13"/>
        <v>OK</v>
      </c>
    </row>
    <row r="379" spans="1:11">
      <c r="A379" s="18" t="s">
        <v>2452</v>
      </c>
      <c r="B379" s="3" t="str">
        <f>IFERROR(INDEX(Movimientos!$C$5:$C$2001,MATCH(A379&amp;"ENTRADA",Movimientos!$R$5:$R$2001,0)),"-")</f>
        <v>-</v>
      </c>
      <c r="C379" s="3" t="str">
        <f>IFERROR(INDEX(Movimientos!$D$5:$D$2001,MATCH(A379&amp;"ENTRADA",Movimientos!$R$5:$R$2001,0)),"-")</f>
        <v>-</v>
      </c>
      <c r="D379" s="3" t="str">
        <f>IFERROR(INDEX(Movimientos!$E$5:$E$2001,MATCH(A379&amp;"ENTRADA",Movimientos!$R$5:$R$2001,0)),"-")</f>
        <v>-</v>
      </c>
      <c r="E379" s="3" t="str">
        <f>IFERROR(INDEX(Movimientos!$F$5:$F$2001,MATCH(A379&amp;"ENTRADA",Movimientos!$R$5:$R$2001,0)),"-")</f>
        <v>-</v>
      </c>
      <c r="F379" s="3" t="str">
        <f>IFERROR(INDEX(Movimientos!$G$5:$G$2001,MATCH(A379&amp;"ENTRADA",Movimientos!$R$5:$R$2001,0)),"-")</f>
        <v>-</v>
      </c>
      <c r="G379" s="3" t="str">
        <f>IFERROR(INDEX(Movimientos!$L$5:$L$2001,MATCH(A379&amp;"ENTRADA",Movimientos!$R$5:$R$2001,0)),"-")</f>
        <v>-</v>
      </c>
      <c r="H379" s="19" t="str">
        <f>IFERROR(IF(INDEX(Movimientos!$M$5:$M$2001,MATCH(A379&amp;"ENTRADA",Movimientos!$R$5:$R$2001,0))=0,"S/D",INDEX(Movimientos!$M$5:$M$2001,MATCH(A379&amp;"ENTRADA",Movimientos!$R$5:$R$2001,0))),"S/D")</f>
        <v>S/D</v>
      </c>
      <c r="I379" s="16" t="str">
        <f t="shared" ca="1" si="12"/>
        <v>S/D</v>
      </c>
      <c r="J379" s="6">
        <f>IF(A379="","",SUMIFS(Movimientos!$K:$K,Movimientos!$H:$H,A379))</f>
        <v>0</v>
      </c>
      <c r="K379" s="14" t="str">
        <f t="shared" ca="1" si="13"/>
        <v>OK</v>
      </c>
    </row>
    <row r="380" spans="1:11">
      <c r="A380" s="18" t="s">
        <v>2453</v>
      </c>
      <c r="B380" s="3" t="str">
        <f>IFERROR(INDEX(Movimientos!$C$5:$C$2001,MATCH(A380&amp;"ENTRADA",Movimientos!$R$5:$R$2001,0)),"-")</f>
        <v>-</v>
      </c>
      <c r="C380" s="3" t="str">
        <f>IFERROR(INDEX(Movimientos!$D$5:$D$2001,MATCH(A380&amp;"ENTRADA",Movimientos!$R$5:$R$2001,0)),"-")</f>
        <v>-</v>
      </c>
      <c r="D380" s="3" t="str">
        <f>IFERROR(INDEX(Movimientos!$E$5:$E$2001,MATCH(A380&amp;"ENTRADA",Movimientos!$R$5:$R$2001,0)),"-")</f>
        <v>-</v>
      </c>
      <c r="E380" s="3" t="str">
        <f>IFERROR(INDEX(Movimientos!$F$5:$F$2001,MATCH(A380&amp;"ENTRADA",Movimientos!$R$5:$R$2001,0)),"-")</f>
        <v>-</v>
      </c>
      <c r="F380" s="3" t="str">
        <f>IFERROR(INDEX(Movimientos!$G$5:$G$2001,MATCH(A380&amp;"ENTRADA",Movimientos!$R$5:$R$2001,0)),"-")</f>
        <v>-</v>
      </c>
      <c r="G380" s="3" t="str">
        <f>IFERROR(INDEX(Movimientos!$L$5:$L$2001,MATCH(A380&amp;"ENTRADA",Movimientos!$R$5:$R$2001,0)),"-")</f>
        <v>-</v>
      </c>
      <c r="H380" s="19" t="str">
        <f>IFERROR(IF(INDEX(Movimientos!$M$5:$M$2001,MATCH(A380&amp;"ENTRADA",Movimientos!$R$5:$R$2001,0))=0,"S/D",INDEX(Movimientos!$M$5:$M$2001,MATCH(A380&amp;"ENTRADA",Movimientos!$R$5:$R$2001,0))),"S/D")</f>
        <v>S/D</v>
      </c>
      <c r="I380" s="16" t="str">
        <f t="shared" ca="1" si="12"/>
        <v>S/D</v>
      </c>
      <c r="J380" s="6">
        <f>IF(A380="","",SUMIFS(Movimientos!$K:$K,Movimientos!$H:$H,A380))</f>
        <v>0</v>
      </c>
      <c r="K380" s="14" t="str">
        <f t="shared" ca="1" si="13"/>
        <v>OK</v>
      </c>
    </row>
    <row r="381" spans="1:11">
      <c r="A381" s="18" t="s">
        <v>2454</v>
      </c>
      <c r="B381" s="3" t="str">
        <f>IFERROR(INDEX(Movimientos!$C$5:$C$2001,MATCH(A381&amp;"ENTRADA",Movimientos!$R$5:$R$2001,0)),"-")</f>
        <v>-</v>
      </c>
      <c r="C381" s="3" t="str">
        <f>IFERROR(INDEX(Movimientos!$D$5:$D$2001,MATCH(A381&amp;"ENTRADA",Movimientos!$R$5:$R$2001,0)),"-")</f>
        <v>-</v>
      </c>
      <c r="D381" s="3" t="str">
        <f>IFERROR(INDEX(Movimientos!$E$5:$E$2001,MATCH(A381&amp;"ENTRADA",Movimientos!$R$5:$R$2001,0)),"-")</f>
        <v>-</v>
      </c>
      <c r="E381" s="3" t="str">
        <f>IFERROR(INDEX(Movimientos!$F$5:$F$2001,MATCH(A381&amp;"ENTRADA",Movimientos!$R$5:$R$2001,0)),"-")</f>
        <v>-</v>
      </c>
      <c r="F381" s="3" t="str">
        <f>IFERROR(INDEX(Movimientos!$G$5:$G$2001,MATCH(A381&amp;"ENTRADA",Movimientos!$R$5:$R$2001,0)),"-")</f>
        <v>-</v>
      </c>
      <c r="G381" s="3" t="str">
        <f>IFERROR(INDEX(Movimientos!$L$5:$L$2001,MATCH(A381&amp;"ENTRADA",Movimientos!$R$5:$R$2001,0)),"-")</f>
        <v>-</v>
      </c>
      <c r="H381" s="19" t="str">
        <f>IFERROR(IF(INDEX(Movimientos!$M$5:$M$2001,MATCH(A381&amp;"ENTRADA",Movimientos!$R$5:$R$2001,0))=0,"S/D",INDEX(Movimientos!$M$5:$M$2001,MATCH(A381&amp;"ENTRADA",Movimientos!$R$5:$R$2001,0))),"S/D")</f>
        <v>S/D</v>
      </c>
      <c r="I381" s="16" t="str">
        <f t="shared" ca="1" si="12"/>
        <v>S/D</v>
      </c>
      <c r="J381" s="6">
        <f>IF(A381="","",SUMIFS(Movimientos!$K:$K,Movimientos!$H:$H,A381))</f>
        <v>0</v>
      </c>
      <c r="K381" s="14" t="str">
        <f t="shared" ca="1" si="13"/>
        <v>OK</v>
      </c>
    </row>
    <row r="382" spans="1:11">
      <c r="A382" s="18" t="s">
        <v>2455</v>
      </c>
      <c r="B382" s="3" t="str">
        <f>IFERROR(INDEX(Movimientos!$C$5:$C$2001,MATCH(A382&amp;"ENTRADA",Movimientos!$R$5:$R$2001,0)),"-")</f>
        <v>-</v>
      </c>
      <c r="C382" s="3" t="str">
        <f>IFERROR(INDEX(Movimientos!$D$5:$D$2001,MATCH(A382&amp;"ENTRADA",Movimientos!$R$5:$R$2001,0)),"-")</f>
        <v>-</v>
      </c>
      <c r="D382" s="3" t="str">
        <f>IFERROR(INDEX(Movimientos!$E$5:$E$2001,MATCH(A382&amp;"ENTRADA",Movimientos!$R$5:$R$2001,0)),"-")</f>
        <v>-</v>
      </c>
      <c r="E382" s="3" t="str">
        <f>IFERROR(INDEX(Movimientos!$F$5:$F$2001,MATCH(A382&amp;"ENTRADA",Movimientos!$R$5:$R$2001,0)),"-")</f>
        <v>-</v>
      </c>
      <c r="F382" s="3" t="str">
        <f>IFERROR(INDEX(Movimientos!$G$5:$G$2001,MATCH(A382&amp;"ENTRADA",Movimientos!$R$5:$R$2001,0)),"-")</f>
        <v>-</v>
      </c>
      <c r="G382" s="3" t="str">
        <f>IFERROR(INDEX(Movimientos!$L$5:$L$2001,MATCH(A382&amp;"ENTRADA",Movimientos!$R$5:$R$2001,0)),"-")</f>
        <v>-</v>
      </c>
      <c r="H382" s="19" t="str">
        <f>IFERROR(IF(INDEX(Movimientos!$M$5:$M$2001,MATCH(A382&amp;"ENTRADA",Movimientos!$R$5:$R$2001,0))=0,"S/D",INDEX(Movimientos!$M$5:$M$2001,MATCH(A382&amp;"ENTRADA",Movimientos!$R$5:$R$2001,0))),"S/D")</f>
        <v>S/D</v>
      </c>
      <c r="I382" s="16" t="str">
        <f t="shared" ca="1" si="12"/>
        <v>S/D</v>
      </c>
      <c r="J382" s="6">
        <f>IF(A382="","",SUMIFS(Movimientos!$K:$K,Movimientos!$H:$H,A382))</f>
        <v>0</v>
      </c>
      <c r="K382" s="14" t="str">
        <f t="shared" ca="1" si="13"/>
        <v>OK</v>
      </c>
    </row>
    <row r="383" spans="1:11">
      <c r="A383" s="18" t="s">
        <v>2456</v>
      </c>
      <c r="B383" s="3" t="str">
        <f>IFERROR(INDEX(Movimientos!$C$5:$C$2001,MATCH(A383&amp;"ENTRADA",Movimientos!$R$5:$R$2001,0)),"-")</f>
        <v>-</v>
      </c>
      <c r="C383" s="3" t="str">
        <f>IFERROR(INDEX(Movimientos!$D$5:$D$2001,MATCH(A383&amp;"ENTRADA",Movimientos!$R$5:$R$2001,0)),"-")</f>
        <v>-</v>
      </c>
      <c r="D383" s="3" t="str">
        <f>IFERROR(INDEX(Movimientos!$E$5:$E$2001,MATCH(A383&amp;"ENTRADA",Movimientos!$R$5:$R$2001,0)),"-")</f>
        <v>-</v>
      </c>
      <c r="E383" s="3" t="str">
        <f>IFERROR(INDEX(Movimientos!$F$5:$F$2001,MATCH(A383&amp;"ENTRADA",Movimientos!$R$5:$R$2001,0)),"-")</f>
        <v>-</v>
      </c>
      <c r="F383" s="3" t="str">
        <f>IFERROR(INDEX(Movimientos!$G$5:$G$2001,MATCH(A383&amp;"ENTRADA",Movimientos!$R$5:$R$2001,0)),"-")</f>
        <v>-</v>
      </c>
      <c r="G383" s="3" t="str">
        <f>IFERROR(INDEX(Movimientos!$L$5:$L$2001,MATCH(A383&amp;"ENTRADA",Movimientos!$R$5:$R$2001,0)),"-")</f>
        <v>-</v>
      </c>
      <c r="H383" s="19" t="str">
        <f>IFERROR(IF(INDEX(Movimientos!$M$5:$M$2001,MATCH(A383&amp;"ENTRADA",Movimientos!$R$5:$R$2001,0))=0,"S/D",INDEX(Movimientos!$M$5:$M$2001,MATCH(A383&amp;"ENTRADA",Movimientos!$R$5:$R$2001,0))),"S/D")</f>
        <v>S/D</v>
      </c>
      <c r="I383" s="16" t="str">
        <f t="shared" ca="1" si="12"/>
        <v>S/D</v>
      </c>
      <c r="J383" s="6">
        <f>IF(A383="","",SUMIFS(Movimientos!$K:$K,Movimientos!$H:$H,A383))</f>
        <v>0</v>
      </c>
      <c r="K383" s="14" t="str">
        <f t="shared" ca="1" si="13"/>
        <v>OK</v>
      </c>
    </row>
    <row r="384" spans="1:11">
      <c r="A384" s="18" t="s">
        <v>2457</v>
      </c>
      <c r="B384" s="3" t="str">
        <f>IFERROR(INDEX(Movimientos!$C$5:$C$2001,MATCH(A384&amp;"ENTRADA",Movimientos!$R$5:$R$2001,0)),"-")</f>
        <v>-</v>
      </c>
      <c r="C384" s="3" t="str">
        <f>IFERROR(INDEX(Movimientos!$D$5:$D$2001,MATCH(A384&amp;"ENTRADA",Movimientos!$R$5:$R$2001,0)),"-")</f>
        <v>-</v>
      </c>
      <c r="D384" s="3" t="str">
        <f>IFERROR(INDEX(Movimientos!$E$5:$E$2001,MATCH(A384&amp;"ENTRADA",Movimientos!$R$5:$R$2001,0)),"-")</f>
        <v>-</v>
      </c>
      <c r="E384" s="3" t="str">
        <f>IFERROR(INDEX(Movimientos!$F$5:$F$2001,MATCH(A384&amp;"ENTRADA",Movimientos!$R$5:$R$2001,0)),"-")</f>
        <v>-</v>
      </c>
      <c r="F384" s="3" t="str">
        <f>IFERROR(INDEX(Movimientos!$G$5:$G$2001,MATCH(A384&amp;"ENTRADA",Movimientos!$R$5:$R$2001,0)),"-")</f>
        <v>-</v>
      </c>
      <c r="G384" s="3" t="str">
        <f>IFERROR(INDEX(Movimientos!$L$5:$L$2001,MATCH(A384&amp;"ENTRADA",Movimientos!$R$5:$R$2001,0)),"-")</f>
        <v>-</v>
      </c>
      <c r="H384" s="19" t="str">
        <f>IFERROR(IF(INDEX(Movimientos!$M$5:$M$2001,MATCH(A384&amp;"ENTRADA",Movimientos!$R$5:$R$2001,0))=0,"S/D",INDEX(Movimientos!$M$5:$M$2001,MATCH(A384&amp;"ENTRADA",Movimientos!$R$5:$R$2001,0))),"S/D")</f>
        <v>S/D</v>
      </c>
      <c r="I384" s="16" t="str">
        <f t="shared" ca="1" si="12"/>
        <v>S/D</v>
      </c>
      <c r="J384" s="6">
        <f>IF(A384="","",SUMIFS(Movimientos!$K:$K,Movimientos!$H:$H,A384))</f>
        <v>0</v>
      </c>
      <c r="K384" s="14" t="str">
        <f t="shared" ca="1" si="13"/>
        <v>OK</v>
      </c>
    </row>
    <row r="385" spans="1:11">
      <c r="A385" s="18" t="s">
        <v>2458</v>
      </c>
      <c r="B385" s="3" t="str">
        <f>IFERROR(INDEX(Movimientos!$C$5:$C$2001,MATCH(A385&amp;"ENTRADA",Movimientos!$R$5:$R$2001,0)),"-")</f>
        <v>-</v>
      </c>
      <c r="C385" s="3" t="str">
        <f>IFERROR(INDEX(Movimientos!$D$5:$D$2001,MATCH(A385&amp;"ENTRADA",Movimientos!$R$5:$R$2001,0)),"-")</f>
        <v>-</v>
      </c>
      <c r="D385" s="3" t="str">
        <f>IFERROR(INDEX(Movimientos!$E$5:$E$2001,MATCH(A385&amp;"ENTRADA",Movimientos!$R$5:$R$2001,0)),"-")</f>
        <v>-</v>
      </c>
      <c r="E385" s="3" t="str">
        <f>IFERROR(INDEX(Movimientos!$F$5:$F$2001,MATCH(A385&amp;"ENTRADA",Movimientos!$R$5:$R$2001,0)),"-")</f>
        <v>-</v>
      </c>
      <c r="F385" s="3" t="str">
        <f>IFERROR(INDEX(Movimientos!$G$5:$G$2001,MATCH(A385&amp;"ENTRADA",Movimientos!$R$5:$R$2001,0)),"-")</f>
        <v>-</v>
      </c>
      <c r="G385" s="3" t="str">
        <f>IFERROR(INDEX(Movimientos!$L$5:$L$2001,MATCH(A385&amp;"ENTRADA",Movimientos!$R$5:$R$2001,0)),"-")</f>
        <v>-</v>
      </c>
      <c r="H385" s="19" t="str">
        <f>IFERROR(IF(INDEX(Movimientos!$M$5:$M$2001,MATCH(A385&amp;"ENTRADA",Movimientos!$R$5:$R$2001,0))=0,"S/D",INDEX(Movimientos!$M$5:$M$2001,MATCH(A385&amp;"ENTRADA",Movimientos!$R$5:$R$2001,0))),"S/D")</f>
        <v>S/D</v>
      </c>
      <c r="I385" s="16" t="str">
        <f t="shared" ca="1" si="12"/>
        <v>S/D</v>
      </c>
      <c r="J385" s="6">
        <f>IF(A385="","",SUMIFS(Movimientos!$K:$K,Movimientos!$H:$H,A385))</f>
        <v>0</v>
      </c>
      <c r="K385" s="14" t="str">
        <f t="shared" ca="1" si="13"/>
        <v>OK</v>
      </c>
    </row>
    <row r="386" spans="1:11">
      <c r="A386" s="18" t="s">
        <v>2459</v>
      </c>
      <c r="B386" s="3" t="str">
        <f>IFERROR(INDEX(Movimientos!$C$5:$C$2001,MATCH(A386&amp;"ENTRADA",Movimientos!$R$5:$R$2001,0)),"-")</f>
        <v>-</v>
      </c>
      <c r="C386" s="3" t="str">
        <f>IFERROR(INDEX(Movimientos!$D$5:$D$2001,MATCH(A386&amp;"ENTRADA",Movimientos!$R$5:$R$2001,0)),"-")</f>
        <v>-</v>
      </c>
      <c r="D386" s="3" t="str">
        <f>IFERROR(INDEX(Movimientos!$E$5:$E$2001,MATCH(A386&amp;"ENTRADA",Movimientos!$R$5:$R$2001,0)),"-")</f>
        <v>-</v>
      </c>
      <c r="E386" s="3" t="str">
        <f>IFERROR(INDEX(Movimientos!$F$5:$F$2001,MATCH(A386&amp;"ENTRADA",Movimientos!$R$5:$R$2001,0)),"-")</f>
        <v>-</v>
      </c>
      <c r="F386" s="3" t="str">
        <f>IFERROR(INDEX(Movimientos!$G$5:$G$2001,MATCH(A386&amp;"ENTRADA",Movimientos!$R$5:$R$2001,0)),"-")</f>
        <v>-</v>
      </c>
      <c r="G386" s="3" t="str">
        <f>IFERROR(INDEX(Movimientos!$L$5:$L$2001,MATCH(A386&amp;"ENTRADA",Movimientos!$R$5:$R$2001,0)),"-")</f>
        <v>-</v>
      </c>
      <c r="H386" s="19" t="str">
        <f>IFERROR(IF(INDEX(Movimientos!$M$5:$M$2001,MATCH(A386&amp;"ENTRADA",Movimientos!$R$5:$R$2001,0))=0,"S/D",INDEX(Movimientos!$M$5:$M$2001,MATCH(A386&amp;"ENTRADA",Movimientos!$R$5:$R$2001,0))),"S/D")</f>
        <v>S/D</v>
      </c>
      <c r="I386" s="16" t="str">
        <f t="shared" ca="1" si="12"/>
        <v>S/D</v>
      </c>
      <c r="J386" s="6">
        <f>IF(A386="","",SUMIFS(Movimientos!$K:$K,Movimientos!$H:$H,A386))</f>
        <v>0</v>
      </c>
      <c r="K386" s="14" t="str">
        <f t="shared" ca="1" si="13"/>
        <v>OK</v>
      </c>
    </row>
    <row r="387" spans="1:11">
      <c r="A387" s="18" t="s">
        <v>2460</v>
      </c>
      <c r="B387" s="3" t="str">
        <f>IFERROR(INDEX(Movimientos!$C$5:$C$2001,MATCH(A387&amp;"ENTRADA",Movimientos!$R$5:$R$2001,0)),"-")</f>
        <v>-</v>
      </c>
      <c r="C387" s="3" t="str">
        <f>IFERROR(INDEX(Movimientos!$D$5:$D$2001,MATCH(A387&amp;"ENTRADA",Movimientos!$R$5:$R$2001,0)),"-")</f>
        <v>-</v>
      </c>
      <c r="D387" s="3" t="str">
        <f>IFERROR(INDEX(Movimientos!$E$5:$E$2001,MATCH(A387&amp;"ENTRADA",Movimientos!$R$5:$R$2001,0)),"-")</f>
        <v>-</v>
      </c>
      <c r="E387" s="3" t="str">
        <f>IFERROR(INDEX(Movimientos!$F$5:$F$2001,MATCH(A387&amp;"ENTRADA",Movimientos!$R$5:$R$2001,0)),"-")</f>
        <v>-</v>
      </c>
      <c r="F387" s="3" t="str">
        <f>IFERROR(INDEX(Movimientos!$G$5:$G$2001,MATCH(A387&amp;"ENTRADA",Movimientos!$R$5:$R$2001,0)),"-")</f>
        <v>-</v>
      </c>
      <c r="G387" s="3" t="str">
        <f>IFERROR(INDEX(Movimientos!$L$5:$L$2001,MATCH(A387&amp;"ENTRADA",Movimientos!$R$5:$R$2001,0)),"-")</f>
        <v>-</v>
      </c>
      <c r="H387" s="19" t="str">
        <f>IFERROR(IF(INDEX(Movimientos!$M$5:$M$2001,MATCH(A387&amp;"ENTRADA",Movimientos!$R$5:$R$2001,0))=0,"S/D",INDEX(Movimientos!$M$5:$M$2001,MATCH(A387&amp;"ENTRADA",Movimientos!$R$5:$R$2001,0))),"S/D")</f>
        <v>S/D</v>
      </c>
      <c r="I387" s="16" t="str">
        <f t="shared" ca="1" si="12"/>
        <v>S/D</v>
      </c>
      <c r="J387" s="6">
        <f>IF(A387="","",SUMIFS(Movimientos!$K:$K,Movimientos!$H:$H,A387))</f>
        <v>0</v>
      </c>
      <c r="K387" s="14" t="str">
        <f t="shared" ca="1" si="13"/>
        <v>OK</v>
      </c>
    </row>
    <row r="388" spans="1:11">
      <c r="A388" s="18" t="s">
        <v>2461</v>
      </c>
      <c r="B388" s="3" t="str">
        <f>IFERROR(INDEX(Movimientos!$C$5:$C$2001,MATCH(A388&amp;"ENTRADA",Movimientos!$R$5:$R$2001,0)),"-")</f>
        <v>-</v>
      </c>
      <c r="C388" s="3" t="str">
        <f>IFERROR(INDEX(Movimientos!$D$5:$D$2001,MATCH(A388&amp;"ENTRADA",Movimientos!$R$5:$R$2001,0)),"-")</f>
        <v>-</v>
      </c>
      <c r="D388" s="3" t="str">
        <f>IFERROR(INDEX(Movimientos!$E$5:$E$2001,MATCH(A388&amp;"ENTRADA",Movimientos!$R$5:$R$2001,0)),"-")</f>
        <v>-</v>
      </c>
      <c r="E388" s="3" t="str">
        <f>IFERROR(INDEX(Movimientos!$F$5:$F$2001,MATCH(A388&amp;"ENTRADA",Movimientos!$R$5:$R$2001,0)),"-")</f>
        <v>-</v>
      </c>
      <c r="F388" s="3" t="str">
        <f>IFERROR(INDEX(Movimientos!$G$5:$G$2001,MATCH(A388&amp;"ENTRADA",Movimientos!$R$5:$R$2001,0)),"-")</f>
        <v>-</v>
      </c>
      <c r="G388" s="3" t="str">
        <f>IFERROR(INDEX(Movimientos!$L$5:$L$2001,MATCH(A388&amp;"ENTRADA",Movimientos!$R$5:$R$2001,0)),"-")</f>
        <v>-</v>
      </c>
      <c r="H388" s="19" t="str">
        <f>IFERROR(IF(INDEX(Movimientos!$M$5:$M$2001,MATCH(A388&amp;"ENTRADA",Movimientos!$R$5:$R$2001,0))=0,"S/D",INDEX(Movimientos!$M$5:$M$2001,MATCH(A388&amp;"ENTRADA",Movimientos!$R$5:$R$2001,0))),"S/D")</f>
        <v>S/D</v>
      </c>
      <c r="I388" s="16" t="str">
        <f t="shared" ca="1" si="12"/>
        <v>S/D</v>
      </c>
      <c r="J388" s="6">
        <f>IF(A388="","",SUMIFS(Movimientos!$K:$K,Movimientos!$H:$H,A388))</f>
        <v>0</v>
      </c>
      <c r="K388" s="14" t="str">
        <f t="shared" ca="1" si="13"/>
        <v>OK</v>
      </c>
    </row>
    <row r="389" spans="1:11">
      <c r="A389" s="18" t="s">
        <v>2462</v>
      </c>
      <c r="B389" s="3" t="str">
        <f>IFERROR(INDEX(Movimientos!$C$5:$C$2001,MATCH(A389&amp;"ENTRADA",Movimientos!$R$5:$R$2001,0)),"-")</f>
        <v>-</v>
      </c>
      <c r="C389" s="3" t="str">
        <f>IFERROR(INDEX(Movimientos!$D$5:$D$2001,MATCH(A389&amp;"ENTRADA",Movimientos!$R$5:$R$2001,0)),"-")</f>
        <v>-</v>
      </c>
      <c r="D389" s="3" t="str">
        <f>IFERROR(INDEX(Movimientos!$E$5:$E$2001,MATCH(A389&amp;"ENTRADA",Movimientos!$R$5:$R$2001,0)),"-")</f>
        <v>-</v>
      </c>
      <c r="E389" s="3" t="str">
        <f>IFERROR(INDEX(Movimientos!$F$5:$F$2001,MATCH(A389&amp;"ENTRADA",Movimientos!$R$5:$R$2001,0)),"-")</f>
        <v>-</v>
      </c>
      <c r="F389" s="3" t="str">
        <f>IFERROR(INDEX(Movimientos!$G$5:$G$2001,MATCH(A389&amp;"ENTRADA",Movimientos!$R$5:$R$2001,0)),"-")</f>
        <v>-</v>
      </c>
      <c r="G389" s="3" t="str">
        <f>IFERROR(INDEX(Movimientos!$L$5:$L$2001,MATCH(A389&amp;"ENTRADA",Movimientos!$R$5:$R$2001,0)),"-")</f>
        <v>-</v>
      </c>
      <c r="H389" s="19" t="str">
        <f>IFERROR(IF(INDEX(Movimientos!$M$5:$M$2001,MATCH(A389&amp;"ENTRADA",Movimientos!$R$5:$R$2001,0))=0,"S/D",INDEX(Movimientos!$M$5:$M$2001,MATCH(A389&amp;"ENTRADA",Movimientos!$R$5:$R$2001,0))),"S/D")</f>
        <v>S/D</v>
      </c>
      <c r="I389" s="16" t="str">
        <f t="shared" ca="1" si="12"/>
        <v>S/D</v>
      </c>
      <c r="J389" s="6">
        <f>IF(A389="","",SUMIFS(Movimientos!$K:$K,Movimientos!$H:$H,A389))</f>
        <v>0</v>
      </c>
      <c r="K389" s="14" t="str">
        <f t="shared" ca="1" si="13"/>
        <v>OK</v>
      </c>
    </row>
    <row r="390" spans="1:11">
      <c r="A390" s="18" t="s">
        <v>2463</v>
      </c>
      <c r="B390" s="3" t="str">
        <f>IFERROR(INDEX(Movimientos!$C$5:$C$2001,MATCH(A390&amp;"ENTRADA",Movimientos!$R$5:$R$2001,0)),"-")</f>
        <v>-</v>
      </c>
      <c r="C390" s="3" t="str">
        <f>IFERROR(INDEX(Movimientos!$D$5:$D$2001,MATCH(A390&amp;"ENTRADA",Movimientos!$R$5:$R$2001,0)),"-")</f>
        <v>-</v>
      </c>
      <c r="D390" s="3" t="str">
        <f>IFERROR(INDEX(Movimientos!$E$5:$E$2001,MATCH(A390&amp;"ENTRADA",Movimientos!$R$5:$R$2001,0)),"-")</f>
        <v>-</v>
      </c>
      <c r="E390" s="3" t="str">
        <f>IFERROR(INDEX(Movimientos!$F$5:$F$2001,MATCH(A390&amp;"ENTRADA",Movimientos!$R$5:$R$2001,0)),"-")</f>
        <v>-</v>
      </c>
      <c r="F390" s="3" t="str">
        <f>IFERROR(INDEX(Movimientos!$G$5:$G$2001,MATCH(A390&amp;"ENTRADA",Movimientos!$R$5:$R$2001,0)),"-")</f>
        <v>-</v>
      </c>
      <c r="G390" s="3" t="str">
        <f>IFERROR(INDEX(Movimientos!$L$5:$L$2001,MATCH(A390&amp;"ENTRADA",Movimientos!$R$5:$R$2001,0)),"-")</f>
        <v>-</v>
      </c>
      <c r="H390" s="19" t="str">
        <f>IFERROR(IF(INDEX(Movimientos!$M$5:$M$2001,MATCH(A390&amp;"ENTRADA",Movimientos!$R$5:$R$2001,0))=0,"S/D",INDEX(Movimientos!$M$5:$M$2001,MATCH(A390&amp;"ENTRADA",Movimientos!$R$5:$R$2001,0))),"S/D")</f>
        <v>S/D</v>
      </c>
      <c r="I390" s="16" t="str">
        <f t="shared" ca="1" si="12"/>
        <v>S/D</v>
      </c>
      <c r="J390" s="6">
        <f>IF(A390="","",SUMIFS(Movimientos!$K:$K,Movimientos!$H:$H,A390))</f>
        <v>0</v>
      </c>
      <c r="K390" s="14" t="str">
        <f t="shared" ca="1" si="13"/>
        <v>OK</v>
      </c>
    </row>
    <row r="391" spans="1:11">
      <c r="A391" s="18" t="s">
        <v>2464</v>
      </c>
      <c r="B391" s="3" t="str">
        <f>IFERROR(INDEX(Movimientos!$C$5:$C$2001,MATCH(A391&amp;"ENTRADA",Movimientos!$R$5:$R$2001,0)),"-")</f>
        <v>-</v>
      </c>
      <c r="C391" s="3" t="str">
        <f>IFERROR(INDEX(Movimientos!$D$5:$D$2001,MATCH(A391&amp;"ENTRADA",Movimientos!$R$5:$R$2001,0)),"-")</f>
        <v>-</v>
      </c>
      <c r="D391" s="3" t="str">
        <f>IFERROR(INDEX(Movimientos!$E$5:$E$2001,MATCH(A391&amp;"ENTRADA",Movimientos!$R$5:$R$2001,0)),"-")</f>
        <v>-</v>
      </c>
      <c r="E391" s="3" t="str">
        <f>IFERROR(INDEX(Movimientos!$F$5:$F$2001,MATCH(A391&amp;"ENTRADA",Movimientos!$R$5:$R$2001,0)),"-")</f>
        <v>-</v>
      </c>
      <c r="F391" s="3" t="str">
        <f>IFERROR(INDEX(Movimientos!$G$5:$G$2001,MATCH(A391&amp;"ENTRADA",Movimientos!$R$5:$R$2001,0)),"-")</f>
        <v>-</v>
      </c>
      <c r="G391" s="3" t="str">
        <f>IFERROR(INDEX(Movimientos!$L$5:$L$2001,MATCH(A391&amp;"ENTRADA",Movimientos!$R$5:$R$2001,0)),"-")</f>
        <v>-</v>
      </c>
      <c r="H391" s="19" t="str">
        <f>IFERROR(IF(INDEX(Movimientos!$M$5:$M$2001,MATCH(A391&amp;"ENTRADA",Movimientos!$R$5:$R$2001,0))=0,"S/D",INDEX(Movimientos!$M$5:$M$2001,MATCH(A391&amp;"ENTRADA",Movimientos!$R$5:$R$2001,0))),"S/D")</f>
        <v>S/D</v>
      </c>
      <c r="I391" s="16" t="str">
        <f t="shared" ca="1" si="12"/>
        <v>S/D</v>
      </c>
      <c r="J391" s="6">
        <f>IF(A391="","",SUMIFS(Movimientos!$K:$K,Movimientos!$H:$H,A391))</f>
        <v>0</v>
      </c>
      <c r="K391" s="14" t="str">
        <f t="shared" ca="1" si="13"/>
        <v>OK</v>
      </c>
    </row>
    <row r="392" spans="1:11">
      <c r="A392" s="18" t="s">
        <v>2465</v>
      </c>
      <c r="B392" s="3" t="str">
        <f>IFERROR(INDEX(Movimientos!$C$5:$C$2001,MATCH(A392&amp;"ENTRADA",Movimientos!$R$5:$R$2001,0)),"-")</f>
        <v>-</v>
      </c>
      <c r="C392" s="3" t="str">
        <f>IFERROR(INDEX(Movimientos!$D$5:$D$2001,MATCH(A392&amp;"ENTRADA",Movimientos!$R$5:$R$2001,0)),"-")</f>
        <v>-</v>
      </c>
      <c r="D392" s="3" t="str">
        <f>IFERROR(INDEX(Movimientos!$E$5:$E$2001,MATCH(A392&amp;"ENTRADA",Movimientos!$R$5:$R$2001,0)),"-")</f>
        <v>-</v>
      </c>
      <c r="E392" s="3" t="str">
        <f>IFERROR(INDEX(Movimientos!$F$5:$F$2001,MATCH(A392&amp;"ENTRADA",Movimientos!$R$5:$R$2001,0)),"-")</f>
        <v>-</v>
      </c>
      <c r="F392" s="3" t="str">
        <f>IFERROR(INDEX(Movimientos!$G$5:$G$2001,MATCH(A392&amp;"ENTRADA",Movimientos!$R$5:$R$2001,0)),"-")</f>
        <v>-</v>
      </c>
      <c r="G392" s="3" t="str">
        <f>IFERROR(INDEX(Movimientos!$L$5:$L$2001,MATCH(A392&amp;"ENTRADA",Movimientos!$R$5:$R$2001,0)),"-")</f>
        <v>-</v>
      </c>
      <c r="H392" s="19" t="str">
        <f>IFERROR(IF(INDEX(Movimientos!$M$5:$M$2001,MATCH(A392&amp;"ENTRADA",Movimientos!$R$5:$R$2001,0))=0,"S/D",INDEX(Movimientos!$M$5:$M$2001,MATCH(A392&amp;"ENTRADA",Movimientos!$R$5:$R$2001,0))),"S/D")</f>
        <v>S/D</v>
      </c>
      <c r="I392" s="16" t="str">
        <f t="shared" ca="1" si="12"/>
        <v>S/D</v>
      </c>
      <c r="J392" s="6">
        <f>IF(A392="","",SUMIFS(Movimientos!$K:$K,Movimientos!$H:$H,A392))</f>
        <v>0</v>
      </c>
      <c r="K392" s="14" t="str">
        <f t="shared" ca="1" si="13"/>
        <v>OK</v>
      </c>
    </row>
    <row r="393" spans="1:11">
      <c r="A393" s="18" t="s">
        <v>2466</v>
      </c>
      <c r="B393" s="3" t="str">
        <f>IFERROR(INDEX(Movimientos!$C$5:$C$2001,MATCH(A393&amp;"ENTRADA",Movimientos!$R$5:$R$2001,0)),"-")</f>
        <v>-</v>
      </c>
      <c r="C393" s="3" t="str">
        <f>IFERROR(INDEX(Movimientos!$D$5:$D$2001,MATCH(A393&amp;"ENTRADA",Movimientos!$R$5:$R$2001,0)),"-")</f>
        <v>-</v>
      </c>
      <c r="D393" s="3" t="str">
        <f>IFERROR(INDEX(Movimientos!$E$5:$E$2001,MATCH(A393&amp;"ENTRADA",Movimientos!$R$5:$R$2001,0)),"-")</f>
        <v>-</v>
      </c>
      <c r="E393" s="3" t="str">
        <f>IFERROR(INDEX(Movimientos!$F$5:$F$2001,MATCH(A393&amp;"ENTRADA",Movimientos!$R$5:$R$2001,0)),"-")</f>
        <v>-</v>
      </c>
      <c r="F393" s="3" t="str">
        <f>IFERROR(INDEX(Movimientos!$G$5:$G$2001,MATCH(A393&amp;"ENTRADA",Movimientos!$R$5:$R$2001,0)),"-")</f>
        <v>-</v>
      </c>
      <c r="G393" s="3" t="str">
        <f>IFERROR(INDEX(Movimientos!$L$5:$L$2001,MATCH(A393&amp;"ENTRADA",Movimientos!$R$5:$R$2001,0)),"-")</f>
        <v>-</v>
      </c>
      <c r="H393" s="19" t="str">
        <f>IFERROR(IF(INDEX(Movimientos!$M$5:$M$2001,MATCH(A393&amp;"ENTRADA",Movimientos!$R$5:$R$2001,0))=0,"S/D",INDEX(Movimientos!$M$5:$M$2001,MATCH(A393&amp;"ENTRADA",Movimientos!$R$5:$R$2001,0))),"S/D")</f>
        <v>S/D</v>
      </c>
      <c r="I393" s="16" t="str">
        <f t="shared" ca="1" si="12"/>
        <v>S/D</v>
      </c>
      <c r="J393" s="6">
        <f>IF(A393="","",SUMIFS(Movimientos!$K:$K,Movimientos!$H:$H,A393))</f>
        <v>0</v>
      </c>
      <c r="K393" s="14" t="str">
        <f t="shared" ca="1" si="13"/>
        <v>OK</v>
      </c>
    </row>
    <row r="394" spans="1:11">
      <c r="A394" s="18" t="s">
        <v>2467</v>
      </c>
      <c r="B394" s="3" t="str">
        <f>IFERROR(INDEX(Movimientos!$C$5:$C$2001,MATCH(A394&amp;"ENTRADA",Movimientos!$R$5:$R$2001,0)),"-")</f>
        <v>-</v>
      </c>
      <c r="C394" s="3" t="str">
        <f>IFERROR(INDEX(Movimientos!$D$5:$D$2001,MATCH(A394&amp;"ENTRADA",Movimientos!$R$5:$R$2001,0)),"-")</f>
        <v>-</v>
      </c>
      <c r="D394" s="3" t="str">
        <f>IFERROR(INDEX(Movimientos!$E$5:$E$2001,MATCH(A394&amp;"ENTRADA",Movimientos!$R$5:$R$2001,0)),"-")</f>
        <v>-</v>
      </c>
      <c r="E394" s="3" t="str">
        <f>IFERROR(INDEX(Movimientos!$F$5:$F$2001,MATCH(A394&amp;"ENTRADA",Movimientos!$R$5:$R$2001,0)),"-")</f>
        <v>-</v>
      </c>
      <c r="F394" s="3" t="str">
        <f>IFERROR(INDEX(Movimientos!$G$5:$G$2001,MATCH(A394&amp;"ENTRADA",Movimientos!$R$5:$R$2001,0)),"-")</f>
        <v>-</v>
      </c>
      <c r="G394" s="3" t="str">
        <f>IFERROR(INDEX(Movimientos!$L$5:$L$2001,MATCH(A394&amp;"ENTRADA",Movimientos!$R$5:$R$2001,0)),"-")</f>
        <v>-</v>
      </c>
      <c r="H394" s="19" t="str">
        <f>IFERROR(IF(INDEX(Movimientos!$M$5:$M$2001,MATCH(A394&amp;"ENTRADA",Movimientos!$R$5:$R$2001,0))=0,"S/D",INDEX(Movimientos!$M$5:$M$2001,MATCH(A394&amp;"ENTRADA",Movimientos!$R$5:$R$2001,0))),"S/D")</f>
        <v>S/D</v>
      </c>
      <c r="I394" s="16" t="str">
        <f t="shared" ca="1" si="12"/>
        <v>S/D</v>
      </c>
      <c r="J394" s="6">
        <f>IF(A394="","",SUMIFS(Movimientos!$K:$K,Movimientos!$H:$H,A394))</f>
        <v>0</v>
      </c>
      <c r="K394" s="14" t="str">
        <f t="shared" ca="1" si="13"/>
        <v>OK</v>
      </c>
    </row>
    <row r="395" spans="1:11">
      <c r="A395" s="18" t="s">
        <v>2468</v>
      </c>
      <c r="B395" s="3" t="str">
        <f>IFERROR(INDEX(Movimientos!$C$5:$C$2001,MATCH(A395&amp;"ENTRADA",Movimientos!$R$5:$R$2001,0)),"-")</f>
        <v>-</v>
      </c>
      <c r="C395" s="3" t="str">
        <f>IFERROR(INDEX(Movimientos!$D$5:$D$2001,MATCH(A395&amp;"ENTRADA",Movimientos!$R$5:$R$2001,0)),"-")</f>
        <v>-</v>
      </c>
      <c r="D395" s="3" t="str">
        <f>IFERROR(INDEX(Movimientos!$E$5:$E$2001,MATCH(A395&amp;"ENTRADA",Movimientos!$R$5:$R$2001,0)),"-")</f>
        <v>-</v>
      </c>
      <c r="E395" s="3" t="str">
        <f>IFERROR(INDEX(Movimientos!$F$5:$F$2001,MATCH(A395&amp;"ENTRADA",Movimientos!$R$5:$R$2001,0)),"-")</f>
        <v>-</v>
      </c>
      <c r="F395" s="3" t="str">
        <f>IFERROR(INDEX(Movimientos!$G$5:$G$2001,MATCH(A395&amp;"ENTRADA",Movimientos!$R$5:$R$2001,0)),"-")</f>
        <v>-</v>
      </c>
      <c r="G395" s="3" t="str">
        <f>IFERROR(INDEX(Movimientos!$L$5:$L$2001,MATCH(A395&amp;"ENTRADA",Movimientos!$R$5:$R$2001,0)),"-")</f>
        <v>-</v>
      </c>
      <c r="H395" s="19" t="str">
        <f>IFERROR(IF(INDEX(Movimientos!$M$5:$M$2001,MATCH(A395&amp;"ENTRADA",Movimientos!$R$5:$R$2001,0))=0,"S/D",INDEX(Movimientos!$M$5:$M$2001,MATCH(A395&amp;"ENTRADA",Movimientos!$R$5:$R$2001,0))),"S/D")</f>
        <v>S/D</v>
      </c>
      <c r="I395" s="16" t="str">
        <f t="shared" ref="I395:I458" ca="1" si="14">IF(OR(A395="",H395="S/D"),"S/D",H395-TODAY())</f>
        <v>S/D</v>
      </c>
      <c r="J395" s="6">
        <f>IF(A395="","",SUMIFS(Movimientos!$K:$K,Movimientos!$H:$H,A395))</f>
        <v>0</v>
      </c>
      <c r="K395" s="14" t="str">
        <f t="shared" ref="K395:K458" ca="1" si="15">IF(A395="","",IF(H395="S/D","OK",IF(H395&lt;TODAY(),"VENCIDO",IF(J395&lt;=0,"SIN STOCK",IF(I395&gt;=180,"OK","PRÓXIMO A VENCER")))))</f>
        <v>OK</v>
      </c>
    </row>
    <row r="396" spans="1:11">
      <c r="A396" s="18" t="s">
        <v>2469</v>
      </c>
      <c r="B396" s="3" t="str">
        <f>IFERROR(INDEX(Movimientos!$C$5:$C$2001,MATCH(A396&amp;"ENTRADA",Movimientos!$R$5:$R$2001,0)),"-")</f>
        <v>-</v>
      </c>
      <c r="C396" s="3" t="str">
        <f>IFERROR(INDEX(Movimientos!$D$5:$D$2001,MATCH(A396&amp;"ENTRADA",Movimientos!$R$5:$R$2001,0)),"-")</f>
        <v>-</v>
      </c>
      <c r="D396" s="3" t="str">
        <f>IFERROR(INDEX(Movimientos!$E$5:$E$2001,MATCH(A396&amp;"ENTRADA",Movimientos!$R$5:$R$2001,0)),"-")</f>
        <v>-</v>
      </c>
      <c r="E396" s="3" t="str">
        <f>IFERROR(INDEX(Movimientos!$F$5:$F$2001,MATCH(A396&amp;"ENTRADA",Movimientos!$R$5:$R$2001,0)),"-")</f>
        <v>-</v>
      </c>
      <c r="F396" s="3" t="str">
        <f>IFERROR(INDEX(Movimientos!$G$5:$G$2001,MATCH(A396&amp;"ENTRADA",Movimientos!$R$5:$R$2001,0)),"-")</f>
        <v>-</v>
      </c>
      <c r="G396" s="3" t="str">
        <f>IFERROR(INDEX(Movimientos!$L$5:$L$2001,MATCH(A396&amp;"ENTRADA",Movimientos!$R$5:$R$2001,0)),"-")</f>
        <v>-</v>
      </c>
      <c r="H396" s="19" t="str">
        <f>IFERROR(IF(INDEX(Movimientos!$M$5:$M$2001,MATCH(A396&amp;"ENTRADA",Movimientos!$R$5:$R$2001,0))=0,"S/D",INDEX(Movimientos!$M$5:$M$2001,MATCH(A396&amp;"ENTRADA",Movimientos!$R$5:$R$2001,0))),"S/D")</f>
        <v>S/D</v>
      </c>
      <c r="I396" s="16" t="str">
        <f t="shared" ca="1" si="14"/>
        <v>S/D</v>
      </c>
      <c r="J396" s="6">
        <f>IF(A396="","",SUMIFS(Movimientos!$K:$K,Movimientos!$H:$H,A396))</f>
        <v>0</v>
      </c>
      <c r="K396" s="14" t="str">
        <f t="shared" ca="1" si="15"/>
        <v>OK</v>
      </c>
    </row>
    <row r="397" spans="1:11">
      <c r="A397" s="18" t="s">
        <v>2470</v>
      </c>
      <c r="B397" s="3" t="str">
        <f>IFERROR(INDEX(Movimientos!$C$5:$C$2001,MATCH(A397&amp;"ENTRADA",Movimientos!$R$5:$R$2001,0)),"-")</f>
        <v>-</v>
      </c>
      <c r="C397" s="3" t="str">
        <f>IFERROR(INDEX(Movimientos!$D$5:$D$2001,MATCH(A397&amp;"ENTRADA",Movimientos!$R$5:$R$2001,0)),"-")</f>
        <v>-</v>
      </c>
      <c r="D397" s="3" t="str">
        <f>IFERROR(INDEX(Movimientos!$E$5:$E$2001,MATCH(A397&amp;"ENTRADA",Movimientos!$R$5:$R$2001,0)),"-")</f>
        <v>-</v>
      </c>
      <c r="E397" s="3" t="str">
        <f>IFERROR(INDEX(Movimientos!$F$5:$F$2001,MATCH(A397&amp;"ENTRADA",Movimientos!$R$5:$R$2001,0)),"-")</f>
        <v>-</v>
      </c>
      <c r="F397" s="3" t="str">
        <f>IFERROR(INDEX(Movimientos!$G$5:$G$2001,MATCH(A397&amp;"ENTRADA",Movimientos!$R$5:$R$2001,0)),"-")</f>
        <v>-</v>
      </c>
      <c r="G397" s="3" t="str">
        <f>IFERROR(INDEX(Movimientos!$L$5:$L$2001,MATCH(A397&amp;"ENTRADA",Movimientos!$R$5:$R$2001,0)),"-")</f>
        <v>-</v>
      </c>
      <c r="H397" s="19" t="str">
        <f>IFERROR(IF(INDEX(Movimientos!$M$5:$M$2001,MATCH(A397&amp;"ENTRADA",Movimientos!$R$5:$R$2001,0))=0,"S/D",INDEX(Movimientos!$M$5:$M$2001,MATCH(A397&amp;"ENTRADA",Movimientos!$R$5:$R$2001,0))),"S/D")</f>
        <v>S/D</v>
      </c>
      <c r="I397" s="16" t="str">
        <f t="shared" ca="1" si="14"/>
        <v>S/D</v>
      </c>
      <c r="J397" s="6">
        <f>IF(A397="","",SUMIFS(Movimientos!$K:$K,Movimientos!$H:$H,A397))</f>
        <v>0</v>
      </c>
      <c r="K397" s="14" t="str">
        <f t="shared" ca="1" si="15"/>
        <v>OK</v>
      </c>
    </row>
    <row r="398" spans="1:11">
      <c r="A398" s="18" t="s">
        <v>2471</v>
      </c>
      <c r="B398" s="3" t="str">
        <f>IFERROR(INDEX(Movimientos!$C$5:$C$2001,MATCH(A398&amp;"ENTRADA",Movimientos!$R$5:$R$2001,0)),"-")</f>
        <v>-</v>
      </c>
      <c r="C398" s="3" t="str">
        <f>IFERROR(INDEX(Movimientos!$D$5:$D$2001,MATCH(A398&amp;"ENTRADA",Movimientos!$R$5:$R$2001,0)),"-")</f>
        <v>-</v>
      </c>
      <c r="D398" s="3" t="str">
        <f>IFERROR(INDEX(Movimientos!$E$5:$E$2001,MATCH(A398&amp;"ENTRADA",Movimientos!$R$5:$R$2001,0)),"-")</f>
        <v>-</v>
      </c>
      <c r="E398" s="3" t="str">
        <f>IFERROR(INDEX(Movimientos!$F$5:$F$2001,MATCH(A398&amp;"ENTRADA",Movimientos!$R$5:$R$2001,0)),"-")</f>
        <v>-</v>
      </c>
      <c r="F398" s="3" t="str">
        <f>IFERROR(INDEX(Movimientos!$G$5:$G$2001,MATCH(A398&amp;"ENTRADA",Movimientos!$R$5:$R$2001,0)),"-")</f>
        <v>-</v>
      </c>
      <c r="G398" s="3" t="str">
        <f>IFERROR(INDEX(Movimientos!$L$5:$L$2001,MATCH(A398&amp;"ENTRADA",Movimientos!$R$5:$R$2001,0)),"-")</f>
        <v>-</v>
      </c>
      <c r="H398" s="19" t="str">
        <f>IFERROR(IF(INDEX(Movimientos!$M$5:$M$2001,MATCH(A398&amp;"ENTRADA",Movimientos!$R$5:$R$2001,0))=0,"S/D",INDEX(Movimientos!$M$5:$M$2001,MATCH(A398&amp;"ENTRADA",Movimientos!$R$5:$R$2001,0))),"S/D")</f>
        <v>S/D</v>
      </c>
      <c r="I398" s="16" t="str">
        <f t="shared" ca="1" si="14"/>
        <v>S/D</v>
      </c>
      <c r="J398" s="6">
        <f>IF(A398="","",SUMIFS(Movimientos!$K:$K,Movimientos!$H:$H,A398))</f>
        <v>0</v>
      </c>
      <c r="K398" s="14" t="str">
        <f t="shared" ca="1" si="15"/>
        <v>OK</v>
      </c>
    </row>
    <row r="399" spans="1:11">
      <c r="A399" s="18" t="s">
        <v>2472</v>
      </c>
      <c r="B399" s="3" t="str">
        <f>IFERROR(INDEX(Movimientos!$C$5:$C$2001,MATCH(A399&amp;"ENTRADA",Movimientos!$R$5:$R$2001,0)),"-")</f>
        <v>-</v>
      </c>
      <c r="C399" s="3" t="str">
        <f>IFERROR(INDEX(Movimientos!$D$5:$D$2001,MATCH(A399&amp;"ENTRADA",Movimientos!$R$5:$R$2001,0)),"-")</f>
        <v>-</v>
      </c>
      <c r="D399" s="3" t="str">
        <f>IFERROR(INDEX(Movimientos!$E$5:$E$2001,MATCH(A399&amp;"ENTRADA",Movimientos!$R$5:$R$2001,0)),"-")</f>
        <v>-</v>
      </c>
      <c r="E399" s="3" t="str">
        <f>IFERROR(INDEX(Movimientos!$F$5:$F$2001,MATCH(A399&amp;"ENTRADA",Movimientos!$R$5:$R$2001,0)),"-")</f>
        <v>-</v>
      </c>
      <c r="F399" s="3" t="str">
        <f>IFERROR(INDEX(Movimientos!$G$5:$G$2001,MATCH(A399&amp;"ENTRADA",Movimientos!$R$5:$R$2001,0)),"-")</f>
        <v>-</v>
      </c>
      <c r="G399" s="3" t="str">
        <f>IFERROR(INDEX(Movimientos!$L$5:$L$2001,MATCH(A399&amp;"ENTRADA",Movimientos!$R$5:$R$2001,0)),"-")</f>
        <v>-</v>
      </c>
      <c r="H399" s="19" t="str">
        <f>IFERROR(IF(INDEX(Movimientos!$M$5:$M$2001,MATCH(A399&amp;"ENTRADA",Movimientos!$R$5:$R$2001,0))=0,"S/D",INDEX(Movimientos!$M$5:$M$2001,MATCH(A399&amp;"ENTRADA",Movimientos!$R$5:$R$2001,0))),"S/D")</f>
        <v>S/D</v>
      </c>
      <c r="I399" s="16" t="str">
        <f t="shared" ca="1" si="14"/>
        <v>S/D</v>
      </c>
      <c r="J399" s="6">
        <f>IF(A399="","",SUMIFS(Movimientos!$K:$K,Movimientos!$H:$H,A399))</f>
        <v>0</v>
      </c>
      <c r="K399" s="14" t="str">
        <f t="shared" ca="1" si="15"/>
        <v>OK</v>
      </c>
    </row>
    <row r="400" spans="1:11">
      <c r="A400" s="18" t="s">
        <v>2473</v>
      </c>
      <c r="B400" s="3" t="str">
        <f>IFERROR(INDEX(Movimientos!$C$5:$C$2001,MATCH(A400&amp;"ENTRADA",Movimientos!$R$5:$R$2001,0)),"-")</f>
        <v>-</v>
      </c>
      <c r="C400" s="3" t="str">
        <f>IFERROR(INDEX(Movimientos!$D$5:$D$2001,MATCH(A400&amp;"ENTRADA",Movimientos!$R$5:$R$2001,0)),"-")</f>
        <v>-</v>
      </c>
      <c r="D400" s="3" t="str">
        <f>IFERROR(INDEX(Movimientos!$E$5:$E$2001,MATCH(A400&amp;"ENTRADA",Movimientos!$R$5:$R$2001,0)),"-")</f>
        <v>-</v>
      </c>
      <c r="E400" s="3" t="str">
        <f>IFERROR(INDEX(Movimientos!$F$5:$F$2001,MATCH(A400&amp;"ENTRADA",Movimientos!$R$5:$R$2001,0)),"-")</f>
        <v>-</v>
      </c>
      <c r="F400" s="3" t="str">
        <f>IFERROR(INDEX(Movimientos!$G$5:$G$2001,MATCH(A400&amp;"ENTRADA",Movimientos!$R$5:$R$2001,0)),"-")</f>
        <v>-</v>
      </c>
      <c r="G400" s="3" t="str">
        <f>IFERROR(INDEX(Movimientos!$L$5:$L$2001,MATCH(A400&amp;"ENTRADA",Movimientos!$R$5:$R$2001,0)),"-")</f>
        <v>-</v>
      </c>
      <c r="H400" s="19" t="str">
        <f>IFERROR(IF(INDEX(Movimientos!$M$5:$M$2001,MATCH(A400&amp;"ENTRADA",Movimientos!$R$5:$R$2001,0))=0,"S/D",INDEX(Movimientos!$M$5:$M$2001,MATCH(A400&amp;"ENTRADA",Movimientos!$R$5:$R$2001,0))),"S/D")</f>
        <v>S/D</v>
      </c>
      <c r="I400" s="16" t="str">
        <f t="shared" ca="1" si="14"/>
        <v>S/D</v>
      </c>
      <c r="J400" s="6">
        <f>IF(A400="","",SUMIFS(Movimientos!$K:$K,Movimientos!$H:$H,A400))</f>
        <v>0</v>
      </c>
      <c r="K400" s="14" t="str">
        <f t="shared" ca="1" si="15"/>
        <v>OK</v>
      </c>
    </row>
    <row r="401" spans="1:11">
      <c r="A401" s="18" t="s">
        <v>2474</v>
      </c>
      <c r="B401" s="3" t="str">
        <f>IFERROR(INDEX(Movimientos!$C$5:$C$2001,MATCH(A401&amp;"ENTRADA",Movimientos!$R$5:$R$2001,0)),"-")</f>
        <v>-</v>
      </c>
      <c r="C401" s="3" t="str">
        <f>IFERROR(INDEX(Movimientos!$D$5:$D$2001,MATCH(A401&amp;"ENTRADA",Movimientos!$R$5:$R$2001,0)),"-")</f>
        <v>-</v>
      </c>
      <c r="D401" s="3" t="str">
        <f>IFERROR(INDEX(Movimientos!$E$5:$E$2001,MATCH(A401&amp;"ENTRADA",Movimientos!$R$5:$R$2001,0)),"-")</f>
        <v>-</v>
      </c>
      <c r="E401" s="3" t="str">
        <f>IFERROR(INDEX(Movimientos!$F$5:$F$2001,MATCH(A401&amp;"ENTRADA",Movimientos!$R$5:$R$2001,0)),"-")</f>
        <v>-</v>
      </c>
      <c r="F401" s="3" t="str">
        <f>IFERROR(INDEX(Movimientos!$G$5:$G$2001,MATCH(A401&amp;"ENTRADA",Movimientos!$R$5:$R$2001,0)),"-")</f>
        <v>-</v>
      </c>
      <c r="G401" s="3" t="str">
        <f>IFERROR(INDEX(Movimientos!$L$5:$L$2001,MATCH(A401&amp;"ENTRADA",Movimientos!$R$5:$R$2001,0)),"-")</f>
        <v>-</v>
      </c>
      <c r="H401" s="19" t="str">
        <f>IFERROR(IF(INDEX(Movimientos!$M$5:$M$2001,MATCH(A401&amp;"ENTRADA",Movimientos!$R$5:$R$2001,0))=0,"S/D",INDEX(Movimientos!$M$5:$M$2001,MATCH(A401&amp;"ENTRADA",Movimientos!$R$5:$R$2001,0))),"S/D")</f>
        <v>S/D</v>
      </c>
      <c r="I401" s="16" t="str">
        <f t="shared" ca="1" si="14"/>
        <v>S/D</v>
      </c>
      <c r="J401" s="6">
        <f>IF(A401="","",SUMIFS(Movimientos!$K:$K,Movimientos!$H:$H,A401))</f>
        <v>0</v>
      </c>
      <c r="K401" s="14" t="str">
        <f t="shared" ca="1" si="15"/>
        <v>OK</v>
      </c>
    </row>
    <row r="402" spans="1:11">
      <c r="A402" s="18" t="s">
        <v>2475</v>
      </c>
      <c r="B402" s="3" t="str">
        <f>IFERROR(INDEX(Movimientos!$C$5:$C$2001,MATCH(A402&amp;"ENTRADA",Movimientos!$R$5:$R$2001,0)),"-")</f>
        <v>-</v>
      </c>
      <c r="C402" s="3" t="str">
        <f>IFERROR(INDEX(Movimientos!$D$5:$D$2001,MATCH(A402&amp;"ENTRADA",Movimientos!$R$5:$R$2001,0)),"-")</f>
        <v>-</v>
      </c>
      <c r="D402" s="3" t="str">
        <f>IFERROR(INDEX(Movimientos!$E$5:$E$2001,MATCH(A402&amp;"ENTRADA",Movimientos!$R$5:$R$2001,0)),"-")</f>
        <v>-</v>
      </c>
      <c r="E402" s="3" t="str">
        <f>IFERROR(INDEX(Movimientos!$F$5:$F$2001,MATCH(A402&amp;"ENTRADA",Movimientos!$R$5:$R$2001,0)),"-")</f>
        <v>-</v>
      </c>
      <c r="F402" s="3" t="str">
        <f>IFERROR(INDEX(Movimientos!$G$5:$G$2001,MATCH(A402&amp;"ENTRADA",Movimientos!$R$5:$R$2001,0)),"-")</f>
        <v>-</v>
      </c>
      <c r="G402" s="3" t="str">
        <f>IFERROR(INDEX(Movimientos!$L$5:$L$2001,MATCH(A402&amp;"ENTRADA",Movimientos!$R$5:$R$2001,0)),"-")</f>
        <v>-</v>
      </c>
      <c r="H402" s="19" t="str">
        <f>IFERROR(IF(INDEX(Movimientos!$M$5:$M$2001,MATCH(A402&amp;"ENTRADA",Movimientos!$R$5:$R$2001,0))=0,"S/D",INDEX(Movimientos!$M$5:$M$2001,MATCH(A402&amp;"ENTRADA",Movimientos!$R$5:$R$2001,0))),"S/D")</f>
        <v>S/D</v>
      </c>
      <c r="I402" s="16" t="str">
        <f t="shared" ca="1" si="14"/>
        <v>S/D</v>
      </c>
      <c r="J402" s="6">
        <f>IF(A402="","",SUMIFS(Movimientos!$K:$K,Movimientos!$H:$H,A402))</f>
        <v>0</v>
      </c>
      <c r="K402" s="14" t="str">
        <f t="shared" ca="1" si="15"/>
        <v>OK</v>
      </c>
    </row>
    <row r="403" spans="1:11">
      <c r="A403" s="18" t="s">
        <v>2476</v>
      </c>
      <c r="B403" s="3" t="str">
        <f>IFERROR(INDEX(Movimientos!$C$5:$C$2001,MATCH(A403&amp;"ENTRADA",Movimientos!$R$5:$R$2001,0)),"-")</f>
        <v>-</v>
      </c>
      <c r="C403" s="3" t="str">
        <f>IFERROR(INDEX(Movimientos!$D$5:$D$2001,MATCH(A403&amp;"ENTRADA",Movimientos!$R$5:$R$2001,0)),"-")</f>
        <v>-</v>
      </c>
      <c r="D403" s="3" t="str">
        <f>IFERROR(INDEX(Movimientos!$E$5:$E$2001,MATCH(A403&amp;"ENTRADA",Movimientos!$R$5:$R$2001,0)),"-")</f>
        <v>-</v>
      </c>
      <c r="E403" s="3" t="str">
        <f>IFERROR(INDEX(Movimientos!$F$5:$F$2001,MATCH(A403&amp;"ENTRADA",Movimientos!$R$5:$R$2001,0)),"-")</f>
        <v>-</v>
      </c>
      <c r="F403" s="3" t="str">
        <f>IFERROR(INDEX(Movimientos!$G$5:$G$2001,MATCH(A403&amp;"ENTRADA",Movimientos!$R$5:$R$2001,0)),"-")</f>
        <v>-</v>
      </c>
      <c r="G403" s="3" t="str">
        <f>IFERROR(INDEX(Movimientos!$L$5:$L$2001,MATCH(A403&amp;"ENTRADA",Movimientos!$R$5:$R$2001,0)),"-")</f>
        <v>-</v>
      </c>
      <c r="H403" s="19" t="str">
        <f>IFERROR(IF(INDEX(Movimientos!$M$5:$M$2001,MATCH(A403&amp;"ENTRADA",Movimientos!$R$5:$R$2001,0))=0,"S/D",INDEX(Movimientos!$M$5:$M$2001,MATCH(A403&amp;"ENTRADA",Movimientos!$R$5:$R$2001,0))),"S/D")</f>
        <v>S/D</v>
      </c>
      <c r="I403" s="16" t="str">
        <f t="shared" ca="1" si="14"/>
        <v>S/D</v>
      </c>
      <c r="J403" s="6">
        <f>IF(A403="","",SUMIFS(Movimientos!$K:$K,Movimientos!$H:$H,A403))</f>
        <v>0</v>
      </c>
      <c r="K403" s="14" t="str">
        <f t="shared" ca="1" si="15"/>
        <v>OK</v>
      </c>
    </row>
    <row r="404" spans="1:11">
      <c r="A404" s="18" t="s">
        <v>2477</v>
      </c>
      <c r="B404" s="3" t="str">
        <f>IFERROR(INDEX(Movimientos!$C$5:$C$2001,MATCH(A404&amp;"ENTRADA",Movimientos!$R$5:$R$2001,0)),"-")</f>
        <v>-</v>
      </c>
      <c r="C404" s="3" t="str">
        <f>IFERROR(INDEX(Movimientos!$D$5:$D$2001,MATCH(A404&amp;"ENTRADA",Movimientos!$R$5:$R$2001,0)),"-")</f>
        <v>-</v>
      </c>
      <c r="D404" s="3" t="str">
        <f>IFERROR(INDEX(Movimientos!$E$5:$E$2001,MATCH(A404&amp;"ENTRADA",Movimientos!$R$5:$R$2001,0)),"-")</f>
        <v>-</v>
      </c>
      <c r="E404" s="3" t="str">
        <f>IFERROR(INDEX(Movimientos!$F$5:$F$2001,MATCH(A404&amp;"ENTRADA",Movimientos!$R$5:$R$2001,0)),"-")</f>
        <v>-</v>
      </c>
      <c r="F404" s="3" t="str">
        <f>IFERROR(INDEX(Movimientos!$G$5:$G$2001,MATCH(A404&amp;"ENTRADA",Movimientos!$R$5:$R$2001,0)),"-")</f>
        <v>-</v>
      </c>
      <c r="G404" s="3" t="str">
        <f>IFERROR(INDEX(Movimientos!$L$5:$L$2001,MATCH(A404&amp;"ENTRADA",Movimientos!$R$5:$R$2001,0)),"-")</f>
        <v>-</v>
      </c>
      <c r="H404" s="19" t="str">
        <f>IFERROR(IF(INDEX(Movimientos!$M$5:$M$2001,MATCH(A404&amp;"ENTRADA",Movimientos!$R$5:$R$2001,0))=0,"S/D",INDEX(Movimientos!$M$5:$M$2001,MATCH(A404&amp;"ENTRADA",Movimientos!$R$5:$R$2001,0))),"S/D")</f>
        <v>S/D</v>
      </c>
      <c r="I404" s="16" t="str">
        <f t="shared" ca="1" si="14"/>
        <v>S/D</v>
      </c>
      <c r="J404" s="6">
        <f>IF(A404="","",SUMIFS(Movimientos!$K:$K,Movimientos!$H:$H,A404))</f>
        <v>0</v>
      </c>
      <c r="K404" s="14" t="str">
        <f t="shared" ca="1" si="15"/>
        <v>OK</v>
      </c>
    </row>
    <row r="405" spans="1:11">
      <c r="A405" s="18" t="s">
        <v>2478</v>
      </c>
      <c r="B405" s="3" t="str">
        <f>IFERROR(INDEX(Movimientos!$C$5:$C$2001,MATCH(A405&amp;"ENTRADA",Movimientos!$R$5:$R$2001,0)),"-")</f>
        <v>-</v>
      </c>
      <c r="C405" s="3" t="str">
        <f>IFERROR(INDEX(Movimientos!$D$5:$D$2001,MATCH(A405&amp;"ENTRADA",Movimientos!$R$5:$R$2001,0)),"-")</f>
        <v>-</v>
      </c>
      <c r="D405" s="3" t="str">
        <f>IFERROR(INDEX(Movimientos!$E$5:$E$2001,MATCH(A405&amp;"ENTRADA",Movimientos!$R$5:$R$2001,0)),"-")</f>
        <v>-</v>
      </c>
      <c r="E405" s="3" t="str">
        <f>IFERROR(INDEX(Movimientos!$F$5:$F$2001,MATCH(A405&amp;"ENTRADA",Movimientos!$R$5:$R$2001,0)),"-")</f>
        <v>-</v>
      </c>
      <c r="F405" s="3" t="str">
        <f>IFERROR(INDEX(Movimientos!$G$5:$G$2001,MATCH(A405&amp;"ENTRADA",Movimientos!$R$5:$R$2001,0)),"-")</f>
        <v>-</v>
      </c>
      <c r="G405" s="3" t="str">
        <f>IFERROR(INDEX(Movimientos!$L$5:$L$2001,MATCH(A405&amp;"ENTRADA",Movimientos!$R$5:$R$2001,0)),"-")</f>
        <v>-</v>
      </c>
      <c r="H405" s="19" t="str">
        <f>IFERROR(IF(INDEX(Movimientos!$M$5:$M$2001,MATCH(A405&amp;"ENTRADA",Movimientos!$R$5:$R$2001,0))=0,"S/D",INDEX(Movimientos!$M$5:$M$2001,MATCH(A405&amp;"ENTRADA",Movimientos!$R$5:$R$2001,0))),"S/D")</f>
        <v>S/D</v>
      </c>
      <c r="I405" s="16" t="str">
        <f t="shared" ca="1" si="14"/>
        <v>S/D</v>
      </c>
      <c r="J405" s="6">
        <f>IF(A405="","",SUMIFS(Movimientos!$K:$K,Movimientos!$H:$H,A405))</f>
        <v>0</v>
      </c>
      <c r="K405" s="14" t="str">
        <f t="shared" ca="1" si="15"/>
        <v>OK</v>
      </c>
    </row>
    <row r="406" spans="1:11">
      <c r="A406" s="18" t="s">
        <v>2479</v>
      </c>
      <c r="B406" s="3" t="str">
        <f>IFERROR(INDEX(Movimientos!$C$5:$C$2001,MATCH(A406&amp;"ENTRADA",Movimientos!$R$5:$R$2001,0)),"-")</f>
        <v>-</v>
      </c>
      <c r="C406" s="3" t="str">
        <f>IFERROR(INDEX(Movimientos!$D$5:$D$2001,MATCH(A406&amp;"ENTRADA",Movimientos!$R$5:$R$2001,0)),"-")</f>
        <v>-</v>
      </c>
      <c r="D406" s="3" t="str">
        <f>IFERROR(INDEX(Movimientos!$E$5:$E$2001,MATCH(A406&amp;"ENTRADA",Movimientos!$R$5:$R$2001,0)),"-")</f>
        <v>-</v>
      </c>
      <c r="E406" s="3" t="str">
        <f>IFERROR(INDEX(Movimientos!$F$5:$F$2001,MATCH(A406&amp;"ENTRADA",Movimientos!$R$5:$R$2001,0)),"-")</f>
        <v>-</v>
      </c>
      <c r="F406" s="3" t="str">
        <f>IFERROR(INDEX(Movimientos!$G$5:$G$2001,MATCH(A406&amp;"ENTRADA",Movimientos!$R$5:$R$2001,0)),"-")</f>
        <v>-</v>
      </c>
      <c r="G406" s="3" t="str">
        <f>IFERROR(INDEX(Movimientos!$L$5:$L$2001,MATCH(A406&amp;"ENTRADA",Movimientos!$R$5:$R$2001,0)),"-")</f>
        <v>-</v>
      </c>
      <c r="H406" s="19" t="str">
        <f>IFERROR(IF(INDEX(Movimientos!$M$5:$M$2001,MATCH(A406&amp;"ENTRADA",Movimientos!$R$5:$R$2001,0))=0,"S/D",INDEX(Movimientos!$M$5:$M$2001,MATCH(A406&amp;"ENTRADA",Movimientos!$R$5:$R$2001,0))),"S/D")</f>
        <v>S/D</v>
      </c>
      <c r="I406" s="16" t="str">
        <f t="shared" ca="1" si="14"/>
        <v>S/D</v>
      </c>
      <c r="J406" s="6">
        <f>IF(A406="","",SUMIFS(Movimientos!$K:$K,Movimientos!$H:$H,A406))</f>
        <v>0</v>
      </c>
      <c r="K406" s="14" t="str">
        <f t="shared" ca="1" si="15"/>
        <v>OK</v>
      </c>
    </row>
    <row r="407" spans="1:11">
      <c r="A407" s="18" t="s">
        <v>2480</v>
      </c>
      <c r="B407" s="3" t="str">
        <f>IFERROR(INDEX(Movimientos!$C$5:$C$2001,MATCH(A407&amp;"ENTRADA",Movimientos!$R$5:$R$2001,0)),"-")</f>
        <v>-</v>
      </c>
      <c r="C407" s="3" t="str">
        <f>IFERROR(INDEX(Movimientos!$D$5:$D$2001,MATCH(A407&amp;"ENTRADA",Movimientos!$R$5:$R$2001,0)),"-")</f>
        <v>-</v>
      </c>
      <c r="D407" s="3" t="str">
        <f>IFERROR(INDEX(Movimientos!$E$5:$E$2001,MATCH(A407&amp;"ENTRADA",Movimientos!$R$5:$R$2001,0)),"-")</f>
        <v>-</v>
      </c>
      <c r="E407" s="3" t="str">
        <f>IFERROR(INDEX(Movimientos!$F$5:$F$2001,MATCH(A407&amp;"ENTRADA",Movimientos!$R$5:$R$2001,0)),"-")</f>
        <v>-</v>
      </c>
      <c r="F407" s="3" t="str">
        <f>IFERROR(INDEX(Movimientos!$G$5:$G$2001,MATCH(A407&amp;"ENTRADA",Movimientos!$R$5:$R$2001,0)),"-")</f>
        <v>-</v>
      </c>
      <c r="G407" s="3" t="str">
        <f>IFERROR(INDEX(Movimientos!$L$5:$L$2001,MATCH(A407&amp;"ENTRADA",Movimientos!$R$5:$R$2001,0)),"-")</f>
        <v>-</v>
      </c>
      <c r="H407" s="19" t="str">
        <f>IFERROR(IF(INDEX(Movimientos!$M$5:$M$2001,MATCH(A407&amp;"ENTRADA",Movimientos!$R$5:$R$2001,0))=0,"S/D",INDEX(Movimientos!$M$5:$M$2001,MATCH(A407&amp;"ENTRADA",Movimientos!$R$5:$R$2001,0))),"S/D")</f>
        <v>S/D</v>
      </c>
      <c r="I407" s="16" t="str">
        <f t="shared" ca="1" si="14"/>
        <v>S/D</v>
      </c>
      <c r="J407" s="6">
        <f>IF(A407="","",SUMIFS(Movimientos!$K:$K,Movimientos!$H:$H,A407))</f>
        <v>0</v>
      </c>
      <c r="K407" s="14" t="str">
        <f t="shared" ca="1" si="15"/>
        <v>OK</v>
      </c>
    </row>
    <row r="408" spans="1:11">
      <c r="A408" s="18" t="s">
        <v>2481</v>
      </c>
      <c r="B408" s="3" t="str">
        <f>IFERROR(INDEX(Movimientos!$C$5:$C$2001,MATCH(A408&amp;"ENTRADA",Movimientos!$R$5:$R$2001,0)),"-")</f>
        <v>-</v>
      </c>
      <c r="C408" s="3" t="str">
        <f>IFERROR(INDEX(Movimientos!$D$5:$D$2001,MATCH(A408&amp;"ENTRADA",Movimientos!$R$5:$R$2001,0)),"-")</f>
        <v>-</v>
      </c>
      <c r="D408" s="3" t="str">
        <f>IFERROR(INDEX(Movimientos!$E$5:$E$2001,MATCH(A408&amp;"ENTRADA",Movimientos!$R$5:$R$2001,0)),"-")</f>
        <v>-</v>
      </c>
      <c r="E408" s="3" t="str">
        <f>IFERROR(INDEX(Movimientos!$F$5:$F$2001,MATCH(A408&amp;"ENTRADA",Movimientos!$R$5:$R$2001,0)),"-")</f>
        <v>-</v>
      </c>
      <c r="F408" s="3" t="str">
        <f>IFERROR(INDEX(Movimientos!$G$5:$G$2001,MATCH(A408&amp;"ENTRADA",Movimientos!$R$5:$R$2001,0)),"-")</f>
        <v>-</v>
      </c>
      <c r="G408" s="3" t="str">
        <f>IFERROR(INDEX(Movimientos!$L$5:$L$2001,MATCH(A408&amp;"ENTRADA",Movimientos!$R$5:$R$2001,0)),"-")</f>
        <v>-</v>
      </c>
      <c r="H408" s="19" t="str">
        <f>IFERROR(IF(INDEX(Movimientos!$M$5:$M$2001,MATCH(A408&amp;"ENTRADA",Movimientos!$R$5:$R$2001,0))=0,"S/D",INDEX(Movimientos!$M$5:$M$2001,MATCH(A408&amp;"ENTRADA",Movimientos!$R$5:$R$2001,0))),"S/D")</f>
        <v>S/D</v>
      </c>
      <c r="I408" s="16" t="str">
        <f t="shared" ca="1" si="14"/>
        <v>S/D</v>
      </c>
      <c r="J408" s="6">
        <f>IF(A408="","",SUMIFS(Movimientos!$K:$K,Movimientos!$H:$H,A408))</f>
        <v>0</v>
      </c>
      <c r="K408" s="14" t="str">
        <f t="shared" ca="1" si="15"/>
        <v>OK</v>
      </c>
    </row>
    <row r="409" spans="1:11">
      <c r="A409" s="18" t="s">
        <v>2482</v>
      </c>
      <c r="B409" s="3" t="str">
        <f>IFERROR(INDEX(Movimientos!$C$5:$C$2001,MATCH(A409&amp;"ENTRADA",Movimientos!$R$5:$R$2001,0)),"-")</f>
        <v>-</v>
      </c>
      <c r="C409" s="3" t="str">
        <f>IFERROR(INDEX(Movimientos!$D$5:$D$2001,MATCH(A409&amp;"ENTRADA",Movimientos!$R$5:$R$2001,0)),"-")</f>
        <v>-</v>
      </c>
      <c r="D409" s="3" t="str">
        <f>IFERROR(INDEX(Movimientos!$E$5:$E$2001,MATCH(A409&amp;"ENTRADA",Movimientos!$R$5:$R$2001,0)),"-")</f>
        <v>-</v>
      </c>
      <c r="E409" s="3" t="str">
        <f>IFERROR(INDEX(Movimientos!$F$5:$F$2001,MATCH(A409&amp;"ENTRADA",Movimientos!$R$5:$R$2001,0)),"-")</f>
        <v>-</v>
      </c>
      <c r="F409" s="3" t="str">
        <f>IFERROR(INDEX(Movimientos!$G$5:$G$2001,MATCH(A409&amp;"ENTRADA",Movimientos!$R$5:$R$2001,0)),"-")</f>
        <v>-</v>
      </c>
      <c r="G409" s="3" t="str">
        <f>IFERROR(INDEX(Movimientos!$L$5:$L$2001,MATCH(A409&amp;"ENTRADA",Movimientos!$R$5:$R$2001,0)),"-")</f>
        <v>-</v>
      </c>
      <c r="H409" s="19" t="str">
        <f>IFERROR(IF(INDEX(Movimientos!$M$5:$M$2001,MATCH(A409&amp;"ENTRADA",Movimientos!$R$5:$R$2001,0))=0,"S/D",INDEX(Movimientos!$M$5:$M$2001,MATCH(A409&amp;"ENTRADA",Movimientos!$R$5:$R$2001,0))),"S/D")</f>
        <v>S/D</v>
      </c>
      <c r="I409" s="16" t="str">
        <f t="shared" ca="1" si="14"/>
        <v>S/D</v>
      </c>
      <c r="J409" s="6">
        <f>IF(A409="","",SUMIFS(Movimientos!$K:$K,Movimientos!$H:$H,A409))</f>
        <v>0</v>
      </c>
      <c r="K409" s="14" t="str">
        <f t="shared" ca="1" si="15"/>
        <v>OK</v>
      </c>
    </row>
    <row r="410" spans="1:11">
      <c r="A410" s="18" t="s">
        <v>2483</v>
      </c>
      <c r="B410" s="3" t="str">
        <f>IFERROR(INDEX(Movimientos!$C$5:$C$2001,MATCH(A410&amp;"ENTRADA",Movimientos!$R$5:$R$2001,0)),"-")</f>
        <v>-</v>
      </c>
      <c r="C410" s="3" t="str">
        <f>IFERROR(INDEX(Movimientos!$D$5:$D$2001,MATCH(A410&amp;"ENTRADA",Movimientos!$R$5:$R$2001,0)),"-")</f>
        <v>-</v>
      </c>
      <c r="D410" s="3" t="str">
        <f>IFERROR(INDEX(Movimientos!$E$5:$E$2001,MATCH(A410&amp;"ENTRADA",Movimientos!$R$5:$R$2001,0)),"-")</f>
        <v>-</v>
      </c>
      <c r="E410" s="3" t="str">
        <f>IFERROR(INDEX(Movimientos!$F$5:$F$2001,MATCH(A410&amp;"ENTRADA",Movimientos!$R$5:$R$2001,0)),"-")</f>
        <v>-</v>
      </c>
      <c r="F410" s="3" t="str">
        <f>IFERROR(INDEX(Movimientos!$G$5:$G$2001,MATCH(A410&amp;"ENTRADA",Movimientos!$R$5:$R$2001,0)),"-")</f>
        <v>-</v>
      </c>
      <c r="G410" s="3" t="str">
        <f>IFERROR(INDEX(Movimientos!$L$5:$L$2001,MATCH(A410&amp;"ENTRADA",Movimientos!$R$5:$R$2001,0)),"-")</f>
        <v>-</v>
      </c>
      <c r="H410" s="19" t="str">
        <f>IFERROR(IF(INDEX(Movimientos!$M$5:$M$2001,MATCH(A410&amp;"ENTRADA",Movimientos!$R$5:$R$2001,0))=0,"S/D",INDEX(Movimientos!$M$5:$M$2001,MATCH(A410&amp;"ENTRADA",Movimientos!$R$5:$R$2001,0))),"S/D")</f>
        <v>S/D</v>
      </c>
      <c r="I410" s="16" t="str">
        <f t="shared" ca="1" si="14"/>
        <v>S/D</v>
      </c>
      <c r="J410" s="6">
        <f>IF(A410="","",SUMIFS(Movimientos!$K:$K,Movimientos!$H:$H,A410))</f>
        <v>0</v>
      </c>
      <c r="K410" s="14" t="str">
        <f t="shared" ca="1" si="15"/>
        <v>OK</v>
      </c>
    </row>
    <row r="411" spans="1:11">
      <c r="A411" s="18" t="s">
        <v>2484</v>
      </c>
      <c r="B411" s="3" t="str">
        <f>IFERROR(INDEX(Movimientos!$C$5:$C$2001,MATCH(A411&amp;"ENTRADA",Movimientos!$R$5:$R$2001,0)),"-")</f>
        <v>-</v>
      </c>
      <c r="C411" s="3" t="str">
        <f>IFERROR(INDEX(Movimientos!$D$5:$D$2001,MATCH(A411&amp;"ENTRADA",Movimientos!$R$5:$R$2001,0)),"-")</f>
        <v>-</v>
      </c>
      <c r="D411" s="3" t="str">
        <f>IFERROR(INDEX(Movimientos!$E$5:$E$2001,MATCH(A411&amp;"ENTRADA",Movimientos!$R$5:$R$2001,0)),"-")</f>
        <v>-</v>
      </c>
      <c r="E411" s="3" t="str">
        <f>IFERROR(INDEX(Movimientos!$F$5:$F$2001,MATCH(A411&amp;"ENTRADA",Movimientos!$R$5:$R$2001,0)),"-")</f>
        <v>-</v>
      </c>
      <c r="F411" s="3" t="str">
        <f>IFERROR(INDEX(Movimientos!$G$5:$G$2001,MATCH(A411&amp;"ENTRADA",Movimientos!$R$5:$R$2001,0)),"-")</f>
        <v>-</v>
      </c>
      <c r="G411" s="3" t="str">
        <f>IFERROR(INDEX(Movimientos!$L$5:$L$2001,MATCH(A411&amp;"ENTRADA",Movimientos!$R$5:$R$2001,0)),"-")</f>
        <v>-</v>
      </c>
      <c r="H411" s="19" t="str">
        <f>IFERROR(IF(INDEX(Movimientos!$M$5:$M$2001,MATCH(A411&amp;"ENTRADA",Movimientos!$R$5:$R$2001,0))=0,"S/D",INDEX(Movimientos!$M$5:$M$2001,MATCH(A411&amp;"ENTRADA",Movimientos!$R$5:$R$2001,0))),"S/D")</f>
        <v>S/D</v>
      </c>
      <c r="I411" s="16" t="str">
        <f t="shared" ca="1" si="14"/>
        <v>S/D</v>
      </c>
      <c r="J411" s="6">
        <f>IF(A411="","",SUMIFS(Movimientos!$K:$K,Movimientos!$H:$H,A411))</f>
        <v>0</v>
      </c>
      <c r="K411" s="14" t="str">
        <f t="shared" ca="1" si="15"/>
        <v>OK</v>
      </c>
    </row>
    <row r="412" spans="1:11">
      <c r="A412" s="18" t="s">
        <v>2485</v>
      </c>
      <c r="B412" s="3" t="str">
        <f>IFERROR(INDEX(Movimientos!$C$5:$C$2001,MATCH(A412&amp;"ENTRADA",Movimientos!$R$5:$R$2001,0)),"-")</f>
        <v>-</v>
      </c>
      <c r="C412" s="3" t="str">
        <f>IFERROR(INDEX(Movimientos!$D$5:$D$2001,MATCH(A412&amp;"ENTRADA",Movimientos!$R$5:$R$2001,0)),"-")</f>
        <v>-</v>
      </c>
      <c r="D412" s="3" t="str">
        <f>IFERROR(INDEX(Movimientos!$E$5:$E$2001,MATCH(A412&amp;"ENTRADA",Movimientos!$R$5:$R$2001,0)),"-")</f>
        <v>-</v>
      </c>
      <c r="E412" s="3" t="str">
        <f>IFERROR(INDEX(Movimientos!$F$5:$F$2001,MATCH(A412&amp;"ENTRADA",Movimientos!$R$5:$R$2001,0)),"-")</f>
        <v>-</v>
      </c>
      <c r="F412" s="3" t="str">
        <f>IFERROR(INDEX(Movimientos!$G$5:$G$2001,MATCH(A412&amp;"ENTRADA",Movimientos!$R$5:$R$2001,0)),"-")</f>
        <v>-</v>
      </c>
      <c r="G412" s="3" t="str">
        <f>IFERROR(INDEX(Movimientos!$L$5:$L$2001,MATCH(A412&amp;"ENTRADA",Movimientos!$R$5:$R$2001,0)),"-")</f>
        <v>-</v>
      </c>
      <c r="H412" s="19" t="str">
        <f>IFERROR(IF(INDEX(Movimientos!$M$5:$M$2001,MATCH(A412&amp;"ENTRADA",Movimientos!$R$5:$R$2001,0))=0,"S/D",INDEX(Movimientos!$M$5:$M$2001,MATCH(A412&amp;"ENTRADA",Movimientos!$R$5:$R$2001,0))),"S/D")</f>
        <v>S/D</v>
      </c>
      <c r="I412" s="16" t="str">
        <f t="shared" ca="1" si="14"/>
        <v>S/D</v>
      </c>
      <c r="J412" s="6">
        <f>IF(A412="","",SUMIFS(Movimientos!$K:$K,Movimientos!$H:$H,A412))</f>
        <v>0</v>
      </c>
      <c r="K412" s="14" t="str">
        <f t="shared" ca="1" si="15"/>
        <v>OK</v>
      </c>
    </row>
    <row r="413" spans="1:11">
      <c r="A413" s="18" t="s">
        <v>2486</v>
      </c>
      <c r="B413" s="3" t="str">
        <f>IFERROR(INDEX(Movimientos!$C$5:$C$2001,MATCH(A413&amp;"ENTRADA",Movimientos!$R$5:$R$2001,0)),"-")</f>
        <v>-</v>
      </c>
      <c r="C413" s="3" t="str">
        <f>IFERROR(INDEX(Movimientos!$D$5:$D$2001,MATCH(A413&amp;"ENTRADA",Movimientos!$R$5:$R$2001,0)),"-")</f>
        <v>-</v>
      </c>
      <c r="D413" s="3" t="str">
        <f>IFERROR(INDEX(Movimientos!$E$5:$E$2001,MATCH(A413&amp;"ENTRADA",Movimientos!$R$5:$R$2001,0)),"-")</f>
        <v>-</v>
      </c>
      <c r="E413" s="3" t="str">
        <f>IFERROR(INDEX(Movimientos!$F$5:$F$2001,MATCH(A413&amp;"ENTRADA",Movimientos!$R$5:$R$2001,0)),"-")</f>
        <v>-</v>
      </c>
      <c r="F413" s="3" t="str">
        <f>IFERROR(INDEX(Movimientos!$G$5:$G$2001,MATCH(A413&amp;"ENTRADA",Movimientos!$R$5:$R$2001,0)),"-")</f>
        <v>-</v>
      </c>
      <c r="G413" s="3" t="str">
        <f>IFERROR(INDEX(Movimientos!$L$5:$L$2001,MATCH(A413&amp;"ENTRADA",Movimientos!$R$5:$R$2001,0)),"-")</f>
        <v>-</v>
      </c>
      <c r="H413" s="19" t="str">
        <f>IFERROR(IF(INDEX(Movimientos!$M$5:$M$2001,MATCH(A413&amp;"ENTRADA",Movimientos!$R$5:$R$2001,0))=0,"S/D",INDEX(Movimientos!$M$5:$M$2001,MATCH(A413&amp;"ENTRADA",Movimientos!$R$5:$R$2001,0))),"S/D")</f>
        <v>S/D</v>
      </c>
      <c r="I413" s="16" t="str">
        <f t="shared" ca="1" si="14"/>
        <v>S/D</v>
      </c>
      <c r="J413" s="6">
        <f>IF(A413="","",SUMIFS(Movimientos!$K:$K,Movimientos!$H:$H,A413))</f>
        <v>0</v>
      </c>
      <c r="K413" s="14" t="str">
        <f t="shared" ca="1" si="15"/>
        <v>OK</v>
      </c>
    </row>
    <row r="414" spans="1:11">
      <c r="A414" s="18" t="s">
        <v>2487</v>
      </c>
      <c r="B414" s="3" t="str">
        <f>IFERROR(INDEX(Movimientos!$C$5:$C$2001,MATCH(A414&amp;"ENTRADA",Movimientos!$R$5:$R$2001,0)),"-")</f>
        <v>-</v>
      </c>
      <c r="C414" s="3" t="str">
        <f>IFERROR(INDEX(Movimientos!$D$5:$D$2001,MATCH(A414&amp;"ENTRADA",Movimientos!$R$5:$R$2001,0)),"-")</f>
        <v>-</v>
      </c>
      <c r="D414" s="3" t="str">
        <f>IFERROR(INDEX(Movimientos!$E$5:$E$2001,MATCH(A414&amp;"ENTRADA",Movimientos!$R$5:$R$2001,0)),"-")</f>
        <v>-</v>
      </c>
      <c r="E414" s="3" t="str">
        <f>IFERROR(INDEX(Movimientos!$F$5:$F$2001,MATCH(A414&amp;"ENTRADA",Movimientos!$R$5:$R$2001,0)),"-")</f>
        <v>-</v>
      </c>
      <c r="F414" s="3" t="str">
        <f>IFERROR(INDEX(Movimientos!$G$5:$G$2001,MATCH(A414&amp;"ENTRADA",Movimientos!$R$5:$R$2001,0)),"-")</f>
        <v>-</v>
      </c>
      <c r="G414" s="3" t="str">
        <f>IFERROR(INDEX(Movimientos!$L$5:$L$2001,MATCH(A414&amp;"ENTRADA",Movimientos!$R$5:$R$2001,0)),"-")</f>
        <v>-</v>
      </c>
      <c r="H414" s="19" t="str">
        <f>IFERROR(IF(INDEX(Movimientos!$M$5:$M$2001,MATCH(A414&amp;"ENTRADA",Movimientos!$R$5:$R$2001,0))=0,"S/D",INDEX(Movimientos!$M$5:$M$2001,MATCH(A414&amp;"ENTRADA",Movimientos!$R$5:$R$2001,0))),"S/D")</f>
        <v>S/D</v>
      </c>
      <c r="I414" s="16" t="str">
        <f t="shared" ca="1" si="14"/>
        <v>S/D</v>
      </c>
      <c r="J414" s="6">
        <f>IF(A414="","",SUMIFS(Movimientos!$K:$K,Movimientos!$H:$H,A414))</f>
        <v>0</v>
      </c>
      <c r="K414" s="14" t="str">
        <f t="shared" ca="1" si="15"/>
        <v>OK</v>
      </c>
    </row>
    <row r="415" spans="1:11">
      <c r="A415" s="18" t="s">
        <v>2488</v>
      </c>
      <c r="B415" s="3" t="str">
        <f>IFERROR(INDEX(Movimientos!$C$5:$C$2001,MATCH(A415&amp;"ENTRADA",Movimientos!$R$5:$R$2001,0)),"-")</f>
        <v>-</v>
      </c>
      <c r="C415" s="3" t="str">
        <f>IFERROR(INDEX(Movimientos!$D$5:$D$2001,MATCH(A415&amp;"ENTRADA",Movimientos!$R$5:$R$2001,0)),"-")</f>
        <v>-</v>
      </c>
      <c r="D415" s="3" t="str">
        <f>IFERROR(INDEX(Movimientos!$E$5:$E$2001,MATCH(A415&amp;"ENTRADA",Movimientos!$R$5:$R$2001,0)),"-")</f>
        <v>-</v>
      </c>
      <c r="E415" s="3" t="str">
        <f>IFERROR(INDEX(Movimientos!$F$5:$F$2001,MATCH(A415&amp;"ENTRADA",Movimientos!$R$5:$R$2001,0)),"-")</f>
        <v>-</v>
      </c>
      <c r="F415" s="3" t="str">
        <f>IFERROR(INDEX(Movimientos!$G$5:$G$2001,MATCH(A415&amp;"ENTRADA",Movimientos!$R$5:$R$2001,0)),"-")</f>
        <v>-</v>
      </c>
      <c r="G415" s="3" t="str">
        <f>IFERROR(INDEX(Movimientos!$L$5:$L$2001,MATCH(A415&amp;"ENTRADA",Movimientos!$R$5:$R$2001,0)),"-")</f>
        <v>-</v>
      </c>
      <c r="H415" s="19" t="str">
        <f>IFERROR(IF(INDEX(Movimientos!$M$5:$M$2001,MATCH(A415&amp;"ENTRADA",Movimientos!$R$5:$R$2001,0))=0,"S/D",INDEX(Movimientos!$M$5:$M$2001,MATCH(A415&amp;"ENTRADA",Movimientos!$R$5:$R$2001,0))),"S/D")</f>
        <v>S/D</v>
      </c>
      <c r="I415" s="16" t="str">
        <f t="shared" ca="1" si="14"/>
        <v>S/D</v>
      </c>
      <c r="J415" s="6">
        <f>IF(A415="","",SUMIFS(Movimientos!$K:$K,Movimientos!$H:$H,A415))</f>
        <v>0</v>
      </c>
      <c r="K415" s="14" t="str">
        <f t="shared" ca="1" si="15"/>
        <v>OK</v>
      </c>
    </row>
    <row r="416" spans="1:11">
      <c r="A416" s="18" t="s">
        <v>2489</v>
      </c>
      <c r="B416" s="3" t="str">
        <f>IFERROR(INDEX(Movimientos!$C$5:$C$2001,MATCH(A416&amp;"ENTRADA",Movimientos!$R$5:$R$2001,0)),"-")</f>
        <v>-</v>
      </c>
      <c r="C416" s="3" t="str">
        <f>IFERROR(INDEX(Movimientos!$D$5:$D$2001,MATCH(A416&amp;"ENTRADA",Movimientos!$R$5:$R$2001,0)),"-")</f>
        <v>-</v>
      </c>
      <c r="D416" s="3" t="str">
        <f>IFERROR(INDEX(Movimientos!$E$5:$E$2001,MATCH(A416&amp;"ENTRADA",Movimientos!$R$5:$R$2001,0)),"-")</f>
        <v>-</v>
      </c>
      <c r="E416" s="3" t="str">
        <f>IFERROR(INDEX(Movimientos!$F$5:$F$2001,MATCH(A416&amp;"ENTRADA",Movimientos!$R$5:$R$2001,0)),"-")</f>
        <v>-</v>
      </c>
      <c r="F416" s="3" t="str">
        <f>IFERROR(INDEX(Movimientos!$G$5:$G$2001,MATCH(A416&amp;"ENTRADA",Movimientos!$R$5:$R$2001,0)),"-")</f>
        <v>-</v>
      </c>
      <c r="G416" s="3" t="str">
        <f>IFERROR(INDEX(Movimientos!$L$5:$L$2001,MATCH(A416&amp;"ENTRADA",Movimientos!$R$5:$R$2001,0)),"-")</f>
        <v>-</v>
      </c>
      <c r="H416" s="19" t="str">
        <f>IFERROR(IF(INDEX(Movimientos!$M$5:$M$2001,MATCH(A416&amp;"ENTRADA",Movimientos!$R$5:$R$2001,0))=0,"S/D",INDEX(Movimientos!$M$5:$M$2001,MATCH(A416&amp;"ENTRADA",Movimientos!$R$5:$R$2001,0))),"S/D")</f>
        <v>S/D</v>
      </c>
      <c r="I416" s="16" t="str">
        <f t="shared" ca="1" si="14"/>
        <v>S/D</v>
      </c>
      <c r="J416" s="6">
        <f>IF(A416="","",SUMIFS(Movimientos!$K:$K,Movimientos!$H:$H,A416))</f>
        <v>0</v>
      </c>
      <c r="K416" s="14" t="str">
        <f t="shared" ca="1" si="15"/>
        <v>OK</v>
      </c>
    </row>
    <row r="417" spans="1:11">
      <c r="A417" s="18" t="s">
        <v>2490</v>
      </c>
      <c r="B417" s="3" t="str">
        <f>IFERROR(INDEX(Movimientos!$C$5:$C$2001,MATCH(A417&amp;"ENTRADA",Movimientos!$R$5:$R$2001,0)),"-")</f>
        <v>-</v>
      </c>
      <c r="C417" s="3" t="str">
        <f>IFERROR(INDEX(Movimientos!$D$5:$D$2001,MATCH(A417&amp;"ENTRADA",Movimientos!$R$5:$R$2001,0)),"-")</f>
        <v>-</v>
      </c>
      <c r="D417" s="3" t="str">
        <f>IFERROR(INDEX(Movimientos!$E$5:$E$2001,MATCH(A417&amp;"ENTRADA",Movimientos!$R$5:$R$2001,0)),"-")</f>
        <v>-</v>
      </c>
      <c r="E417" s="3" t="str">
        <f>IFERROR(INDEX(Movimientos!$F$5:$F$2001,MATCH(A417&amp;"ENTRADA",Movimientos!$R$5:$R$2001,0)),"-")</f>
        <v>-</v>
      </c>
      <c r="F417" s="3" t="str">
        <f>IFERROR(INDEX(Movimientos!$G$5:$G$2001,MATCH(A417&amp;"ENTRADA",Movimientos!$R$5:$R$2001,0)),"-")</f>
        <v>-</v>
      </c>
      <c r="G417" s="3" t="str">
        <f>IFERROR(INDEX(Movimientos!$L$5:$L$2001,MATCH(A417&amp;"ENTRADA",Movimientos!$R$5:$R$2001,0)),"-")</f>
        <v>-</v>
      </c>
      <c r="H417" s="19" t="str">
        <f>IFERROR(IF(INDEX(Movimientos!$M$5:$M$2001,MATCH(A417&amp;"ENTRADA",Movimientos!$R$5:$R$2001,0))=0,"S/D",INDEX(Movimientos!$M$5:$M$2001,MATCH(A417&amp;"ENTRADA",Movimientos!$R$5:$R$2001,0))),"S/D")</f>
        <v>S/D</v>
      </c>
      <c r="I417" s="16" t="str">
        <f t="shared" ca="1" si="14"/>
        <v>S/D</v>
      </c>
      <c r="J417" s="6">
        <f>IF(A417="","",SUMIFS(Movimientos!$K:$K,Movimientos!$H:$H,A417))</f>
        <v>0</v>
      </c>
      <c r="K417" s="14" t="str">
        <f t="shared" ca="1" si="15"/>
        <v>OK</v>
      </c>
    </row>
    <row r="418" spans="1:11">
      <c r="A418" s="18" t="s">
        <v>2491</v>
      </c>
      <c r="B418" s="3" t="str">
        <f>IFERROR(INDEX(Movimientos!$C$5:$C$2001,MATCH(A418&amp;"ENTRADA",Movimientos!$R$5:$R$2001,0)),"-")</f>
        <v>-</v>
      </c>
      <c r="C418" s="3" t="str">
        <f>IFERROR(INDEX(Movimientos!$D$5:$D$2001,MATCH(A418&amp;"ENTRADA",Movimientos!$R$5:$R$2001,0)),"-")</f>
        <v>-</v>
      </c>
      <c r="D418" s="3" t="str">
        <f>IFERROR(INDEX(Movimientos!$E$5:$E$2001,MATCH(A418&amp;"ENTRADA",Movimientos!$R$5:$R$2001,0)),"-")</f>
        <v>-</v>
      </c>
      <c r="E418" s="3" t="str">
        <f>IFERROR(INDEX(Movimientos!$F$5:$F$2001,MATCH(A418&amp;"ENTRADA",Movimientos!$R$5:$R$2001,0)),"-")</f>
        <v>-</v>
      </c>
      <c r="F418" s="3" t="str">
        <f>IFERROR(INDEX(Movimientos!$G$5:$G$2001,MATCH(A418&amp;"ENTRADA",Movimientos!$R$5:$R$2001,0)),"-")</f>
        <v>-</v>
      </c>
      <c r="G418" s="3" t="str">
        <f>IFERROR(INDEX(Movimientos!$L$5:$L$2001,MATCH(A418&amp;"ENTRADA",Movimientos!$R$5:$R$2001,0)),"-")</f>
        <v>-</v>
      </c>
      <c r="H418" s="19" t="str">
        <f>IFERROR(IF(INDEX(Movimientos!$M$5:$M$2001,MATCH(A418&amp;"ENTRADA",Movimientos!$R$5:$R$2001,0))=0,"S/D",INDEX(Movimientos!$M$5:$M$2001,MATCH(A418&amp;"ENTRADA",Movimientos!$R$5:$R$2001,0))),"S/D")</f>
        <v>S/D</v>
      </c>
      <c r="I418" s="16" t="str">
        <f t="shared" ca="1" si="14"/>
        <v>S/D</v>
      </c>
      <c r="J418" s="6">
        <f>IF(A418="","",SUMIFS(Movimientos!$K:$K,Movimientos!$H:$H,A418))</f>
        <v>0</v>
      </c>
      <c r="K418" s="14" t="str">
        <f t="shared" ca="1" si="15"/>
        <v>OK</v>
      </c>
    </row>
    <row r="419" spans="1:11">
      <c r="A419" s="18" t="s">
        <v>2492</v>
      </c>
      <c r="B419" s="3" t="str">
        <f>IFERROR(INDEX(Movimientos!$C$5:$C$2001,MATCH(A419&amp;"ENTRADA",Movimientos!$R$5:$R$2001,0)),"-")</f>
        <v>-</v>
      </c>
      <c r="C419" s="3" t="str">
        <f>IFERROR(INDEX(Movimientos!$D$5:$D$2001,MATCH(A419&amp;"ENTRADA",Movimientos!$R$5:$R$2001,0)),"-")</f>
        <v>-</v>
      </c>
      <c r="D419" s="3" t="str">
        <f>IFERROR(INDEX(Movimientos!$E$5:$E$2001,MATCH(A419&amp;"ENTRADA",Movimientos!$R$5:$R$2001,0)),"-")</f>
        <v>-</v>
      </c>
      <c r="E419" s="3" t="str">
        <f>IFERROR(INDEX(Movimientos!$F$5:$F$2001,MATCH(A419&amp;"ENTRADA",Movimientos!$R$5:$R$2001,0)),"-")</f>
        <v>-</v>
      </c>
      <c r="F419" s="3" t="str">
        <f>IFERROR(INDEX(Movimientos!$G$5:$G$2001,MATCH(A419&amp;"ENTRADA",Movimientos!$R$5:$R$2001,0)),"-")</f>
        <v>-</v>
      </c>
      <c r="G419" s="3" t="str">
        <f>IFERROR(INDEX(Movimientos!$L$5:$L$2001,MATCH(A419&amp;"ENTRADA",Movimientos!$R$5:$R$2001,0)),"-")</f>
        <v>-</v>
      </c>
      <c r="H419" s="19" t="str">
        <f>IFERROR(IF(INDEX(Movimientos!$M$5:$M$2001,MATCH(A419&amp;"ENTRADA",Movimientos!$R$5:$R$2001,0))=0,"S/D",INDEX(Movimientos!$M$5:$M$2001,MATCH(A419&amp;"ENTRADA",Movimientos!$R$5:$R$2001,0))),"S/D")</f>
        <v>S/D</v>
      </c>
      <c r="I419" s="16" t="str">
        <f t="shared" ca="1" si="14"/>
        <v>S/D</v>
      </c>
      <c r="J419" s="6">
        <f>IF(A419="","",SUMIFS(Movimientos!$K:$K,Movimientos!$H:$H,A419))</f>
        <v>0</v>
      </c>
      <c r="K419" s="14" t="str">
        <f t="shared" ca="1" si="15"/>
        <v>OK</v>
      </c>
    </row>
    <row r="420" spans="1:11">
      <c r="A420" s="18" t="s">
        <v>2493</v>
      </c>
      <c r="B420" s="3" t="str">
        <f>IFERROR(INDEX(Movimientos!$C$5:$C$2001,MATCH(A420&amp;"ENTRADA",Movimientos!$R$5:$R$2001,0)),"-")</f>
        <v>-</v>
      </c>
      <c r="C420" s="3" t="str">
        <f>IFERROR(INDEX(Movimientos!$D$5:$D$2001,MATCH(A420&amp;"ENTRADA",Movimientos!$R$5:$R$2001,0)),"-")</f>
        <v>-</v>
      </c>
      <c r="D420" s="3" t="str">
        <f>IFERROR(INDEX(Movimientos!$E$5:$E$2001,MATCH(A420&amp;"ENTRADA",Movimientos!$R$5:$R$2001,0)),"-")</f>
        <v>-</v>
      </c>
      <c r="E420" s="3" t="str">
        <f>IFERROR(INDEX(Movimientos!$F$5:$F$2001,MATCH(A420&amp;"ENTRADA",Movimientos!$R$5:$R$2001,0)),"-")</f>
        <v>-</v>
      </c>
      <c r="F420" s="3" t="str">
        <f>IFERROR(INDEX(Movimientos!$G$5:$G$2001,MATCH(A420&amp;"ENTRADA",Movimientos!$R$5:$R$2001,0)),"-")</f>
        <v>-</v>
      </c>
      <c r="G420" s="3" t="str">
        <f>IFERROR(INDEX(Movimientos!$L$5:$L$2001,MATCH(A420&amp;"ENTRADA",Movimientos!$R$5:$R$2001,0)),"-")</f>
        <v>-</v>
      </c>
      <c r="H420" s="19" t="str">
        <f>IFERROR(IF(INDEX(Movimientos!$M$5:$M$2001,MATCH(A420&amp;"ENTRADA",Movimientos!$R$5:$R$2001,0))=0,"S/D",INDEX(Movimientos!$M$5:$M$2001,MATCH(A420&amp;"ENTRADA",Movimientos!$R$5:$R$2001,0))),"S/D")</f>
        <v>S/D</v>
      </c>
      <c r="I420" s="16" t="str">
        <f t="shared" ca="1" si="14"/>
        <v>S/D</v>
      </c>
      <c r="J420" s="6">
        <f>IF(A420="","",SUMIFS(Movimientos!$K:$K,Movimientos!$H:$H,A420))</f>
        <v>0</v>
      </c>
      <c r="K420" s="14" t="str">
        <f t="shared" ca="1" si="15"/>
        <v>OK</v>
      </c>
    </row>
    <row r="421" spans="1:11">
      <c r="A421" s="18" t="s">
        <v>2494</v>
      </c>
      <c r="B421" s="3" t="str">
        <f>IFERROR(INDEX(Movimientos!$C$5:$C$2001,MATCH(A421&amp;"ENTRADA",Movimientos!$R$5:$R$2001,0)),"-")</f>
        <v>-</v>
      </c>
      <c r="C421" s="3" t="str">
        <f>IFERROR(INDEX(Movimientos!$D$5:$D$2001,MATCH(A421&amp;"ENTRADA",Movimientos!$R$5:$R$2001,0)),"-")</f>
        <v>-</v>
      </c>
      <c r="D421" s="3" t="str">
        <f>IFERROR(INDEX(Movimientos!$E$5:$E$2001,MATCH(A421&amp;"ENTRADA",Movimientos!$R$5:$R$2001,0)),"-")</f>
        <v>-</v>
      </c>
      <c r="E421" s="3" t="str">
        <f>IFERROR(INDEX(Movimientos!$F$5:$F$2001,MATCH(A421&amp;"ENTRADA",Movimientos!$R$5:$R$2001,0)),"-")</f>
        <v>-</v>
      </c>
      <c r="F421" s="3" t="str">
        <f>IFERROR(INDEX(Movimientos!$G$5:$G$2001,MATCH(A421&amp;"ENTRADA",Movimientos!$R$5:$R$2001,0)),"-")</f>
        <v>-</v>
      </c>
      <c r="G421" s="3" t="str">
        <f>IFERROR(INDEX(Movimientos!$L$5:$L$2001,MATCH(A421&amp;"ENTRADA",Movimientos!$R$5:$R$2001,0)),"-")</f>
        <v>-</v>
      </c>
      <c r="H421" s="19" t="str">
        <f>IFERROR(IF(INDEX(Movimientos!$M$5:$M$2001,MATCH(A421&amp;"ENTRADA",Movimientos!$R$5:$R$2001,0))=0,"S/D",INDEX(Movimientos!$M$5:$M$2001,MATCH(A421&amp;"ENTRADA",Movimientos!$R$5:$R$2001,0))),"S/D")</f>
        <v>S/D</v>
      </c>
      <c r="I421" s="16" t="str">
        <f t="shared" ca="1" si="14"/>
        <v>S/D</v>
      </c>
      <c r="J421" s="6">
        <f>IF(A421="","",SUMIFS(Movimientos!$K:$K,Movimientos!$H:$H,A421))</f>
        <v>0</v>
      </c>
      <c r="K421" s="14" t="str">
        <f t="shared" ca="1" si="15"/>
        <v>OK</v>
      </c>
    </row>
    <row r="422" spans="1:11">
      <c r="A422" s="18" t="s">
        <v>2495</v>
      </c>
      <c r="B422" s="3" t="str">
        <f>IFERROR(INDEX(Movimientos!$C$5:$C$2001,MATCH(A422&amp;"ENTRADA",Movimientos!$R$5:$R$2001,0)),"-")</f>
        <v>-</v>
      </c>
      <c r="C422" s="3" t="str">
        <f>IFERROR(INDEX(Movimientos!$D$5:$D$2001,MATCH(A422&amp;"ENTRADA",Movimientos!$R$5:$R$2001,0)),"-")</f>
        <v>-</v>
      </c>
      <c r="D422" s="3" t="str">
        <f>IFERROR(INDEX(Movimientos!$E$5:$E$2001,MATCH(A422&amp;"ENTRADA",Movimientos!$R$5:$R$2001,0)),"-")</f>
        <v>-</v>
      </c>
      <c r="E422" s="3" t="str">
        <f>IFERROR(INDEX(Movimientos!$F$5:$F$2001,MATCH(A422&amp;"ENTRADA",Movimientos!$R$5:$R$2001,0)),"-")</f>
        <v>-</v>
      </c>
      <c r="F422" s="3" t="str">
        <f>IFERROR(INDEX(Movimientos!$G$5:$G$2001,MATCH(A422&amp;"ENTRADA",Movimientos!$R$5:$R$2001,0)),"-")</f>
        <v>-</v>
      </c>
      <c r="G422" s="3" t="str">
        <f>IFERROR(INDEX(Movimientos!$L$5:$L$2001,MATCH(A422&amp;"ENTRADA",Movimientos!$R$5:$R$2001,0)),"-")</f>
        <v>-</v>
      </c>
      <c r="H422" s="19" t="str">
        <f>IFERROR(IF(INDEX(Movimientos!$M$5:$M$2001,MATCH(A422&amp;"ENTRADA",Movimientos!$R$5:$R$2001,0))=0,"S/D",INDEX(Movimientos!$M$5:$M$2001,MATCH(A422&amp;"ENTRADA",Movimientos!$R$5:$R$2001,0))),"S/D")</f>
        <v>S/D</v>
      </c>
      <c r="I422" s="16" t="str">
        <f t="shared" ca="1" si="14"/>
        <v>S/D</v>
      </c>
      <c r="J422" s="6">
        <f>IF(A422="","",SUMIFS(Movimientos!$K:$K,Movimientos!$H:$H,A422))</f>
        <v>0</v>
      </c>
      <c r="K422" s="14" t="str">
        <f t="shared" ca="1" si="15"/>
        <v>OK</v>
      </c>
    </row>
    <row r="423" spans="1:11">
      <c r="A423" s="18" t="s">
        <v>2496</v>
      </c>
      <c r="B423" s="3" t="str">
        <f>IFERROR(INDEX(Movimientos!$C$5:$C$2001,MATCH(A423&amp;"ENTRADA",Movimientos!$R$5:$R$2001,0)),"-")</f>
        <v>-</v>
      </c>
      <c r="C423" s="3" t="str">
        <f>IFERROR(INDEX(Movimientos!$D$5:$D$2001,MATCH(A423&amp;"ENTRADA",Movimientos!$R$5:$R$2001,0)),"-")</f>
        <v>-</v>
      </c>
      <c r="D423" s="3" t="str">
        <f>IFERROR(INDEX(Movimientos!$E$5:$E$2001,MATCH(A423&amp;"ENTRADA",Movimientos!$R$5:$R$2001,0)),"-")</f>
        <v>-</v>
      </c>
      <c r="E423" s="3" t="str">
        <f>IFERROR(INDEX(Movimientos!$F$5:$F$2001,MATCH(A423&amp;"ENTRADA",Movimientos!$R$5:$R$2001,0)),"-")</f>
        <v>-</v>
      </c>
      <c r="F423" s="3" t="str">
        <f>IFERROR(INDEX(Movimientos!$G$5:$G$2001,MATCH(A423&amp;"ENTRADA",Movimientos!$R$5:$R$2001,0)),"-")</f>
        <v>-</v>
      </c>
      <c r="G423" s="3" t="str">
        <f>IFERROR(INDEX(Movimientos!$L$5:$L$2001,MATCH(A423&amp;"ENTRADA",Movimientos!$R$5:$R$2001,0)),"-")</f>
        <v>-</v>
      </c>
      <c r="H423" s="19" t="str">
        <f>IFERROR(IF(INDEX(Movimientos!$M$5:$M$2001,MATCH(A423&amp;"ENTRADA",Movimientos!$R$5:$R$2001,0))=0,"S/D",INDEX(Movimientos!$M$5:$M$2001,MATCH(A423&amp;"ENTRADA",Movimientos!$R$5:$R$2001,0))),"S/D")</f>
        <v>S/D</v>
      </c>
      <c r="I423" s="16" t="str">
        <f t="shared" ca="1" si="14"/>
        <v>S/D</v>
      </c>
      <c r="J423" s="6">
        <f>IF(A423="","",SUMIFS(Movimientos!$K:$K,Movimientos!$H:$H,A423))</f>
        <v>0</v>
      </c>
      <c r="K423" s="14" t="str">
        <f t="shared" ca="1" si="15"/>
        <v>OK</v>
      </c>
    </row>
    <row r="424" spans="1:11">
      <c r="A424" s="18" t="s">
        <v>2497</v>
      </c>
      <c r="B424" s="3" t="str">
        <f>IFERROR(INDEX(Movimientos!$C$5:$C$2001,MATCH(A424&amp;"ENTRADA",Movimientos!$R$5:$R$2001,0)),"-")</f>
        <v>-</v>
      </c>
      <c r="C424" s="3" t="str">
        <f>IFERROR(INDEX(Movimientos!$D$5:$D$2001,MATCH(A424&amp;"ENTRADA",Movimientos!$R$5:$R$2001,0)),"-")</f>
        <v>-</v>
      </c>
      <c r="D424" s="3" t="str">
        <f>IFERROR(INDEX(Movimientos!$E$5:$E$2001,MATCH(A424&amp;"ENTRADA",Movimientos!$R$5:$R$2001,0)),"-")</f>
        <v>-</v>
      </c>
      <c r="E424" s="3" t="str">
        <f>IFERROR(INDEX(Movimientos!$F$5:$F$2001,MATCH(A424&amp;"ENTRADA",Movimientos!$R$5:$R$2001,0)),"-")</f>
        <v>-</v>
      </c>
      <c r="F424" s="3" t="str">
        <f>IFERROR(INDEX(Movimientos!$G$5:$G$2001,MATCH(A424&amp;"ENTRADA",Movimientos!$R$5:$R$2001,0)),"-")</f>
        <v>-</v>
      </c>
      <c r="G424" s="3" t="str">
        <f>IFERROR(INDEX(Movimientos!$L$5:$L$2001,MATCH(A424&amp;"ENTRADA",Movimientos!$R$5:$R$2001,0)),"-")</f>
        <v>-</v>
      </c>
      <c r="H424" s="19" t="str">
        <f>IFERROR(IF(INDEX(Movimientos!$M$5:$M$2001,MATCH(A424&amp;"ENTRADA",Movimientos!$R$5:$R$2001,0))=0,"S/D",INDEX(Movimientos!$M$5:$M$2001,MATCH(A424&amp;"ENTRADA",Movimientos!$R$5:$R$2001,0))),"S/D")</f>
        <v>S/D</v>
      </c>
      <c r="I424" s="16" t="str">
        <f t="shared" ca="1" si="14"/>
        <v>S/D</v>
      </c>
      <c r="J424" s="6">
        <f>IF(A424="","",SUMIFS(Movimientos!$K:$K,Movimientos!$H:$H,A424))</f>
        <v>0</v>
      </c>
      <c r="K424" s="14" t="str">
        <f t="shared" ca="1" si="15"/>
        <v>OK</v>
      </c>
    </row>
    <row r="425" spans="1:11">
      <c r="A425" s="18" t="s">
        <v>2498</v>
      </c>
      <c r="B425" s="3" t="str">
        <f>IFERROR(INDEX(Movimientos!$C$5:$C$2001,MATCH(A425&amp;"ENTRADA",Movimientos!$R$5:$R$2001,0)),"-")</f>
        <v>-</v>
      </c>
      <c r="C425" s="3" t="str">
        <f>IFERROR(INDEX(Movimientos!$D$5:$D$2001,MATCH(A425&amp;"ENTRADA",Movimientos!$R$5:$R$2001,0)),"-")</f>
        <v>-</v>
      </c>
      <c r="D425" s="3" t="str">
        <f>IFERROR(INDEX(Movimientos!$E$5:$E$2001,MATCH(A425&amp;"ENTRADA",Movimientos!$R$5:$R$2001,0)),"-")</f>
        <v>-</v>
      </c>
      <c r="E425" s="3" t="str">
        <f>IFERROR(INDEX(Movimientos!$F$5:$F$2001,MATCH(A425&amp;"ENTRADA",Movimientos!$R$5:$R$2001,0)),"-")</f>
        <v>-</v>
      </c>
      <c r="F425" s="3" t="str">
        <f>IFERROR(INDEX(Movimientos!$G$5:$G$2001,MATCH(A425&amp;"ENTRADA",Movimientos!$R$5:$R$2001,0)),"-")</f>
        <v>-</v>
      </c>
      <c r="G425" s="3" t="str">
        <f>IFERROR(INDEX(Movimientos!$L$5:$L$2001,MATCH(A425&amp;"ENTRADA",Movimientos!$R$5:$R$2001,0)),"-")</f>
        <v>-</v>
      </c>
      <c r="H425" s="19" t="str">
        <f>IFERROR(IF(INDEX(Movimientos!$M$5:$M$2001,MATCH(A425&amp;"ENTRADA",Movimientos!$R$5:$R$2001,0))=0,"S/D",INDEX(Movimientos!$M$5:$M$2001,MATCH(A425&amp;"ENTRADA",Movimientos!$R$5:$R$2001,0))),"S/D")</f>
        <v>S/D</v>
      </c>
      <c r="I425" s="16" t="str">
        <f t="shared" ca="1" si="14"/>
        <v>S/D</v>
      </c>
      <c r="J425" s="6">
        <f>IF(A425="","",SUMIFS(Movimientos!$K:$K,Movimientos!$H:$H,A425))</f>
        <v>0</v>
      </c>
      <c r="K425" s="14" t="str">
        <f t="shared" ca="1" si="15"/>
        <v>OK</v>
      </c>
    </row>
    <row r="426" spans="1:11">
      <c r="A426" s="18" t="s">
        <v>2499</v>
      </c>
      <c r="B426" s="3" t="str">
        <f>IFERROR(INDEX(Movimientos!$C$5:$C$2001,MATCH(A426&amp;"ENTRADA",Movimientos!$R$5:$R$2001,0)),"-")</f>
        <v>-</v>
      </c>
      <c r="C426" s="3" t="str">
        <f>IFERROR(INDEX(Movimientos!$D$5:$D$2001,MATCH(A426&amp;"ENTRADA",Movimientos!$R$5:$R$2001,0)),"-")</f>
        <v>-</v>
      </c>
      <c r="D426" s="3" t="str">
        <f>IFERROR(INDEX(Movimientos!$E$5:$E$2001,MATCH(A426&amp;"ENTRADA",Movimientos!$R$5:$R$2001,0)),"-")</f>
        <v>-</v>
      </c>
      <c r="E426" s="3" t="str">
        <f>IFERROR(INDEX(Movimientos!$F$5:$F$2001,MATCH(A426&amp;"ENTRADA",Movimientos!$R$5:$R$2001,0)),"-")</f>
        <v>-</v>
      </c>
      <c r="F426" s="3" t="str">
        <f>IFERROR(INDEX(Movimientos!$G$5:$G$2001,MATCH(A426&amp;"ENTRADA",Movimientos!$R$5:$R$2001,0)),"-")</f>
        <v>-</v>
      </c>
      <c r="G426" s="3" t="str">
        <f>IFERROR(INDEX(Movimientos!$L$5:$L$2001,MATCH(A426&amp;"ENTRADA",Movimientos!$R$5:$R$2001,0)),"-")</f>
        <v>-</v>
      </c>
      <c r="H426" s="19" t="str">
        <f>IFERROR(IF(INDEX(Movimientos!$M$5:$M$2001,MATCH(A426&amp;"ENTRADA",Movimientos!$R$5:$R$2001,0))=0,"S/D",INDEX(Movimientos!$M$5:$M$2001,MATCH(A426&amp;"ENTRADA",Movimientos!$R$5:$R$2001,0))),"S/D")</f>
        <v>S/D</v>
      </c>
      <c r="I426" s="16" t="str">
        <f t="shared" ca="1" si="14"/>
        <v>S/D</v>
      </c>
      <c r="J426" s="6">
        <f>IF(A426="","",SUMIFS(Movimientos!$K:$K,Movimientos!$H:$H,A426))</f>
        <v>0</v>
      </c>
      <c r="K426" s="14" t="str">
        <f t="shared" ca="1" si="15"/>
        <v>OK</v>
      </c>
    </row>
    <row r="427" spans="1:11">
      <c r="A427" s="18" t="s">
        <v>2500</v>
      </c>
      <c r="B427" s="3" t="str">
        <f>IFERROR(INDEX(Movimientos!$C$5:$C$2001,MATCH(A427&amp;"ENTRADA",Movimientos!$R$5:$R$2001,0)),"-")</f>
        <v>-</v>
      </c>
      <c r="C427" s="3" t="str">
        <f>IFERROR(INDEX(Movimientos!$D$5:$D$2001,MATCH(A427&amp;"ENTRADA",Movimientos!$R$5:$R$2001,0)),"-")</f>
        <v>-</v>
      </c>
      <c r="D427" s="3" t="str">
        <f>IFERROR(INDEX(Movimientos!$E$5:$E$2001,MATCH(A427&amp;"ENTRADA",Movimientos!$R$5:$R$2001,0)),"-")</f>
        <v>-</v>
      </c>
      <c r="E427" s="3" t="str">
        <f>IFERROR(INDEX(Movimientos!$F$5:$F$2001,MATCH(A427&amp;"ENTRADA",Movimientos!$R$5:$R$2001,0)),"-")</f>
        <v>-</v>
      </c>
      <c r="F427" s="3" t="str">
        <f>IFERROR(INDEX(Movimientos!$G$5:$G$2001,MATCH(A427&amp;"ENTRADA",Movimientos!$R$5:$R$2001,0)),"-")</f>
        <v>-</v>
      </c>
      <c r="G427" s="3" t="str">
        <f>IFERROR(INDEX(Movimientos!$L$5:$L$2001,MATCH(A427&amp;"ENTRADA",Movimientos!$R$5:$R$2001,0)),"-")</f>
        <v>-</v>
      </c>
      <c r="H427" s="19" t="str">
        <f>IFERROR(IF(INDEX(Movimientos!$M$5:$M$2001,MATCH(A427&amp;"ENTRADA",Movimientos!$R$5:$R$2001,0))=0,"S/D",INDEX(Movimientos!$M$5:$M$2001,MATCH(A427&amp;"ENTRADA",Movimientos!$R$5:$R$2001,0))),"S/D")</f>
        <v>S/D</v>
      </c>
      <c r="I427" s="16" t="str">
        <f t="shared" ca="1" si="14"/>
        <v>S/D</v>
      </c>
      <c r="J427" s="6">
        <f>IF(A427="","",SUMIFS(Movimientos!$K:$K,Movimientos!$H:$H,A427))</f>
        <v>0</v>
      </c>
      <c r="K427" s="14" t="str">
        <f t="shared" ca="1" si="15"/>
        <v>OK</v>
      </c>
    </row>
    <row r="428" spans="1:11">
      <c r="A428" s="18" t="s">
        <v>2501</v>
      </c>
      <c r="B428" s="3" t="str">
        <f>IFERROR(INDEX(Movimientos!$C$5:$C$2001,MATCH(A428&amp;"ENTRADA",Movimientos!$R$5:$R$2001,0)),"-")</f>
        <v>-</v>
      </c>
      <c r="C428" s="3" t="str">
        <f>IFERROR(INDEX(Movimientos!$D$5:$D$2001,MATCH(A428&amp;"ENTRADA",Movimientos!$R$5:$R$2001,0)),"-")</f>
        <v>-</v>
      </c>
      <c r="D428" s="3" t="str">
        <f>IFERROR(INDEX(Movimientos!$E$5:$E$2001,MATCH(A428&amp;"ENTRADA",Movimientos!$R$5:$R$2001,0)),"-")</f>
        <v>-</v>
      </c>
      <c r="E428" s="3" t="str">
        <f>IFERROR(INDEX(Movimientos!$F$5:$F$2001,MATCH(A428&amp;"ENTRADA",Movimientos!$R$5:$R$2001,0)),"-")</f>
        <v>-</v>
      </c>
      <c r="F428" s="3" t="str">
        <f>IFERROR(INDEX(Movimientos!$G$5:$G$2001,MATCH(A428&amp;"ENTRADA",Movimientos!$R$5:$R$2001,0)),"-")</f>
        <v>-</v>
      </c>
      <c r="G428" s="3" t="str">
        <f>IFERROR(INDEX(Movimientos!$L$5:$L$2001,MATCH(A428&amp;"ENTRADA",Movimientos!$R$5:$R$2001,0)),"-")</f>
        <v>-</v>
      </c>
      <c r="H428" s="19" t="str">
        <f>IFERROR(IF(INDEX(Movimientos!$M$5:$M$2001,MATCH(A428&amp;"ENTRADA",Movimientos!$R$5:$R$2001,0))=0,"S/D",INDEX(Movimientos!$M$5:$M$2001,MATCH(A428&amp;"ENTRADA",Movimientos!$R$5:$R$2001,0))),"S/D")</f>
        <v>S/D</v>
      </c>
      <c r="I428" s="16" t="str">
        <f t="shared" ca="1" si="14"/>
        <v>S/D</v>
      </c>
      <c r="J428" s="6">
        <f>IF(A428="","",SUMIFS(Movimientos!$K:$K,Movimientos!$H:$H,A428))</f>
        <v>0</v>
      </c>
      <c r="K428" s="14" t="str">
        <f t="shared" ca="1" si="15"/>
        <v>OK</v>
      </c>
    </row>
    <row r="429" spans="1:11">
      <c r="A429" s="18" t="s">
        <v>2502</v>
      </c>
      <c r="B429" s="3" t="str">
        <f>IFERROR(INDEX(Movimientos!$C$5:$C$2001,MATCH(A429&amp;"ENTRADA",Movimientos!$R$5:$R$2001,0)),"-")</f>
        <v>-</v>
      </c>
      <c r="C429" s="3" t="str">
        <f>IFERROR(INDEX(Movimientos!$D$5:$D$2001,MATCH(A429&amp;"ENTRADA",Movimientos!$R$5:$R$2001,0)),"-")</f>
        <v>-</v>
      </c>
      <c r="D429" s="3" t="str">
        <f>IFERROR(INDEX(Movimientos!$E$5:$E$2001,MATCH(A429&amp;"ENTRADA",Movimientos!$R$5:$R$2001,0)),"-")</f>
        <v>-</v>
      </c>
      <c r="E429" s="3" t="str">
        <f>IFERROR(INDEX(Movimientos!$F$5:$F$2001,MATCH(A429&amp;"ENTRADA",Movimientos!$R$5:$R$2001,0)),"-")</f>
        <v>-</v>
      </c>
      <c r="F429" s="3" t="str">
        <f>IFERROR(INDEX(Movimientos!$G$5:$G$2001,MATCH(A429&amp;"ENTRADA",Movimientos!$R$5:$R$2001,0)),"-")</f>
        <v>-</v>
      </c>
      <c r="G429" s="3" t="str">
        <f>IFERROR(INDEX(Movimientos!$L$5:$L$2001,MATCH(A429&amp;"ENTRADA",Movimientos!$R$5:$R$2001,0)),"-")</f>
        <v>-</v>
      </c>
      <c r="H429" s="19" t="str">
        <f>IFERROR(IF(INDEX(Movimientos!$M$5:$M$2001,MATCH(A429&amp;"ENTRADA",Movimientos!$R$5:$R$2001,0))=0,"S/D",INDEX(Movimientos!$M$5:$M$2001,MATCH(A429&amp;"ENTRADA",Movimientos!$R$5:$R$2001,0))),"S/D")</f>
        <v>S/D</v>
      </c>
      <c r="I429" s="16" t="str">
        <f t="shared" ca="1" si="14"/>
        <v>S/D</v>
      </c>
      <c r="J429" s="6">
        <f>IF(A429="","",SUMIFS(Movimientos!$K:$K,Movimientos!$H:$H,A429))</f>
        <v>0</v>
      </c>
      <c r="K429" s="14" t="str">
        <f t="shared" ca="1" si="15"/>
        <v>OK</v>
      </c>
    </row>
    <row r="430" spans="1:11">
      <c r="A430" s="18" t="s">
        <v>2503</v>
      </c>
      <c r="B430" s="3" t="str">
        <f>IFERROR(INDEX(Movimientos!$C$5:$C$2001,MATCH(A430&amp;"ENTRADA",Movimientos!$R$5:$R$2001,0)),"-")</f>
        <v>-</v>
      </c>
      <c r="C430" s="3" t="str">
        <f>IFERROR(INDEX(Movimientos!$D$5:$D$2001,MATCH(A430&amp;"ENTRADA",Movimientos!$R$5:$R$2001,0)),"-")</f>
        <v>-</v>
      </c>
      <c r="D430" s="3" t="str">
        <f>IFERROR(INDEX(Movimientos!$E$5:$E$2001,MATCH(A430&amp;"ENTRADA",Movimientos!$R$5:$R$2001,0)),"-")</f>
        <v>-</v>
      </c>
      <c r="E430" s="3" t="str">
        <f>IFERROR(INDEX(Movimientos!$F$5:$F$2001,MATCH(A430&amp;"ENTRADA",Movimientos!$R$5:$R$2001,0)),"-")</f>
        <v>-</v>
      </c>
      <c r="F430" s="3" t="str">
        <f>IFERROR(INDEX(Movimientos!$G$5:$G$2001,MATCH(A430&amp;"ENTRADA",Movimientos!$R$5:$R$2001,0)),"-")</f>
        <v>-</v>
      </c>
      <c r="G430" s="3" t="str">
        <f>IFERROR(INDEX(Movimientos!$L$5:$L$2001,MATCH(A430&amp;"ENTRADA",Movimientos!$R$5:$R$2001,0)),"-")</f>
        <v>-</v>
      </c>
      <c r="H430" s="19" t="str">
        <f>IFERROR(IF(INDEX(Movimientos!$M$5:$M$2001,MATCH(A430&amp;"ENTRADA",Movimientos!$R$5:$R$2001,0))=0,"S/D",INDEX(Movimientos!$M$5:$M$2001,MATCH(A430&amp;"ENTRADA",Movimientos!$R$5:$R$2001,0))),"S/D")</f>
        <v>S/D</v>
      </c>
      <c r="I430" s="16" t="str">
        <f t="shared" ca="1" si="14"/>
        <v>S/D</v>
      </c>
      <c r="J430" s="6">
        <f>IF(A430="","",SUMIFS(Movimientos!$K:$K,Movimientos!$H:$H,A430))</f>
        <v>0</v>
      </c>
      <c r="K430" s="14" t="str">
        <f t="shared" ca="1" si="15"/>
        <v>OK</v>
      </c>
    </row>
    <row r="431" spans="1:11">
      <c r="A431" s="18" t="s">
        <v>2504</v>
      </c>
      <c r="B431" s="3" t="str">
        <f>IFERROR(INDEX(Movimientos!$C$5:$C$2001,MATCH(A431&amp;"ENTRADA",Movimientos!$R$5:$R$2001,0)),"-")</f>
        <v>-</v>
      </c>
      <c r="C431" s="3" t="str">
        <f>IFERROR(INDEX(Movimientos!$D$5:$D$2001,MATCH(A431&amp;"ENTRADA",Movimientos!$R$5:$R$2001,0)),"-")</f>
        <v>-</v>
      </c>
      <c r="D431" s="3" t="str">
        <f>IFERROR(INDEX(Movimientos!$E$5:$E$2001,MATCH(A431&amp;"ENTRADA",Movimientos!$R$5:$R$2001,0)),"-")</f>
        <v>-</v>
      </c>
      <c r="E431" s="3" t="str">
        <f>IFERROR(INDEX(Movimientos!$F$5:$F$2001,MATCH(A431&amp;"ENTRADA",Movimientos!$R$5:$R$2001,0)),"-")</f>
        <v>-</v>
      </c>
      <c r="F431" s="3" t="str">
        <f>IFERROR(INDEX(Movimientos!$G$5:$G$2001,MATCH(A431&amp;"ENTRADA",Movimientos!$R$5:$R$2001,0)),"-")</f>
        <v>-</v>
      </c>
      <c r="G431" s="3" t="str">
        <f>IFERROR(INDEX(Movimientos!$L$5:$L$2001,MATCH(A431&amp;"ENTRADA",Movimientos!$R$5:$R$2001,0)),"-")</f>
        <v>-</v>
      </c>
      <c r="H431" s="19" t="str">
        <f>IFERROR(IF(INDEX(Movimientos!$M$5:$M$2001,MATCH(A431&amp;"ENTRADA",Movimientos!$R$5:$R$2001,0))=0,"S/D",INDEX(Movimientos!$M$5:$M$2001,MATCH(A431&amp;"ENTRADA",Movimientos!$R$5:$R$2001,0))),"S/D")</f>
        <v>S/D</v>
      </c>
      <c r="I431" s="16" t="str">
        <f t="shared" ca="1" si="14"/>
        <v>S/D</v>
      </c>
      <c r="J431" s="6">
        <f>IF(A431="","",SUMIFS(Movimientos!$K:$K,Movimientos!$H:$H,A431))</f>
        <v>0</v>
      </c>
      <c r="K431" s="14" t="str">
        <f t="shared" ca="1" si="15"/>
        <v>OK</v>
      </c>
    </row>
    <row r="432" spans="1:11">
      <c r="A432" s="18" t="s">
        <v>2505</v>
      </c>
      <c r="B432" s="3" t="str">
        <f>IFERROR(INDEX(Movimientos!$C$5:$C$2001,MATCH(A432&amp;"ENTRADA",Movimientos!$R$5:$R$2001,0)),"-")</f>
        <v>-</v>
      </c>
      <c r="C432" s="3" t="str">
        <f>IFERROR(INDEX(Movimientos!$D$5:$D$2001,MATCH(A432&amp;"ENTRADA",Movimientos!$R$5:$R$2001,0)),"-")</f>
        <v>-</v>
      </c>
      <c r="D432" s="3" t="str">
        <f>IFERROR(INDEX(Movimientos!$E$5:$E$2001,MATCH(A432&amp;"ENTRADA",Movimientos!$R$5:$R$2001,0)),"-")</f>
        <v>-</v>
      </c>
      <c r="E432" s="3" t="str">
        <f>IFERROR(INDEX(Movimientos!$F$5:$F$2001,MATCH(A432&amp;"ENTRADA",Movimientos!$R$5:$R$2001,0)),"-")</f>
        <v>-</v>
      </c>
      <c r="F432" s="3" t="str">
        <f>IFERROR(INDEX(Movimientos!$G$5:$G$2001,MATCH(A432&amp;"ENTRADA",Movimientos!$R$5:$R$2001,0)),"-")</f>
        <v>-</v>
      </c>
      <c r="G432" s="3" t="str">
        <f>IFERROR(INDEX(Movimientos!$L$5:$L$2001,MATCH(A432&amp;"ENTRADA",Movimientos!$R$5:$R$2001,0)),"-")</f>
        <v>-</v>
      </c>
      <c r="H432" s="19" t="str">
        <f>IFERROR(IF(INDEX(Movimientos!$M$5:$M$2001,MATCH(A432&amp;"ENTRADA",Movimientos!$R$5:$R$2001,0))=0,"S/D",INDEX(Movimientos!$M$5:$M$2001,MATCH(A432&amp;"ENTRADA",Movimientos!$R$5:$R$2001,0))),"S/D")</f>
        <v>S/D</v>
      </c>
      <c r="I432" s="16" t="str">
        <f t="shared" ca="1" si="14"/>
        <v>S/D</v>
      </c>
      <c r="J432" s="6">
        <f>IF(A432="","",SUMIFS(Movimientos!$K:$K,Movimientos!$H:$H,A432))</f>
        <v>0</v>
      </c>
      <c r="K432" s="14" t="str">
        <f t="shared" ca="1" si="15"/>
        <v>OK</v>
      </c>
    </row>
    <row r="433" spans="1:11">
      <c r="A433" s="18" t="s">
        <v>2506</v>
      </c>
      <c r="B433" s="3" t="str">
        <f>IFERROR(INDEX(Movimientos!$C$5:$C$2001,MATCH(A433&amp;"ENTRADA",Movimientos!$R$5:$R$2001,0)),"-")</f>
        <v>-</v>
      </c>
      <c r="C433" s="3" t="str">
        <f>IFERROR(INDEX(Movimientos!$D$5:$D$2001,MATCH(A433&amp;"ENTRADA",Movimientos!$R$5:$R$2001,0)),"-")</f>
        <v>-</v>
      </c>
      <c r="D433" s="3" t="str">
        <f>IFERROR(INDEX(Movimientos!$E$5:$E$2001,MATCH(A433&amp;"ENTRADA",Movimientos!$R$5:$R$2001,0)),"-")</f>
        <v>-</v>
      </c>
      <c r="E433" s="3" t="str">
        <f>IFERROR(INDEX(Movimientos!$F$5:$F$2001,MATCH(A433&amp;"ENTRADA",Movimientos!$R$5:$R$2001,0)),"-")</f>
        <v>-</v>
      </c>
      <c r="F433" s="3" t="str">
        <f>IFERROR(INDEX(Movimientos!$G$5:$G$2001,MATCH(A433&amp;"ENTRADA",Movimientos!$R$5:$R$2001,0)),"-")</f>
        <v>-</v>
      </c>
      <c r="G433" s="3" t="str">
        <f>IFERROR(INDEX(Movimientos!$L$5:$L$2001,MATCH(A433&amp;"ENTRADA",Movimientos!$R$5:$R$2001,0)),"-")</f>
        <v>-</v>
      </c>
      <c r="H433" s="19" t="str">
        <f>IFERROR(IF(INDEX(Movimientos!$M$5:$M$2001,MATCH(A433&amp;"ENTRADA",Movimientos!$R$5:$R$2001,0))=0,"S/D",INDEX(Movimientos!$M$5:$M$2001,MATCH(A433&amp;"ENTRADA",Movimientos!$R$5:$R$2001,0))),"S/D")</f>
        <v>S/D</v>
      </c>
      <c r="I433" s="16" t="str">
        <f t="shared" ca="1" si="14"/>
        <v>S/D</v>
      </c>
      <c r="J433" s="6">
        <f>IF(A433="","",SUMIFS(Movimientos!$K:$K,Movimientos!$H:$H,A433))</f>
        <v>0</v>
      </c>
      <c r="K433" s="14" t="str">
        <f t="shared" ca="1" si="15"/>
        <v>OK</v>
      </c>
    </row>
    <row r="434" spans="1:11">
      <c r="A434" s="18" t="s">
        <v>2507</v>
      </c>
      <c r="B434" s="3" t="str">
        <f>IFERROR(INDEX(Movimientos!$C$5:$C$2001,MATCH(A434&amp;"ENTRADA",Movimientos!$R$5:$R$2001,0)),"-")</f>
        <v>-</v>
      </c>
      <c r="C434" s="3" t="str">
        <f>IFERROR(INDEX(Movimientos!$D$5:$D$2001,MATCH(A434&amp;"ENTRADA",Movimientos!$R$5:$R$2001,0)),"-")</f>
        <v>-</v>
      </c>
      <c r="D434" s="3" t="str">
        <f>IFERROR(INDEX(Movimientos!$E$5:$E$2001,MATCH(A434&amp;"ENTRADA",Movimientos!$R$5:$R$2001,0)),"-")</f>
        <v>-</v>
      </c>
      <c r="E434" s="3" t="str">
        <f>IFERROR(INDEX(Movimientos!$F$5:$F$2001,MATCH(A434&amp;"ENTRADA",Movimientos!$R$5:$R$2001,0)),"-")</f>
        <v>-</v>
      </c>
      <c r="F434" s="3" t="str">
        <f>IFERROR(INDEX(Movimientos!$G$5:$G$2001,MATCH(A434&amp;"ENTRADA",Movimientos!$R$5:$R$2001,0)),"-")</f>
        <v>-</v>
      </c>
      <c r="G434" s="3" t="str">
        <f>IFERROR(INDEX(Movimientos!$L$5:$L$2001,MATCH(A434&amp;"ENTRADA",Movimientos!$R$5:$R$2001,0)),"-")</f>
        <v>-</v>
      </c>
      <c r="H434" s="19" t="str">
        <f>IFERROR(IF(INDEX(Movimientos!$M$5:$M$2001,MATCH(A434&amp;"ENTRADA",Movimientos!$R$5:$R$2001,0))=0,"S/D",INDEX(Movimientos!$M$5:$M$2001,MATCH(A434&amp;"ENTRADA",Movimientos!$R$5:$R$2001,0))),"S/D")</f>
        <v>S/D</v>
      </c>
      <c r="I434" s="16" t="str">
        <f t="shared" ca="1" si="14"/>
        <v>S/D</v>
      </c>
      <c r="J434" s="6">
        <f>IF(A434="","",SUMIFS(Movimientos!$K:$K,Movimientos!$H:$H,A434))</f>
        <v>0</v>
      </c>
      <c r="K434" s="14" t="str">
        <f t="shared" ca="1" si="15"/>
        <v>OK</v>
      </c>
    </row>
    <row r="435" spans="1:11">
      <c r="A435" s="18" t="s">
        <v>2508</v>
      </c>
      <c r="B435" s="3" t="str">
        <f>IFERROR(INDEX(Movimientos!$C$5:$C$2001,MATCH(A435&amp;"ENTRADA",Movimientos!$R$5:$R$2001,0)),"-")</f>
        <v>-</v>
      </c>
      <c r="C435" s="3" t="str">
        <f>IFERROR(INDEX(Movimientos!$D$5:$D$2001,MATCH(A435&amp;"ENTRADA",Movimientos!$R$5:$R$2001,0)),"-")</f>
        <v>-</v>
      </c>
      <c r="D435" s="3" t="str">
        <f>IFERROR(INDEX(Movimientos!$E$5:$E$2001,MATCH(A435&amp;"ENTRADA",Movimientos!$R$5:$R$2001,0)),"-")</f>
        <v>-</v>
      </c>
      <c r="E435" s="3" t="str">
        <f>IFERROR(INDEX(Movimientos!$F$5:$F$2001,MATCH(A435&amp;"ENTRADA",Movimientos!$R$5:$R$2001,0)),"-")</f>
        <v>-</v>
      </c>
      <c r="F435" s="3" t="str">
        <f>IFERROR(INDEX(Movimientos!$G$5:$G$2001,MATCH(A435&amp;"ENTRADA",Movimientos!$R$5:$R$2001,0)),"-")</f>
        <v>-</v>
      </c>
      <c r="G435" s="3" t="str">
        <f>IFERROR(INDEX(Movimientos!$L$5:$L$2001,MATCH(A435&amp;"ENTRADA",Movimientos!$R$5:$R$2001,0)),"-")</f>
        <v>-</v>
      </c>
      <c r="H435" s="19" t="str">
        <f>IFERROR(IF(INDEX(Movimientos!$M$5:$M$2001,MATCH(A435&amp;"ENTRADA",Movimientos!$R$5:$R$2001,0))=0,"S/D",INDEX(Movimientos!$M$5:$M$2001,MATCH(A435&amp;"ENTRADA",Movimientos!$R$5:$R$2001,0))),"S/D")</f>
        <v>S/D</v>
      </c>
      <c r="I435" s="16" t="str">
        <f t="shared" ca="1" si="14"/>
        <v>S/D</v>
      </c>
      <c r="J435" s="6">
        <f>IF(A435="","",SUMIFS(Movimientos!$K:$K,Movimientos!$H:$H,A435))</f>
        <v>0</v>
      </c>
      <c r="K435" s="14" t="str">
        <f t="shared" ca="1" si="15"/>
        <v>OK</v>
      </c>
    </row>
    <row r="436" spans="1:11">
      <c r="A436" s="18" t="s">
        <v>2509</v>
      </c>
      <c r="B436" s="3" t="str">
        <f>IFERROR(INDEX(Movimientos!$C$5:$C$2001,MATCH(A436&amp;"ENTRADA",Movimientos!$R$5:$R$2001,0)),"-")</f>
        <v>-</v>
      </c>
      <c r="C436" s="3" t="str">
        <f>IFERROR(INDEX(Movimientos!$D$5:$D$2001,MATCH(A436&amp;"ENTRADA",Movimientos!$R$5:$R$2001,0)),"-")</f>
        <v>-</v>
      </c>
      <c r="D436" s="3" t="str">
        <f>IFERROR(INDEX(Movimientos!$E$5:$E$2001,MATCH(A436&amp;"ENTRADA",Movimientos!$R$5:$R$2001,0)),"-")</f>
        <v>-</v>
      </c>
      <c r="E436" s="3" t="str">
        <f>IFERROR(INDEX(Movimientos!$F$5:$F$2001,MATCH(A436&amp;"ENTRADA",Movimientos!$R$5:$R$2001,0)),"-")</f>
        <v>-</v>
      </c>
      <c r="F436" s="3" t="str">
        <f>IFERROR(INDEX(Movimientos!$G$5:$G$2001,MATCH(A436&amp;"ENTRADA",Movimientos!$R$5:$R$2001,0)),"-")</f>
        <v>-</v>
      </c>
      <c r="G436" s="3" t="str">
        <f>IFERROR(INDEX(Movimientos!$L$5:$L$2001,MATCH(A436&amp;"ENTRADA",Movimientos!$R$5:$R$2001,0)),"-")</f>
        <v>-</v>
      </c>
      <c r="H436" s="19" t="str">
        <f>IFERROR(IF(INDEX(Movimientos!$M$5:$M$2001,MATCH(A436&amp;"ENTRADA",Movimientos!$R$5:$R$2001,0))=0,"S/D",INDEX(Movimientos!$M$5:$M$2001,MATCH(A436&amp;"ENTRADA",Movimientos!$R$5:$R$2001,0))),"S/D")</f>
        <v>S/D</v>
      </c>
      <c r="I436" s="16" t="str">
        <f t="shared" ca="1" si="14"/>
        <v>S/D</v>
      </c>
      <c r="J436" s="6">
        <f>IF(A436="","",SUMIFS(Movimientos!$K:$K,Movimientos!$H:$H,A436))</f>
        <v>0</v>
      </c>
      <c r="K436" s="14" t="str">
        <f t="shared" ca="1" si="15"/>
        <v>OK</v>
      </c>
    </row>
    <row r="437" spans="1:11">
      <c r="A437" s="18" t="s">
        <v>2510</v>
      </c>
      <c r="B437" s="3" t="str">
        <f>IFERROR(INDEX(Movimientos!$C$5:$C$2001,MATCH(A437&amp;"ENTRADA",Movimientos!$R$5:$R$2001,0)),"-")</f>
        <v>-</v>
      </c>
      <c r="C437" s="3" t="str">
        <f>IFERROR(INDEX(Movimientos!$D$5:$D$2001,MATCH(A437&amp;"ENTRADA",Movimientos!$R$5:$R$2001,0)),"-")</f>
        <v>-</v>
      </c>
      <c r="D437" s="3" t="str">
        <f>IFERROR(INDEX(Movimientos!$E$5:$E$2001,MATCH(A437&amp;"ENTRADA",Movimientos!$R$5:$R$2001,0)),"-")</f>
        <v>-</v>
      </c>
      <c r="E437" s="3" t="str">
        <f>IFERROR(INDEX(Movimientos!$F$5:$F$2001,MATCH(A437&amp;"ENTRADA",Movimientos!$R$5:$R$2001,0)),"-")</f>
        <v>-</v>
      </c>
      <c r="F437" s="3" t="str">
        <f>IFERROR(INDEX(Movimientos!$G$5:$G$2001,MATCH(A437&amp;"ENTRADA",Movimientos!$R$5:$R$2001,0)),"-")</f>
        <v>-</v>
      </c>
      <c r="G437" s="3" t="str">
        <f>IFERROR(INDEX(Movimientos!$L$5:$L$2001,MATCH(A437&amp;"ENTRADA",Movimientos!$R$5:$R$2001,0)),"-")</f>
        <v>-</v>
      </c>
      <c r="H437" s="19" t="str">
        <f>IFERROR(IF(INDEX(Movimientos!$M$5:$M$2001,MATCH(A437&amp;"ENTRADA",Movimientos!$R$5:$R$2001,0))=0,"S/D",INDEX(Movimientos!$M$5:$M$2001,MATCH(A437&amp;"ENTRADA",Movimientos!$R$5:$R$2001,0))),"S/D")</f>
        <v>S/D</v>
      </c>
      <c r="I437" s="16" t="str">
        <f t="shared" ca="1" si="14"/>
        <v>S/D</v>
      </c>
      <c r="J437" s="6">
        <f>IF(A437="","",SUMIFS(Movimientos!$K:$K,Movimientos!$H:$H,A437))</f>
        <v>0</v>
      </c>
      <c r="K437" s="14" t="str">
        <f t="shared" ca="1" si="15"/>
        <v>OK</v>
      </c>
    </row>
    <row r="438" spans="1:11">
      <c r="A438" s="18" t="s">
        <v>2511</v>
      </c>
      <c r="B438" s="3" t="str">
        <f>IFERROR(INDEX(Movimientos!$C$5:$C$2001,MATCH(A438&amp;"ENTRADA",Movimientos!$R$5:$R$2001,0)),"-")</f>
        <v>-</v>
      </c>
      <c r="C438" s="3" t="str">
        <f>IFERROR(INDEX(Movimientos!$D$5:$D$2001,MATCH(A438&amp;"ENTRADA",Movimientos!$R$5:$R$2001,0)),"-")</f>
        <v>-</v>
      </c>
      <c r="D438" s="3" t="str">
        <f>IFERROR(INDEX(Movimientos!$E$5:$E$2001,MATCH(A438&amp;"ENTRADA",Movimientos!$R$5:$R$2001,0)),"-")</f>
        <v>-</v>
      </c>
      <c r="E438" s="3" t="str">
        <f>IFERROR(INDEX(Movimientos!$F$5:$F$2001,MATCH(A438&amp;"ENTRADA",Movimientos!$R$5:$R$2001,0)),"-")</f>
        <v>-</v>
      </c>
      <c r="F438" s="3" t="str">
        <f>IFERROR(INDEX(Movimientos!$G$5:$G$2001,MATCH(A438&amp;"ENTRADA",Movimientos!$R$5:$R$2001,0)),"-")</f>
        <v>-</v>
      </c>
      <c r="G438" s="3" t="str">
        <f>IFERROR(INDEX(Movimientos!$L$5:$L$2001,MATCH(A438&amp;"ENTRADA",Movimientos!$R$5:$R$2001,0)),"-")</f>
        <v>-</v>
      </c>
      <c r="H438" s="19" t="str">
        <f>IFERROR(IF(INDEX(Movimientos!$M$5:$M$2001,MATCH(A438&amp;"ENTRADA",Movimientos!$R$5:$R$2001,0))=0,"S/D",INDEX(Movimientos!$M$5:$M$2001,MATCH(A438&amp;"ENTRADA",Movimientos!$R$5:$R$2001,0))),"S/D")</f>
        <v>S/D</v>
      </c>
      <c r="I438" s="16" t="str">
        <f t="shared" ca="1" si="14"/>
        <v>S/D</v>
      </c>
      <c r="J438" s="6">
        <f>IF(A438="","",SUMIFS(Movimientos!$K:$K,Movimientos!$H:$H,A438))</f>
        <v>0</v>
      </c>
      <c r="K438" s="14" t="str">
        <f t="shared" ca="1" si="15"/>
        <v>OK</v>
      </c>
    </row>
    <row r="439" spans="1:11">
      <c r="A439" s="18" t="s">
        <v>2512</v>
      </c>
      <c r="B439" s="3" t="str">
        <f>IFERROR(INDEX(Movimientos!$C$5:$C$2001,MATCH(A439&amp;"ENTRADA",Movimientos!$R$5:$R$2001,0)),"-")</f>
        <v>-</v>
      </c>
      <c r="C439" s="3" t="str">
        <f>IFERROR(INDEX(Movimientos!$D$5:$D$2001,MATCH(A439&amp;"ENTRADA",Movimientos!$R$5:$R$2001,0)),"-")</f>
        <v>-</v>
      </c>
      <c r="D439" s="3" t="str">
        <f>IFERROR(INDEX(Movimientos!$E$5:$E$2001,MATCH(A439&amp;"ENTRADA",Movimientos!$R$5:$R$2001,0)),"-")</f>
        <v>-</v>
      </c>
      <c r="E439" s="3" t="str">
        <f>IFERROR(INDEX(Movimientos!$F$5:$F$2001,MATCH(A439&amp;"ENTRADA",Movimientos!$R$5:$R$2001,0)),"-")</f>
        <v>-</v>
      </c>
      <c r="F439" s="3" t="str">
        <f>IFERROR(INDEX(Movimientos!$G$5:$G$2001,MATCH(A439&amp;"ENTRADA",Movimientos!$R$5:$R$2001,0)),"-")</f>
        <v>-</v>
      </c>
      <c r="G439" s="3" t="str">
        <f>IFERROR(INDEX(Movimientos!$L$5:$L$2001,MATCH(A439&amp;"ENTRADA",Movimientos!$R$5:$R$2001,0)),"-")</f>
        <v>-</v>
      </c>
      <c r="H439" s="19" t="str">
        <f>IFERROR(IF(INDEX(Movimientos!$M$5:$M$2001,MATCH(A439&amp;"ENTRADA",Movimientos!$R$5:$R$2001,0))=0,"S/D",INDEX(Movimientos!$M$5:$M$2001,MATCH(A439&amp;"ENTRADA",Movimientos!$R$5:$R$2001,0))),"S/D")</f>
        <v>S/D</v>
      </c>
      <c r="I439" s="16" t="str">
        <f t="shared" ca="1" si="14"/>
        <v>S/D</v>
      </c>
      <c r="J439" s="6">
        <f>IF(A439="","",SUMIFS(Movimientos!$K:$K,Movimientos!$H:$H,A439))</f>
        <v>0</v>
      </c>
      <c r="K439" s="14" t="str">
        <f t="shared" ca="1" si="15"/>
        <v>OK</v>
      </c>
    </row>
    <row r="440" spans="1:11">
      <c r="A440" s="18" t="s">
        <v>2513</v>
      </c>
      <c r="B440" s="3" t="str">
        <f>IFERROR(INDEX(Movimientos!$C$5:$C$2001,MATCH(A440&amp;"ENTRADA",Movimientos!$R$5:$R$2001,0)),"-")</f>
        <v>-</v>
      </c>
      <c r="C440" s="3" t="str">
        <f>IFERROR(INDEX(Movimientos!$D$5:$D$2001,MATCH(A440&amp;"ENTRADA",Movimientos!$R$5:$R$2001,0)),"-")</f>
        <v>-</v>
      </c>
      <c r="D440" s="3" t="str">
        <f>IFERROR(INDEX(Movimientos!$E$5:$E$2001,MATCH(A440&amp;"ENTRADA",Movimientos!$R$5:$R$2001,0)),"-")</f>
        <v>-</v>
      </c>
      <c r="E440" s="3" t="str">
        <f>IFERROR(INDEX(Movimientos!$F$5:$F$2001,MATCH(A440&amp;"ENTRADA",Movimientos!$R$5:$R$2001,0)),"-")</f>
        <v>-</v>
      </c>
      <c r="F440" s="3" t="str">
        <f>IFERROR(INDEX(Movimientos!$G$5:$G$2001,MATCH(A440&amp;"ENTRADA",Movimientos!$R$5:$R$2001,0)),"-")</f>
        <v>-</v>
      </c>
      <c r="G440" s="3" t="str">
        <f>IFERROR(INDEX(Movimientos!$L$5:$L$2001,MATCH(A440&amp;"ENTRADA",Movimientos!$R$5:$R$2001,0)),"-")</f>
        <v>-</v>
      </c>
      <c r="H440" s="19" t="str">
        <f>IFERROR(IF(INDEX(Movimientos!$M$5:$M$2001,MATCH(A440&amp;"ENTRADA",Movimientos!$R$5:$R$2001,0))=0,"S/D",INDEX(Movimientos!$M$5:$M$2001,MATCH(A440&amp;"ENTRADA",Movimientos!$R$5:$R$2001,0))),"S/D")</f>
        <v>S/D</v>
      </c>
      <c r="I440" s="16" t="str">
        <f t="shared" ca="1" si="14"/>
        <v>S/D</v>
      </c>
      <c r="J440" s="6">
        <f>IF(A440="","",SUMIFS(Movimientos!$K:$K,Movimientos!$H:$H,A440))</f>
        <v>0</v>
      </c>
      <c r="K440" s="14" t="str">
        <f t="shared" ca="1" si="15"/>
        <v>OK</v>
      </c>
    </row>
    <row r="441" spans="1:11">
      <c r="A441" s="18" t="s">
        <v>2514</v>
      </c>
      <c r="B441" s="3" t="str">
        <f>IFERROR(INDEX(Movimientos!$C$5:$C$2001,MATCH(A441&amp;"ENTRADA",Movimientos!$R$5:$R$2001,0)),"-")</f>
        <v>-</v>
      </c>
      <c r="C441" s="3" t="str">
        <f>IFERROR(INDEX(Movimientos!$D$5:$D$2001,MATCH(A441&amp;"ENTRADA",Movimientos!$R$5:$R$2001,0)),"-")</f>
        <v>-</v>
      </c>
      <c r="D441" s="3" t="str">
        <f>IFERROR(INDEX(Movimientos!$E$5:$E$2001,MATCH(A441&amp;"ENTRADA",Movimientos!$R$5:$R$2001,0)),"-")</f>
        <v>-</v>
      </c>
      <c r="E441" s="3" t="str">
        <f>IFERROR(INDEX(Movimientos!$F$5:$F$2001,MATCH(A441&amp;"ENTRADA",Movimientos!$R$5:$R$2001,0)),"-")</f>
        <v>-</v>
      </c>
      <c r="F441" s="3" t="str">
        <f>IFERROR(INDEX(Movimientos!$G$5:$G$2001,MATCH(A441&amp;"ENTRADA",Movimientos!$R$5:$R$2001,0)),"-")</f>
        <v>-</v>
      </c>
      <c r="G441" s="3" t="str">
        <f>IFERROR(INDEX(Movimientos!$L$5:$L$2001,MATCH(A441&amp;"ENTRADA",Movimientos!$R$5:$R$2001,0)),"-")</f>
        <v>-</v>
      </c>
      <c r="H441" s="19" t="str">
        <f>IFERROR(IF(INDEX(Movimientos!$M$5:$M$2001,MATCH(A441&amp;"ENTRADA",Movimientos!$R$5:$R$2001,0))=0,"S/D",INDEX(Movimientos!$M$5:$M$2001,MATCH(A441&amp;"ENTRADA",Movimientos!$R$5:$R$2001,0))),"S/D")</f>
        <v>S/D</v>
      </c>
      <c r="I441" s="16" t="str">
        <f t="shared" ca="1" si="14"/>
        <v>S/D</v>
      </c>
      <c r="J441" s="6">
        <f>IF(A441="","",SUMIFS(Movimientos!$K:$K,Movimientos!$H:$H,A441))</f>
        <v>0</v>
      </c>
      <c r="K441" s="14" t="str">
        <f t="shared" ca="1" si="15"/>
        <v>OK</v>
      </c>
    </row>
    <row r="442" spans="1:11">
      <c r="A442" s="18" t="s">
        <v>2515</v>
      </c>
      <c r="B442" s="3" t="str">
        <f>IFERROR(INDEX(Movimientos!$C$5:$C$2001,MATCH(A442&amp;"ENTRADA",Movimientos!$R$5:$R$2001,0)),"-")</f>
        <v>-</v>
      </c>
      <c r="C442" s="3" t="str">
        <f>IFERROR(INDEX(Movimientos!$D$5:$D$2001,MATCH(A442&amp;"ENTRADA",Movimientos!$R$5:$R$2001,0)),"-")</f>
        <v>-</v>
      </c>
      <c r="D442" s="3" t="str">
        <f>IFERROR(INDEX(Movimientos!$E$5:$E$2001,MATCH(A442&amp;"ENTRADA",Movimientos!$R$5:$R$2001,0)),"-")</f>
        <v>-</v>
      </c>
      <c r="E442" s="3" t="str">
        <f>IFERROR(INDEX(Movimientos!$F$5:$F$2001,MATCH(A442&amp;"ENTRADA",Movimientos!$R$5:$R$2001,0)),"-")</f>
        <v>-</v>
      </c>
      <c r="F442" s="3" t="str">
        <f>IFERROR(INDEX(Movimientos!$G$5:$G$2001,MATCH(A442&amp;"ENTRADA",Movimientos!$R$5:$R$2001,0)),"-")</f>
        <v>-</v>
      </c>
      <c r="G442" s="3" t="str">
        <f>IFERROR(INDEX(Movimientos!$L$5:$L$2001,MATCH(A442&amp;"ENTRADA",Movimientos!$R$5:$R$2001,0)),"-")</f>
        <v>-</v>
      </c>
      <c r="H442" s="19" t="str">
        <f>IFERROR(IF(INDEX(Movimientos!$M$5:$M$2001,MATCH(A442&amp;"ENTRADA",Movimientos!$R$5:$R$2001,0))=0,"S/D",INDEX(Movimientos!$M$5:$M$2001,MATCH(A442&amp;"ENTRADA",Movimientos!$R$5:$R$2001,0))),"S/D")</f>
        <v>S/D</v>
      </c>
      <c r="I442" s="16" t="str">
        <f t="shared" ca="1" si="14"/>
        <v>S/D</v>
      </c>
      <c r="J442" s="6">
        <f>IF(A442="","",SUMIFS(Movimientos!$K:$K,Movimientos!$H:$H,A442))</f>
        <v>0</v>
      </c>
      <c r="K442" s="14" t="str">
        <f t="shared" ca="1" si="15"/>
        <v>OK</v>
      </c>
    </row>
    <row r="443" spans="1:11">
      <c r="A443" s="18" t="s">
        <v>2516</v>
      </c>
      <c r="B443" s="3" t="str">
        <f>IFERROR(INDEX(Movimientos!$C$5:$C$2001,MATCH(A443&amp;"ENTRADA",Movimientos!$R$5:$R$2001,0)),"-")</f>
        <v>-</v>
      </c>
      <c r="C443" s="3" t="str">
        <f>IFERROR(INDEX(Movimientos!$D$5:$D$2001,MATCH(A443&amp;"ENTRADA",Movimientos!$R$5:$R$2001,0)),"-")</f>
        <v>-</v>
      </c>
      <c r="D443" s="3" t="str">
        <f>IFERROR(INDEX(Movimientos!$E$5:$E$2001,MATCH(A443&amp;"ENTRADA",Movimientos!$R$5:$R$2001,0)),"-")</f>
        <v>-</v>
      </c>
      <c r="E443" s="3" t="str">
        <f>IFERROR(INDEX(Movimientos!$F$5:$F$2001,MATCH(A443&amp;"ENTRADA",Movimientos!$R$5:$R$2001,0)),"-")</f>
        <v>-</v>
      </c>
      <c r="F443" s="3" t="str">
        <f>IFERROR(INDEX(Movimientos!$G$5:$G$2001,MATCH(A443&amp;"ENTRADA",Movimientos!$R$5:$R$2001,0)),"-")</f>
        <v>-</v>
      </c>
      <c r="G443" s="3" t="str">
        <f>IFERROR(INDEX(Movimientos!$L$5:$L$2001,MATCH(A443&amp;"ENTRADA",Movimientos!$R$5:$R$2001,0)),"-")</f>
        <v>-</v>
      </c>
      <c r="H443" s="19" t="str">
        <f>IFERROR(IF(INDEX(Movimientos!$M$5:$M$2001,MATCH(A443&amp;"ENTRADA",Movimientos!$R$5:$R$2001,0))=0,"S/D",INDEX(Movimientos!$M$5:$M$2001,MATCH(A443&amp;"ENTRADA",Movimientos!$R$5:$R$2001,0))),"S/D")</f>
        <v>S/D</v>
      </c>
      <c r="I443" s="16" t="str">
        <f t="shared" ca="1" si="14"/>
        <v>S/D</v>
      </c>
      <c r="J443" s="6">
        <f>IF(A443="","",SUMIFS(Movimientos!$K:$K,Movimientos!$H:$H,A443))</f>
        <v>0</v>
      </c>
      <c r="K443" s="14" t="str">
        <f t="shared" ca="1" si="15"/>
        <v>OK</v>
      </c>
    </row>
    <row r="444" spans="1:11">
      <c r="A444" s="18" t="s">
        <v>2517</v>
      </c>
      <c r="B444" s="3" t="str">
        <f>IFERROR(INDEX(Movimientos!$C$5:$C$2001,MATCH(A444&amp;"ENTRADA",Movimientos!$R$5:$R$2001,0)),"-")</f>
        <v>-</v>
      </c>
      <c r="C444" s="3" t="str">
        <f>IFERROR(INDEX(Movimientos!$D$5:$D$2001,MATCH(A444&amp;"ENTRADA",Movimientos!$R$5:$R$2001,0)),"-")</f>
        <v>-</v>
      </c>
      <c r="D444" s="3" t="str">
        <f>IFERROR(INDEX(Movimientos!$E$5:$E$2001,MATCH(A444&amp;"ENTRADA",Movimientos!$R$5:$R$2001,0)),"-")</f>
        <v>-</v>
      </c>
      <c r="E444" s="3" t="str">
        <f>IFERROR(INDEX(Movimientos!$F$5:$F$2001,MATCH(A444&amp;"ENTRADA",Movimientos!$R$5:$R$2001,0)),"-")</f>
        <v>-</v>
      </c>
      <c r="F444" s="3" t="str">
        <f>IFERROR(INDEX(Movimientos!$G$5:$G$2001,MATCH(A444&amp;"ENTRADA",Movimientos!$R$5:$R$2001,0)),"-")</f>
        <v>-</v>
      </c>
      <c r="G444" s="3" t="str">
        <f>IFERROR(INDEX(Movimientos!$L$5:$L$2001,MATCH(A444&amp;"ENTRADA",Movimientos!$R$5:$R$2001,0)),"-")</f>
        <v>-</v>
      </c>
      <c r="H444" s="19" t="str">
        <f>IFERROR(IF(INDEX(Movimientos!$M$5:$M$2001,MATCH(A444&amp;"ENTRADA",Movimientos!$R$5:$R$2001,0))=0,"S/D",INDEX(Movimientos!$M$5:$M$2001,MATCH(A444&amp;"ENTRADA",Movimientos!$R$5:$R$2001,0))),"S/D")</f>
        <v>S/D</v>
      </c>
      <c r="I444" s="16" t="str">
        <f t="shared" ca="1" si="14"/>
        <v>S/D</v>
      </c>
      <c r="J444" s="6">
        <f>IF(A444="","",SUMIFS(Movimientos!$K:$K,Movimientos!$H:$H,A444))</f>
        <v>0</v>
      </c>
      <c r="K444" s="14" t="str">
        <f t="shared" ca="1" si="15"/>
        <v>OK</v>
      </c>
    </row>
    <row r="445" spans="1:11">
      <c r="A445" s="18" t="s">
        <v>2518</v>
      </c>
      <c r="B445" s="3" t="str">
        <f>IFERROR(INDEX(Movimientos!$C$5:$C$2001,MATCH(A445&amp;"ENTRADA",Movimientos!$R$5:$R$2001,0)),"-")</f>
        <v>-</v>
      </c>
      <c r="C445" s="3" t="str">
        <f>IFERROR(INDEX(Movimientos!$D$5:$D$2001,MATCH(A445&amp;"ENTRADA",Movimientos!$R$5:$R$2001,0)),"-")</f>
        <v>-</v>
      </c>
      <c r="D445" s="3" t="str">
        <f>IFERROR(INDEX(Movimientos!$E$5:$E$2001,MATCH(A445&amp;"ENTRADA",Movimientos!$R$5:$R$2001,0)),"-")</f>
        <v>-</v>
      </c>
      <c r="E445" s="3" t="str">
        <f>IFERROR(INDEX(Movimientos!$F$5:$F$2001,MATCH(A445&amp;"ENTRADA",Movimientos!$R$5:$R$2001,0)),"-")</f>
        <v>-</v>
      </c>
      <c r="F445" s="3" t="str">
        <f>IFERROR(INDEX(Movimientos!$G$5:$G$2001,MATCH(A445&amp;"ENTRADA",Movimientos!$R$5:$R$2001,0)),"-")</f>
        <v>-</v>
      </c>
      <c r="G445" s="3" t="str">
        <f>IFERROR(INDEX(Movimientos!$L$5:$L$2001,MATCH(A445&amp;"ENTRADA",Movimientos!$R$5:$R$2001,0)),"-")</f>
        <v>-</v>
      </c>
      <c r="H445" s="19" t="str">
        <f>IFERROR(IF(INDEX(Movimientos!$M$5:$M$2001,MATCH(A445&amp;"ENTRADA",Movimientos!$R$5:$R$2001,0))=0,"S/D",INDEX(Movimientos!$M$5:$M$2001,MATCH(A445&amp;"ENTRADA",Movimientos!$R$5:$R$2001,0))),"S/D")</f>
        <v>S/D</v>
      </c>
      <c r="I445" s="16" t="str">
        <f t="shared" ca="1" si="14"/>
        <v>S/D</v>
      </c>
      <c r="J445" s="6">
        <f>IF(A445="","",SUMIFS(Movimientos!$K:$K,Movimientos!$H:$H,A445))</f>
        <v>0</v>
      </c>
      <c r="K445" s="14" t="str">
        <f t="shared" ca="1" si="15"/>
        <v>OK</v>
      </c>
    </row>
    <row r="446" spans="1:11">
      <c r="A446" s="18" t="s">
        <v>2519</v>
      </c>
      <c r="B446" s="3" t="str">
        <f>IFERROR(INDEX(Movimientos!$C$5:$C$2001,MATCH(A446&amp;"ENTRADA",Movimientos!$R$5:$R$2001,0)),"-")</f>
        <v>-</v>
      </c>
      <c r="C446" s="3" t="str">
        <f>IFERROR(INDEX(Movimientos!$D$5:$D$2001,MATCH(A446&amp;"ENTRADA",Movimientos!$R$5:$R$2001,0)),"-")</f>
        <v>-</v>
      </c>
      <c r="D446" s="3" t="str">
        <f>IFERROR(INDEX(Movimientos!$E$5:$E$2001,MATCH(A446&amp;"ENTRADA",Movimientos!$R$5:$R$2001,0)),"-")</f>
        <v>-</v>
      </c>
      <c r="E446" s="3" t="str">
        <f>IFERROR(INDEX(Movimientos!$F$5:$F$2001,MATCH(A446&amp;"ENTRADA",Movimientos!$R$5:$R$2001,0)),"-")</f>
        <v>-</v>
      </c>
      <c r="F446" s="3" t="str">
        <f>IFERROR(INDEX(Movimientos!$G$5:$G$2001,MATCH(A446&amp;"ENTRADA",Movimientos!$R$5:$R$2001,0)),"-")</f>
        <v>-</v>
      </c>
      <c r="G446" s="3" t="str">
        <f>IFERROR(INDEX(Movimientos!$L$5:$L$2001,MATCH(A446&amp;"ENTRADA",Movimientos!$R$5:$R$2001,0)),"-")</f>
        <v>-</v>
      </c>
      <c r="H446" s="19" t="str">
        <f>IFERROR(IF(INDEX(Movimientos!$M$5:$M$2001,MATCH(A446&amp;"ENTRADA",Movimientos!$R$5:$R$2001,0))=0,"S/D",INDEX(Movimientos!$M$5:$M$2001,MATCH(A446&amp;"ENTRADA",Movimientos!$R$5:$R$2001,0))),"S/D")</f>
        <v>S/D</v>
      </c>
      <c r="I446" s="16" t="str">
        <f t="shared" ca="1" si="14"/>
        <v>S/D</v>
      </c>
      <c r="J446" s="6">
        <f>IF(A446="","",SUMIFS(Movimientos!$K:$K,Movimientos!$H:$H,A446))</f>
        <v>0</v>
      </c>
      <c r="K446" s="14" t="str">
        <f t="shared" ca="1" si="15"/>
        <v>OK</v>
      </c>
    </row>
    <row r="447" spans="1:11">
      <c r="A447" s="18" t="s">
        <v>2520</v>
      </c>
      <c r="B447" s="3" t="str">
        <f>IFERROR(INDEX(Movimientos!$C$5:$C$2001,MATCH(A447&amp;"ENTRADA",Movimientos!$R$5:$R$2001,0)),"-")</f>
        <v>-</v>
      </c>
      <c r="C447" s="3" t="str">
        <f>IFERROR(INDEX(Movimientos!$D$5:$D$2001,MATCH(A447&amp;"ENTRADA",Movimientos!$R$5:$R$2001,0)),"-")</f>
        <v>-</v>
      </c>
      <c r="D447" s="3" t="str">
        <f>IFERROR(INDEX(Movimientos!$E$5:$E$2001,MATCH(A447&amp;"ENTRADA",Movimientos!$R$5:$R$2001,0)),"-")</f>
        <v>-</v>
      </c>
      <c r="E447" s="3" t="str">
        <f>IFERROR(INDEX(Movimientos!$F$5:$F$2001,MATCH(A447&amp;"ENTRADA",Movimientos!$R$5:$R$2001,0)),"-")</f>
        <v>-</v>
      </c>
      <c r="F447" s="3" t="str">
        <f>IFERROR(INDEX(Movimientos!$G$5:$G$2001,MATCH(A447&amp;"ENTRADA",Movimientos!$R$5:$R$2001,0)),"-")</f>
        <v>-</v>
      </c>
      <c r="G447" s="3" t="str">
        <f>IFERROR(INDEX(Movimientos!$L$5:$L$2001,MATCH(A447&amp;"ENTRADA",Movimientos!$R$5:$R$2001,0)),"-")</f>
        <v>-</v>
      </c>
      <c r="H447" s="19" t="str">
        <f>IFERROR(IF(INDEX(Movimientos!$M$5:$M$2001,MATCH(A447&amp;"ENTRADA",Movimientos!$R$5:$R$2001,0))=0,"S/D",INDEX(Movimientos!$M$5:$M$2001,MATCH(A447&amp;"ENTRADA",Movimientos!$R$5:$R$2001,0))),"S/D")</f>
        <v>S/D</v>
      </c>
      <c r="I447" s="16" t="str">
        <f t="shared" ca="1" si="14"/>
        <v>S/D</v>
      </c>
      <c r="J447" s="6">
        <f>IF(A447="","",SUMIFS(Movimientos!$K:$K,Movimientos!$H:$H,A447))</f>
        <v>0</v>
      </c>
      <c r="K447" s="14" t="str">
        <f t="shared" ca="1" si="15"/>
        <v>OK</v>
      </c>
    </row>
    <row r="448" spans="1:11">
      <c r="A448" s="18" t="s">
        <v>2521</v>
      </c>
      <c r="B448" s="3" t="str">
        <f>IFERROR(INDEX(Movimientos!$C$5:$C$2001,MATCH(A448&amp;"ENTRADA",Movimientos!$R$5:$R$2001,0)),"-")</f>
        <v>-</v>
      </c>
      <c r="C448" s="3" t="str">
        <f>IFERROR(INDEX(Movimientos!$D$5:$D$2001,MATCH(A448&amp;"ENTRADA",Movimientos!$R$5:$R$2001,0)),"-")</f>
        <v>-</v>
      </c>
      <c r="D448" s="3" t="str">
        <f>IFERROR(INDEX(Movimientos!$E$5:$E$2001,MATCH(A448&amp;"ENTRADA",Movimientos!$R$5:$R$2001,0)),"-")</f>
        <v>-</v>
      </c>
      <c r="E448" s="3" t="str">
        <f>IFERROR(INDEX(Movimientos!$F$5:$F$2001,MATCH(A448&amp;"ENTRADA",Movimientos!$R$5:$R$2001,0)),"-")</f>
        <v>-</v>
      </c>
      <c r="F448" s="3" t="str">
        <f>IFERROR(INDEX(Movimientos!$G$5:$G$2001,MATCH(A448&amp;"ENTRADA",Movimientos!$R$5:$R$2001,0)),"-")</f>
        <v>-</v>
      </c>
      <c r="G448" s="3" t="str">
        <f>IFERROR(INDEX(Movimientos!$L$5:$L$2001,MATCH(A448&amp;"ENTRADA",Movimientos!$R$5:$R$2001,0)),"-")</f>
        <v>-</v>
      </c>
      <c r="H448" s="19" t="str">
        <f>IFERROR(IF(INDEX(Movimientos!$M$5:$M$2001,MATCH(A448&amp;"ENTRADA",Movimientos!$R$5:$R$2001,0))=0,"S/D",INDEX(Movimientos!$M$5:$M$2001,MATCH(A448&amp;"ENTRADA",Movimientos!$R$5:$R$2001,0))),"S/D")</f>
        <v>S/D</v>
      </c>
      <c r="I448" s="16" t="str">
        <f t="shared" ca="1" si="14"/>
        <v>S/D</v>
      </c>
      <c r="J448" s="6">
        <f>IF(A448="","",SUMIFS(Movimientos!$K:$K,Movimientos!$H:$H,A448))</f>
        <v>0</v>
      </c>
      <c r="K448" s="14" t="str">
        <f t="shared" ca="1" si="15"/>
        <v>OK</v>
      </c>
    </row>
    <row r="449" spans="1:11">
      <c r="A449" s="18" t="s">
        <v>2522</v>
      </c>
      <c r="B449" s="3" t="str">
        <f>IFERROR(INDEX(Movimientos!$C$5:$C$2001,MATCH(A449&amp;"ENTRADA",Movimientos!$R$5:$R$2001,0)),"-")</f>
        <v>-</v>
      </c>
      <c r="C449" s="3" t="str">
        <f>IFERROR(INDEX(Movimientos!$D$5:$D$2001,MATCH(A449&amp;"ENTRADA",Movimientos!$R$5:$R$2001,0)),"-")</f>
        <v>-</v>
      </c>
      <c r="D449" s="3" t="str">
        <f>IFERROR(INDEX(Movimientos!$E$5:$E$2001,MATCH(A449&amp;"ENTRADA",Movimientos!$R$5:$R$2001,0)),"-")</f>
        <v>-</v>
      </c>
      <c r="E449" s="3" t="str">
        <f>IFERROR(INDEX(Movimientos!$F$5:$F$2001,MATCH(A449&amp;"ENTRADA",Movimientos!$R$5:$R$2001,0)),"-")</f>
        <v>-</v>
      </c>
      <c r="F449" s="3" t="str">
        <f>IFERROR(INDEX(Movimientos!$G$5:$G$2001,MATCH(A449&amp;"ENTRADA",Movimientos!$R$5:$R$2001,0)),"-")</f>
        <v>-</v>
      </c>
      <c r="G449" s="3" t="str">
        <f>IFERROR(INDEX(Movimientos!$L$5:$L$2001,MATCH(A449&amp;"ENTRADA",Movimientos!$R$5:$R$2001,0)),"-")</f>
        <v>-</v>
      </c>
      <c r="H449" s="19" t="str">
        <f>IFERROR(IF(INDEX(Movimientos!$M$5:$M$2001,MATCH(A449&amp;"ENTRADA",Movimientos!$R$5:$R$2001,0))=0,"S/D",INDEX(Movimientos!$M$5:$M$2001,MATCH(A449&amp;"ENTRADA",Movimientos!$R$5:$R$2001,0))),"S/D")</f>
        <v>S/D</v>
      </c>
      <c r="I449" s="16" t="str">
        <f t="shared" ca="1" si="14"/>
        <v>S/D</v>
      </c>
      <c r="J449" s="6">
        <f>IF(A449="","",SUMIFS(Movimientos!$K:$K,Movimientos!$H:$H,A449))</f>
        <v>0</v>
      </c>
      <c r="K449" s="14" t="str">
        <f t="shared" ca="1" si="15"/>
        <v>OK</v>
      </c>
    </row>
    <row r="450" spans="1:11">
      <c r="A450" s="18" t="s">
        <v>2523</v>
      </c>
      <c r="B450" s="3" t="str">
        <f>IFERROR(INDEX(Movimientos!$C$5:$C$2001,MATCH(A450&amp;"ENTRADA",Movimientos!$R$5:$R$2001,0)),"-")</f>
        <v>-</v>
      </c>
      <c r="C450" s="3" t="str">
        <f>IFERROR(INDEX(Movimientos!$D$5:$D$2001,MATCH(A450&amp;"ENTRADA",Movimientos!$R$5:$R$2001,0)),"-")</f>
        <v>-</v>
      </c>
      <c r="D450" s="3" t="str">
        <f>IFERROR(INDEX(Movimientos!$E$5:$E$2001,MATCH(A450&amp;"ENTRADA",Movimientos!$R$5:$R$2001,0)),"-")</f>
        <v>-</v>
      </c>
      <c r="E450" s="3" t="str">
        <f>IFERROR(INDEX(Movimientos!$F$5:$F$2001,MATCH(A450&amp;"ENTRADA",Movimientos!$R$5:$R$2001,0)),"-")</f>
        <v>-</v>
      </c>
      <c r="F450" s="3" t="str">
        <f>IFERROR(INDEX(Movimientos!$G$5:$G$2001,MATCH(A450&amp;"ENTRADA",Movimientos!$R$5:$R$2001,0)),"-")</f>
        <v>-</v>
      </c>
      <c r="G450" s="3" t="str">
        <f>IFERROR(INDEX(Movimientos!$L$5:$L$2001,MATCH(A450&amp;"ENTRADA",Movimientos!$R$5:$R$2001,0)),"-")</f>
        <v>-</v>
      </c>
      <c r="H450" s="19" t="str">
        <f>IFERROR(IF(INDEX(Movimientos!$M$5:$M$2001,MATCH(A450&amp;"ENTRADA",Movimientos!$R$5:$R$2001,0))=0,"S/D",INDEX(Movimientos!$M$5:$M$2001,MATCH(A450&amp;"ENTRADA",Movimientos!$R$5:$R$2001,0))),"S/D")</f>
        <v>S/D</v>
      </c>
      <c r="I450" s="16" t="str">
        <f t="shared" ca="1" si="14"/>
        <v>S/D</v>
      </c>
      <c r="J450" s="6">
        <f>IF(A450="","",SUMIFS(Movimientos!$K:$K,Movimientos!$H:$H,A450))</f>
        <v>0</v>
      </c>
      <c r="K450" s="14" t="str">
        <f t="shared" ca="1" si="15"/>
        <v>OK</v>
      </c>
    </row>
    <row r="451" spans="1:11">
      <c r="A451" s="18" t="s">
        <v>2524</v>
      </c>
      <c r="B451" s="3" t="str">
        <f>IFERROR(INDEX(Movimientos!$C$5:$C$2001,MATCH(A451&amp;"ENTRADA",Movimientos!$R$5:$R$2001,0)),"-")</f>
        <v>-</v>
      </c>
      <c r="C451" s="3" t="str">
        <f>IFERROR(INDEX(Movimientos!$D$5:$D$2001,MATCH(A451&amp;"ENTRADA",Movimientos!$R$5:$R$2001,0)),"-")</f>
        <v>-</v>
      </c>
      <c r="D451" s="3" t="str">
        <f>IFERROR(INDEX(Movimientos!$E$5:$E$2001,MATCH(A451&amp;"ENTRADA",Movimientos!$R$5:$R$2001,0)),"-")</f>
        <v>-</v>
      </c>
      <c r="E451" s="3" t="str">
        <f>IFERROR(INDEX(Movimientos!$F$5:$F$2001,MATCH(A451&amp;"ENTRADA",Movimientos!$R$5:$R$2001,0)),"-")</f>
        <v>-</v>
      </c>
      <c r="F451" s="3" t="str">
        <f>IFERROR(INDEX(Movimientos!$G$5:$G$2001,MATCH(A451&amp;"ENTRADA",Movimientos!$R$5:$R$2001,0)),"-")</f>
        <v>-</v>
      </c>
      <c r="G451" s="3" t="str">
        <f>IFERROR(INDEX(Movimientos!$L$5:$L$2001,MATCH(A451&amp;"ENTRADA",Movimientos!$R$5:$R$2001,0)),"-")</f>
        <v>-</v>
      </c>
      <c r="H451" s="19" t="str">
        <f>IFERROR(IF(INDEX(Movimientos!$M$5:$M$2001,MATCH(A451&amp;"ENTRADA",Movimientos!$R$5:$R$2001,0))=0,"S/D",INDEX(Movimientos!$M$5:$M$2001,MATCH(A451&amp;"ENTRADA",Movimientos!$R$5:$R$2001,0))),"S/D")</f>
        <v>S/D</v>
      </c>
      <c r="I451" s="16" t="str">
        <f t="shared" ca="1" si="14"/>
        <v>S/D</v>
      </c>
      <c r="J451" s="6">
        <f>IF(A451="","",SUMIFS(Movimientos!$K:$K,Movimientos!$H:$H,A451))</f>
        <v>0</v>
      </c>
      <c r="K451" s="14" t="str">
        <f t="shared" ca="1" si="15"/>
        <v>OK</v>
      </c>
    </row>
    <row r="452" spans="1:11">
      <c r="A452" s="18" t="s">
        <v>2525</v>
      </c>
      <c r="B452" s="3" t="str">
        <f>IFERROR(INDEX(Movimientos!$C$5:$C$2001,MATCH(A452&amp;"ENTRADA",Movimientos!$R$5:$R$2001,0)),"-")</f>
        <v>-</v>
      </c>
      <c r="C452" s="3" t="str">
        <f>IFERROR(INDEX(Movimientos!$D$5:$D$2001,MATCH(A452&amp;"ENTRADA",Movimientos!$R$5:$R$2001,0)),"-")</f>
        <v>-</v>
      </c>
      <c r="D452" s="3" t="str">
        <f>IFERROR(INDEX(Movimientos!$E$5:$E$2001,MATCH(A452&amp;"ENTRADA",Movimientos!$R$5:$R$2001,0)),"-")</f>
        <v>-</v>
      </c>
      <c r="E452" s="3" t="str">
        <f>IFERROR(INDEX(Movimientos!$F$5:$F$2001,MATCH(A452&amp;"ENTRADA",Movimientos!$R$5:$R$2001,0)),"-")</f>
        <v>-</v>
      </c>
      <c r="F452" s="3" t="str">
        <f>IFERROR(INDEX(Movimientos!$G$5:$G$2001,MATCH(A452&amp;"ENTRADA",Movimientos!$R$5:$R$2001,0)),"-")</f>
        <v>-</v>
      </c>
      <c r="G452" s="3" t="str">
        <f>IFERROR(INDEX(Movimientos!$L$5:$L$2001,MATCH(A452&amp;"ENTRADA",Movimientos!$R$5:$R$2001,0)),"-")</f>
        <v>-</v>
      </c>
      <c r="H452" s="19" t="str">
        <f>IFERROR(IF(INDEX(Movimientos!$M$5:$M$2001,MATCH(A452&amp;"ENTRADA",Movimientos!$R$5:$R$2001,0))=0,"S/D",INDEX(Movimientos!$M$5:$M$2001,MATCH(A452&amp;"ENTRADA",Movimientos!$R$5:$R$2001,0))),"S/D")</f>
        <v>S/D</v>
      </c>
      <c r="I452" s="16" t="str">
        <f t="shared" ca="1" si="14"/>
        <v>S/D</v>
      </c>
      <c r="J452" s="6">
        <f>IF(A452="","",SUMIFS(Movimientos!$K:$K,Movimientos!$H:$H,A452))</f>
        <v>0</v>
      </c>
      <c r="K452" s="14" t="str">
        <f t="shared" ca="1" si="15"/>
        <v>OK</v>
      </c>
    </row>
    <row r="453" spans="1:11">
      <c r="A453" s="18" t="s">
        <v>2526</v>
      </c>
      <c r="B453" s="3" t="str">
        <f>IFERROR(INDEX(Movimientos!$C$5:$C$2001,MATCH(A453&amp;"ENTRADA",Movimientos!$R$5:$R$2001,0)),"-")</f>
        <v>-</v>
      </c>
      <c r="C453" s="3" t="str">
        <f>IFERROR(INDEX(Movimientos!$D$5:$D$2001,MATCH(A453&amp;"ENTRADA",Movimientos!$R$5:$R$2001,0)),"-")</f>
        <v>-</v>
      </c>
      <c r="D453" s="3" t="str">
        <f>IFERROR(INDEX(Movimientos!$E$5:$E$2001,MATCH(A453&amp;"ENTRADA",Movimientos!$R$5:$R$2001,0)),"-")</f>
        <v>-</v>
      </c>
      <c r="E453" s="3" t="str">
        <f>IFERROR(INDEX(Movimientos!$F$5:$F$2001,MATCH(A453&amp;"ENTRADA",Movimientos!$R$5:$R$2001,0)),"-")</f>
        <v>-</v>
      </c>
      <c r="F453" s="3" t="str">
        <f>IFERROR(INDEX(Movimientos!$G$5:$G$2001,MATCH(A453&amp;"ENTRADA",Movimientos!$R$5:$R$2001,0)),"-")</f>
        <v>-</v>
      </c>
      <c r="G453" s="3" t="str">
        <f>IFERROR(INDEX(Movimientos!$L$5:$L$2001,MATCH(A453&amp;"ENTRADA",Movimientos!$R$5:$R$2001,0)),"-")</f>
        <v>-</v>
      </c>
      <c r="H453" s="19" t="str">
        <f>IFERROR(IF(INDEX(Movimientos!$M$5:$M$2001,MATCH(A453&amp;"ENTRADA",Movimientos!$R$5:$R$2001,0))=0,"S/D",INDEX(Movimientos!$M$5:$M$2001,MATCH(A453&amp;"ENTRADA",Movimientos!$R$5:$R$2001,0))),"S/D")</f>
        <v>S/D</v>
      </c>
      <c r="I453" s="16" t="str">
        <f t="shared" ca="1" si="14"/>
        <v>S/D</v>
      </c>
      <c r="J453" s="6">
        <f>IF(A453="","",SUMIFS(Movimientos!$K:$K,Movimientos!$H:$H,A453))</f>
        <v>0</v>
      </c>
      <c r="K453" s="14" t="str">
        <f t="shared" ca="1" si="15"/>
        <v>OK</v>
      </c>
    </row>
    <row r="454" spans="1:11">
      <c r="A454" s="18" t="s">
        <v>2527</v>
      </c>
      <c r="B454" s="3" t="str">
        <f>IFERROR(INDEX(Movimientos!$C$5:$C$2001,MATCH(A454&amp;"ENTRADA",Movimientos!$R$5:$R$2001,0)),"-")</f>
        <v>-</v>
      </c>
      <c r="C454" s="3" t="str">
        <f>IFERROR(INDEX(Movimientos!$D$5:$D$2001,MATCH(A454&amp;"ENTRADA",Movimientos!$R$5:$R$2001,0)),"-")</f>
        <v>-</v>
      </c>
      <c r="D454" s="3" t="str">
        <f>IFERROR(INDEX(Movimientos!$E$5:$E$2001,MATCH(A454&amp;"ENTRADA",Movimientos!$R$5:$R$2001,0)),"-")</f>
        <v>-</v>
      </c>
      <c r="E454" s="3" t="str">
        <f>IFERROR(INDEX(Movimientos!$F$5:$F$2001,MATCH(A454&amp;"ENTRADA",Movimientos!$R$5:$R$2001,0)),"-")</f>
        <v>-</v>
      </c>
      <c r="F454" s="3" t="str">
        <f>IFERROR(INDEX(Movimientos!$G$5:$G$2001,MATCH(A454&amp;"ENTRADA",Movimientos!$R$5:$R$2001,0)),"-")</f>
        <v>-</v>
      </c>
      <c r="G454" s="3" t="str">
        <f>IFERROR(INDEX(Movimientos!$L$5:$L$2001,MATCH(A454&amp;"ENTRADA",Movimientos!$R$5:$R$2001,0)),"-")</f>
        <v>-</v>
      </c>
      <c r="H454" s="19" t="str">
        <f>IFERROR(IF(INDEX(Movimientos!$M$5:$M$2001,MATCH(A454&amp;"ENTRADA",Movimientos!$R$5:$R$2001,0))=0,"S/D",INDEX(Movimientos!$M$5:$M$2001,MATCH(A454&amp;"ENTRADA",Movimientos!$R$5:$R$2001,0))),"S/D")</f>
        <v>S/D</v>
      </c>
      <c r="I454" s="16" t="str">
        <f t="shared" ca="1" si="14"/>
        <v>S/D</v>
      </c>
      <c r="J454" s="6">
        <f>IF(A454="","",SUMIFS(Movimientos!$K:$K,Movimientos!$H:$H,A454))</f>
        <v>0</v>
      </c>
      <c r="K454" s="14" t="str">
        <f t="shared" ca="1" si="15"/>
        <v>OK</v>
      </c>
    </row>
    <row r="455" spans="1:11">
      <c r="A455" s="18" t="s">
        <v>2528</v>
      </c>
      <c r="B455" s="3" t="str">
        <f>IFERROR(INDEX(Movimientos!$C$5:$C$2001,MATCH(A455&amp;"ENTRADA",Movimientos!$R$5:$R$2001,0)),"-")</f>
        <v>-</v>
      </c>
      <c r="C455" s="3" t="str">
        <f>IFERROR(INDEX(Movimientos!$D$5:$D$2001,MATCH(A455&amp;"ENTRADA",Movimientos!$R$5:$R$2001,0)),"-")</f>
        <v>-</v>
      </c>
      <c r="D455" s="3" t="str">
        <f>IFERROR(INDEX(Movimientos!$E$5:$E$2001,MATCH(A455&amp;"ENTRADA",Movimientos!$R$5:$R$2001,0)),"-")</f>
        <v>-</v>
      </c>
      <c r="E455" s="3" t="str">
        <f>IFERROR(INDEX(Movimientos!$F$5:$F$2001,MATCH(A455&amp;"ENTRADA",Movimientos!$R$5:$R$2001,0)),"-")</f>
        <v>-</v>
      </c>
      <c r="F455" s="3" t="str">
        <f>IFERROR(INDEX(Movimientos!$G$5:$G$2001,MATCH(A455&amp;"ENTRADA",Movimientos!$R$5:$R$2001,0)),"-")</f>
        <v>-</v>
      </c>
      <c r="G455" s="3" t="str">
        <f>IFERROR(INDEX(Movimientos!$L$5:$L$2001,MATCH(A455&amp;"ENTRADA",Movimientos!$R$5:$R$2001,0)),"-")</f>
        <v>-</v>
      </c>
      <c r="H455" s="19" t="str">
        <f>IFERROR(IF(INDEX(Movimientos!$M$5:$M$2001,MATCH(A455&amp;"ENTRADA",Movimientos!$R$5:$R$2001,0))=0,"S/D",INDEX(Movimientos!$M$5:$M$2001,MATCH(A455&amp;"ENTRADA",Movimientos!$R$5:$R$2001,0))),"S/D")</f>
        <v>S/D</v>
      </c>
      <c r="I455" s="16" t="str">
        <f t="shared" ca="1" si="14"/>
        <v>S/D</v>
      </c>
      <c r="J455" s="6">
        <f>IF(A455="","",SUMIFS(Movimientos!$K:$K,Movimientos!$H:$H,A455))</f>
        <v>0</v>
      </c>
      <c r="K455" s="14" t="str">
        <f t="shared" ca="1" si="15"/>
        <v>OK</v>
      </c>
    </row>
    <row r="456" spans="1:11">
      <c r="A456" s="18" t="s">
        <v>2529</v>
      </c>
      <c r="B456" s="3" t="str">
        <f>IFERROR(INDEX(Movimientos!$C$5:$C$2001,MATCH(A456&amp;"ENTRADA",Movimientos!$R$5:$R$2001,0)),"-")</f>
        <v>-</v>
      </c>
      <c r="C456" s="3" t="str">
        <f>IFERROR(INDEX(Movimientos!$D$5:$D$2001,MATCH(A456&amp;"ENTRADA",Movimientos!$R$5:$R$2001,0)),"-")</f>
        <v>-</v>
      </c>
      <c r="D456" s="3" t="str">
        <f>IFERROR(INDEX(Movimientos!$E$5:$E$2001,MATCH(A456&amp;"ENTRADA",Movimientos!$R$5:$R$2001,0)),"-")</f>
        <v>-</v>
      </c>
      <c r="E456" s="3" t="str">
        <f>IFERROR(INDEX(Movimientos!$F$5:$F$2001,MATCH(A456&amp;"ENTRADA",Movimientos!$R$5:$R$2001,0)),"-")</f>
        <v>-</v>
      </c>
      <c r="F456" s="3" t="str">
        <f>IFERROR(INDEX(Movimientos!$G$5:$G$2001,MATCH(A456&amp;"ENTRADA",Movimientos!$R$5:$R$2001,0)),"-")</f>
        <v>-</v>
      </c>
      <c r="G456" s="3" t="str">
        <f>IFERROR(INDEX(Movimientos!$L$5:$L$2001,MATCH(A456&amp;"ENTRADA",Movimientos!$R$5:$R$2001,0)),"-")</f>
        <v>-</v>
      </c>
      <c r="H456" s="19" t="str">
        <f>IFERROR(IF(INDEX(Movimientos!$M$5:$M$2001,MATCH(A456&amp;"ENTRADA",Movimientos!$R$5:$R$2001,0))=0,"S/D",INDEX(Movimientos!$M$5:$M$2001,MATCH(A456&amp;"ENTRADA",Movimientos!$R$5:$R$2001,0))),"S/D")</f>
        <v>S/D</v>
      </c>
      <c r="I456" s="16" t="str">
        <f t="shared" ca="1" si="14"/>
        <v>S/D</v>
      </c>
      <c r="J456" s="6">
        <f>IF(A456="","",SUMIFS(Movimientos!$K:$K,Movimientos!$H:$H,A456))</f>
        <v>0</v>
      </c>
      <c r="K456" s="14" t="str">
        <f t="shared" ca="1" si="15"/>
        <v>OK</v>
      </c>
    </row>
    <row r="457" spans="1:11">
      <c r="A457" s="18" t="s">
        <v>2530</v>
      </c>
      <c r="B457" s="3" t="str">
        <f>IFERROR(INDEX(Movimientos!$C$5:$C$2001,MATCH(A457&amp;"ENTRADA",Movimientos!$R$5:$R$2001,0)),"-")</f>
        <v>-</v>
      </c>
      <c r="C457" s="3" t="str">
        <f>IFERROR(INDEX(Movimientos!$D$5:$D$2001,MATCH(A457&amp;"ENTRADA",Movimientos!$R$5:$R$2001,0)),"-")</f>
        <v>-</v>
      </c>
      <c r="D457" s="3" t="str">
        <f>IFERROR(INDEX(Movimientos!$E$5:$E$2001,MATCH(A457&amp;"ENTRADA",Movimientos!$R$5:$R$2001,0)),"-")</f>
        <v>-</v>
      </c>
      <c r="E457" s="3" t="str">
        <f>IFERROR(INDEX(Movimientos!$F$5:$F$2001,MATCH(A457&amp;"ENTRADA",Movimientos!$R$5:$R$2001,0)),"-")</f>
        <v>-</v>
      </c>
      <c r="F457" s="3" t="str">
        <f>IFERROR(INDEX(Movimientos!$G$5:$G$2001,MATCH(A457&amp;"ENTRADA",Movimientos!$R$5:$R$2001,0)),"-")</f>
        <v>-</v>
      </c>
      <c r="G457" s="3" t="str">
        <f>IFERROR(INDEX(Movimientos!$L$5:$L$2001,MATCH(A457&amp;"ENTRADA",Movimientos!$R$5:$R$2001,0)),"-")</f>
        <v>-</v>
      </c>
      <c r="H457" s="19" t="str">
        <f>IFERROR(IF(INDEX(Movimientos!$M$5:$M$2001,MATCH(A457&amp;"ENTRADA",Movimientos!$R$5:$R$2001,0))=0,"S/D",INDEX(Movimientos!$M$5:$M$2001,MATCH(A457&amp;"ENTRADA",Movimientos!$R$5:$R$2001,0))),"S/D")</f>
        <v>S/D</v>
      </c>
      <c r="I457" s="16" t="str">
        <f t="shared" ca="1" si="14"/>
        <v>S/D</v>
      </c>
      <c r="J457" s="6">
        <f>IF(A457="","",SUMIFS(Movimientos!$K:$K,Movimientos!$H:$H,A457))</f>
        <v>0</v>
      </c>
      <c r="K457" s="14" t="str">
        <f t="shared" ca="1" si="15"/>
        <v>OK</v>
      </c>
    </row>
    <row r="458" spans="1:11">
      <c r="A458" s="18" t="s">
        <v>2531</v>
      </c>
      <c r="B458" s="3" t="str">
        <f>IFERROR(INDEX(Movimientos!$C$5:$C$2001,MATCH(A458&amp;"ENTRADA",Movimientos!$R$5:$R$2001,0)),"-")</f>
        <v>-</v>
      </c>
      <c r="C458" s="3" t="str">
        <f>IFERROR(INDEX(Movimientos!$D$5:$D$2001,MATCH(A458&amp;"ENTRADA",Movimientos!$R$5:$R$2001,0)),"-")</f>
        <v>-</v>
      </c>
      <c r="D458" s="3" t="str">
        <f>IFERROR(INDEX(Movimientos!$E$5:$E$2001,MATCH(A458&amp;"ENTRADA",Movimientos!$R$5:$R$2001,0)),"-")</f>
        <v>-</v>
      </c>
      <c r="E458" s="3" t="str">
        <f>IFERROR(INDEX(Movimientos!$F$5:$F$2001,MATCH(A458&amp;"ENTRADA",Movimientos!$R$5:$R$2001,0)),"-")</f>
        <v>-</v>
      </c>
      <c r="F458" s="3" t="str">
        <f>IFERROR(INDEX(Movimientos!$G$5:$G$2001,MATCH(A458&amp;"ENTRADA",Movimientos!$R$5:$R$2001,0)),"-")</f>
        <v>-</v>
      </c>
      <c r="G458" s="3" t="str">
        <f>IFERROR(INDEX(Movimientos!$L$5:$L$2001,MATCH(A458&amp;"ENTRADA",Movimientos!$R$5:$R$2001,0)),"-")</f>
        <v>-</v>
      </c>
      <c r="H458" s="19" t="str">
        <f>IFERROR(IF(INDEX(Movimientos!$M$5:$M$2001,MATCH(A458&amp;"ENTRADA",Movimientos!$R$5:$R$2001,0))=0,"S/D",INDEX(Movimientos!$M$5:$M$2001,MATCH(A458&amp;"ENTRADA",Movimientos!$R$5:$R$2001,0))),"S/D")</f>
        <v>S/D</v>
      </c>
      <c r="I458" s="16" t="str">
        <f t="shared" ca="1" si="14"/>
        <v>S/D</v>
      </c>
      <c r="J458" s="6">
        <f>IF(A458="","",SUMIFS(Movimientos!$K:$K,Movimientos!$H:$H,A458))</f>
        <v>0</v>
      </c>
      <c r="K458" s="14" t="str">
        <f t="shared" ca="1" si="15"/>
        <v>OK</v>
      </c>
    </row>
    <row r="459" spans="1:11">
      <c r="A459" s="18" t="s">
        <v>2532</v>
      </c>
      <c r="B459" s="3" t="str">
        <f>IFERROR(INDEX(Movimientos!$C$5:$C$2001,MATCH(A459&amp;"ENTRADA",Movimientos!$R$5:$R$2001,0)),"-")</f>
        <v>-</v>
      </c>
      <c r="C459" s="3" t="str">
        <f>IFERROR(INDEX(Movimientos!$D$5:$D$2001,MATCH(A459&amp;"ENTRADA",Movimientos!$R$5:$R$2001,0)),"-")</f>
        <v>-</v>
      </c>
      <c r="D459" s="3" t="str">
        <f>IFERROR(INDEX(Movimientos!$E$5:$E$2001,MATCH(A459&amp;"ENTRADA",Movimientos!$R$5:$R$2001,0)),"-")</f>
        <v>-</v>
      </c>
      <c r="E459" s="3" t="str">
        <f>IFERROR(INDEX(Movimientos!$F$5:$F$2001,MATCH(A459&amp;"ENTRADA",Movimientos!$R$5:$R$2001,0)),"-")</f>
        <v>-</v>
      </c>
      <c r="F459" s="3" t="str">
        <f>IFERROR(INDEX(Movimientos!$G$5:$G$2001,MATCH(A459&amp;"ENTRADA",Movimientos!$R$5:$R$2001,0)),"-")</f>
        <v>-</v>
      </c>
      <c r="G459" s="3" t="str">
        <f>IFERROR(INDEX(Movimientos!$L$5:$L$2001,MATCH(A459&amp;"ENTRADA",Movimientos!$R$5:$R$2001,0)),"-")</f>
        <v>-</v>
      </c>
      <c r="H459" s="19" t="str">
        <f>IFERROR(IF(INDEX(Movimientos!$M$5:$M$2001,MATCH(A459&amp;"ENTRADA",Movimientos!$R$5:$R$2001,0))=0,"S/D",INDEX(Movimientos!$M$5:$M$2001,MATCH(A459&amp;"ENTRADA",Movimientos!$R$5:$R$2001,0))),"S/D")</f>
        <v>S/D</v>
      </c>
      <c r="I459" s="16" t="str">
        <f t="shared" ref="I459:I522" ca="1" si="16">IF(OR(A459="",H459="S/D"),"S/D",H459-TODAY())</f>
        <v>S/D</v>
      </c>
      <c r="J459" s="6">
        <f>IF(A459="","",SUMIFS(Movimientos!$K:$K,Movimientos!$H:$H,A459))</f>
        <v>0</v>
      </c>
      <c r="K459" s="14" t="str">
        <f t="shared" ref="K459:K522" ca="1" si="17">IF(A459="","",IF(H459="S/D","OK",IF(H459&lt;TODAY(),"VENCIDO",IF(J459&lt;=0,"SIN STOCK",IF(I459&gt;=180,"OK","PRÓXIMO A VENCER")))))</f>
        <v>OK</v>
      </c>
    </row>
    <row r="460" spans="1:11">
      <c r="A460" s="18" t="s">
        <v>2533</v>
      </c>
      <c r="B460" s="3" t="str">
        <f>IFERROR(INDEX(Movimientos!$C$5:$C$2001,MATCH(A460&amp;"ENTRADA",Movimientos!$R$5:$R$2001,0)),"-")</f>
        <v>-</v>
      </c>
      <c r="C460" s="3" t="str">
        <f>IFERROR(INDEX(Movimientos!$D$5:$D$2001,MATCH(A460&amp;"ENTRADA",Movimientos!$R$5:$R$2001,0)),"-")</f>
        <v>-</v>
      </c>
      <c r="D460" s="3" t="str">
        <f>IFERROR(INDEX(Movimientos!$E$5:$E$2001,MATCH(A460&amp;"ENTRADA",Movimientos!$R$5:$R$2001,0)),"-")</f>
        <v>-</v>
      </c>
      <c r="E460" s="3" t="str">
        <f>IFERROR(INDEX(Movimientos!$F$5:$F$2001,MATCH(A460&amp;"ENTRADA",Movimientos!$R$5:$R$2001,0)),"-")</f>
        <v>-</v>
      </c>
      <c r="F460" s="3" t="str">
        <f>IFERROR(INDEX(Movimientos!$G$5:$G$2001,MATCH(A460&amp;"ENTRADA",Movimientos!$R$5:$R$2001,0)),"-")</f>
        <v>-</v>
      </c>
      <c r="G460" s="3" t="str">
        <f>IFERROR(INDEX(Movimientos!$L$5:$L$2001,MATCH(A460&amp;"ENTRADA",Movimientos!$R$5:$R$2001,0)),"-")</f>
        <v>-</v>
      </c>
      <c r="H460" s="19" t="str">
        <f>IFERROR(IF(INDEX(Movimientos!$M$5:$M$2001,MATCH(A460&amp;"ENTRADA",Movimientos!$R$5:$R$2001,0))=0,"S/D",INDEX(Movimientos!$M$5:$M$2001,MATCH(A460&amp;"ENTRADA",Movimientos!$R$5:$R$2001,0))),"S/D")</f>
        <v>S/D</v>
      </c>
      <c r="I460" s="16" t="str">
        <f t="shared" ca="1" si="16"/>
        <v>S/D</v>
      </c>
      <c r="J460" s="6">
        <f>IF(A460="","",SUMIFS(Movimientos!$K:$K,Movimientos!$H:$H,A460))</f>
        <v>0</v>
      </c>
      <c r="K460" s="14" t="str">
        <f t="shared" ca="1" si="17"/>
        <v>OK</v>
      </c>
    </row>
    <row r="461" spans="1:11">
      <c r="A461" s="18" t="s">
        <v>2534</v>
      </c>
      <c r="B461" s="3" t="str">
        <f>IFERROR(INDEX(Movimientos!$C$5:$C$2001,MATCH(A461&amp;"ENTRADA",Movimientos!$R$5:$R$2001,0)),"-")</f>
        <v>-</v>
      </c>
      <c r="C461" s="3" t="str">
        <f>IFERROR(INDEX(Movimientos!$D$5:$D$2001,MATCH(A461&amp;"ENTRADA",Movimientos!$R$5:$R$2001,0)),"-")</f>
        <v>-</v>
      </c>
      <c r="D461" s="3" t="str">
        <f>IFERROR(INDEX(Movimientos!$E$5:$E$2001,MATCH(A461&amp;"ENTRADA",Movimientos!$R$5:$R$2001,0)),"-")</f>
        <v>-</v>
      </c>
      <c r="E461" s="3" t="str">
        <f>IFERROR(INDEX(Movimientos!$F$5:$F$2001,MATCH(A461&amp;"ENTRADA",Movimientos!$R$5:$R$2001,0)),"-")</f>
        <v>-</v>
      </c>
      <c r="F461" s="3" t="str">
        <f>IFERROR(INDEX(Movimientos!$G$5:$G$2001,MATCH(A461&amp;"ENTRADA",Movimientos!$R$5:$R$2001,0)),"-")</f>
        <v>-</v>
      </c>
      <c r="G461" s="3" t="str">
        <f>IFERROR(INDEX(Movimientos!$L$5:$L$2001,MATCH(A461&amp;"ENTRADA",Movimientos!$R$5:$R$2001,0)),"-")</f>
        <v>-</v>
      </c>
      <c r="H461" s="19" t="str">
        <f>IFERROR(IF(INDEX(Movimientos!$M$5:$M$2001,MATCH(A461&amp;"ENTRADA",Movimientos!$R$5:$R$2001,0))=0,"S/D",INDEX(Movimientos!$M$5:$M$2001,MATCH(A461&amp;"ENTRADA",Movimientos!$R$5:$R$2001,0))),"S/D")</f>
        <v>S/D</v>
      </c>
      <c r="I461" s="16" t="str">
        <f t="shared" ca="1" si="16"/>
        <v>S/D</v>
      </c>
      <c r="J461" s="6">
        <f>IF(A461="","",SUMIFS(Movimientos!$K:$K,Movimientos!$H:$H,A461))</f>
        <v>0</v>
      </c>
      <c r="K461" s="14" t="str">
        <f t="shared" ca="1" si="17"/>
        <v>OK</v>
      </c>
    </row>
    <row r="462" spans="1:11">
      <c r="A462" s="18" t="s">
        <v>2535</v>
      </c>
      <c r="B462" s="3" t="str">
        <f>IFERROR(INDEX(Movimientos!$C$5:$C$2001,MATCH(A462&amp;"ENTRADA",Movimientos!$R$5:$R$2001,0)),"-")</f>
        <v>-</v>
      </c>
      <c r="C462" s="3" t="str">
        <f>IFERROR(INDEX(Movimientos!$D$5:$D$2001,MATCH(A462&amp;"ENTRADA",Movimientos!$R$5:$R$2001,0)),"-")</f>
        <v>-</v>
      </c>
      <c r="D462" s="3" t="str">
        <f>IFERROR(INDEX(Movimientos!$E$5:$E$2001,MATCH(A462&amp;"ENTRADA",Movimientos!$R$5:$R$2001,0)),"-")</f>
        <v>-</v>
      </c>
      <c r="E462" s="3" t="str">
        <f>IFERROR(INDEX(Movimientos!$F$5:$F$2001,MATCH(A462&amp;"ENTRADA",Movimientos!$R$5:$R$2001,0)),"-")</f>
        <v>-</v>
      </c>
      <c r="F462" s="3" t="str">
        <f>IFERROR(INDEX(Movimientos!$G$5:$G$2001,MATCH(A462&amp;"ENTRADA",Movimientos!$R$5:$R$2001,0)),"-")</f>
        <v>-</v>
      </c>
      <c r="G462" s="3" t="str">
        <f>IFERROR(INDEX(Movimientos!$L$5:$L$2001,MATCH(A462&amp;"ENTRADA",Movimientos!$R$5:$R$2001,0)),"-")</f>
        <v>-</v>
      </c>
      <c r="H462" s="19" t="str">
        <f>IFERROR(IF(INDEX(Movimientos!$M$5:$M$2001,MATCH(A462&amp;"ENTRADA",Movimientos!$R$5:$R$2001,0))=0,"S/D",INDEX(Movimientos!$M$5:$M$2001,MATCH(A462&amp;"ENTRADA",Movimientos!$R$5:$R$2001,0))),"S/D")</f>
        <v>S/D</v>
      </c>
      <c r="I462" s="16" t="str">
        <f t="shared" ca="1" si="16"/>
        <v>S/D</v>
      </c>
      <c r="J462" s="6">
        <f>IF(A462="","",SUMIFS(Movimientos!$K:$K,Movimientos!$H:$H,A462))</f>
        <v>0</v>
      </c>
      <c r="K462" s="14" t="str">
        <f t="shared" ca="1" si="17"/>
        <v>OK</v>
      </c>
    </row>
    <row r="463" spans="1:11">
      <c r="A463" s="18" t="s">
        <v>2536</v>
      </c>
      <c r="B463" s="3" t="str">
        <f>IFERROR(INDEX(Movimientos!$C$5:$C$2001,MATCH(A463&amp;"ENTRADA",Movimientos!$R$5:$R$2001,0)),"-")</f>
        <v>-</v>
      </c>
      <c r="C463" s="3" t="str">
        <f>IFERROR(INDEX(Movimientos!$D$5:$D$2001,MATCH(A463&amp;"ENTRADA",Movimientos!$R$5:$R$2001,0)),"-")</f>
        <v>-</v>
      </c>
      <c r="D463" s="3" t="str">
        <f>IFERROR(INDEX(Movimientos!$E$5:$E$2001,MATCH(A463&amp;"ENTRADA",Movimientos!$R$5:$R$2001,0)),"-")</f>
        <v>-</v>
      </c>
      <c r="E463" s="3" t="str">
        <f>IFERROR(INDEX(Movimientos!$F$5:$F$2001,MATCH(A463&amp;"ENTRADA",Movimientos!$R$5:$R$2001,0)),"-")</f>
        <v>-</v>
      </c>
      <c r="F463" s="3" t="str">
        <f>IFERROR(INDEX(Movimientos!$G$5:$G$2001,MATCH(A463&amp;"ENTRADA",Movimientos!$R$5:$R$2001,0)),"-")</f>
        <v>-</v>
      </c>
      <c r="G463" s="3" t="str">
        <f>IFERROR(INDEX(Movimientos!$L$5:$L$2001,MATCH(A463&amp;"ENTRADA",Movimientos!$R$5:$R$2001,0)),"-")</f>
        <v>-</v>
      </c>
      <c r="H463" s="19" t="str">
        <f>IFERROR(IF(INDEX(Movimientos!$M$5:$M$2001,MATCH(A463&amp;"ENTRADA",Movimientos!$R$5:$R$2001,0))=0,"S/D",INDEX(Movimientos!$M$5:$M$2001,MATCH(A463&amp;"ENTRADA",Movimientos!$R$5:$R$2001,0))),"S/D")</f>
        <v>S/D</v>
      </c>
      <c r="I463" s="16" t="str">
        <f t="shared" ca="1" si="16"/>
        <v>S/D</v>
      </c>
      <c r="J463" s="6">
        <f>IF(A463="","",SUMIFS(Movimientos!$K:$K,Movimientos!$H:$H,A463))</f>
        <v>0</v>
      </c>
      <c r="K463" s="14" t="str">
        <f t="shared" ca="1" si="17"/>
        <v>OK</v>
      </c>
    </row>
    <row r="464" spans="1:11">
      <c r="A464" s="18" t="s">
        <v>2537</v>
      </c>
      <c r="B464" s="3" t="str">
        <f>IFERROR(INDEX(Movimientos!$C$5:$C$2001,MATCH(A464&amp;"ENTRADA",Movimientos!$R$5:$R$2001,0)),"-")</f>
        <v>-</v>
      </c>
      <c r="C464" s="3" t="str">
        <f>IFERROR(INDEX(Movimientos!$D$5:$D$2001,MATCH(A464&amp;"ENTRADA",Movimientos!$R$5:$R$2001,0)),"-")</f>
        <v>-</v>
      </c>
      <c r="D464" s="3" t="str">
        <f>IFERROR(INDEX(Movimientos!$E$5:$E$2001,MATCH(A464&amp;"ENTRADA",Movimientos!$R$5:$R$2001,0)),"-")</f>
        <v>-</v>
      </c>
      <c r="E464" s="3" t="str">
        <f>IFERROR(INDEX(Movimientos!$F$5:$F$2001,MATCH(A464&amp;"ENTRADA",Movimientos!$R$5:$R$2001,0)),"-")</f>
        <v>-</v>
      </c>
      <c r="F464" s="3" t="str">
        <f>IFERROR(INDEX(Movimientos!$G$5:$G$2001,MATCH(A464&amp;"ENTRADA",Movimientos!$R$5:$R$2001,0)),"-")</f>
        <v>-</v>
      </c>
      <c r="G464" s="3" t="str">
        <f>IFERROR(INDEX(Movimientos!$L$5:$L$2001,MATCH(A464&amp;"ENTRADA",Movimientos!$R$5:$R$2001,0)),"-")</f>
        <v>-</v>
      </c>
      <c r="H464" s="19" t="str">
        <f>IFERROR(IF(INDEX(Movimientos!$M$5:$M$2001,MATCH(A464&amp;"ENTRADA",Movimientos!$R$5:$R$2001,0))=0,"S/D",INDEX(Movimientos!$M$5:$M$2001,MATCH(A464&amp;"ENTRADA",Movimientos!$R$5:$R$2001,0))),"S/D")</f>
        <v>S/D</v>
      </c>
      <c r="I464" s="16" t="str">
        <f t="shared" ca="1" si="16"/>
        <v>S/D</v>
      </c>
      <c r="J464" s="6">
        <f>IF(A464="","",SUMIFS(Movimientos!$K:$K,Movimientos!$H:$H,A464))</f>
        <v>0</v>
      </c>
      <c r="K464" s="14" t="str">
        <f t="shared" ca="1" si="17"/>
        <v>OK</v>
      </c>
    </row>
    <row r="465" spans="1:11">
      <c r="A465" s="18" t="s">
        <v>2538</v>
      </c>
      <c r="B465" s="3" t="str">
        <f>IFERROR(INDEX(Movimientos!$C$5:$C$2001,MATCH(A465&amp;"ENTRADA",Movimientos!$R$5:$R$2001,0)),"-")</f>
        <v>-</v>
      </c>
      <c r="C465" s="3" t="str">
        <f>IFERROR(INDEX(Movimientos!$D$5:$D$2001,MATCH(A465&amp;"ENTRADA",Movimientos!$R$5:$R$2001,0)),"-")</f>
        <v>-</v>
      </c>
      <c r="D465" s="3" t="str">
        <f>IFERROR(INDEX(Movimientos!$E$5:$E$2001,MATCH(A465&amp;"ENTRADA",Movimientos!$R$5:$R$2001,0)),"-")</f>
        <v>-</v>
      </c>
      <c r="E465" s="3" t="str">
        <f>IFERROR(INDEX(Movimientos!$F$5:$F$2001,MATCH(A465&amp;"ENTRADA",Movimientos!$R$5:$R$2001,0)),"-")</f>
        <v>-</v>
      </c>
      <c r="F465" s="3" t="str">
        <f>IFERROR(INDEX(Movimientos!$G$5:$G$2001,MATCH(A465&amp;"ENTRADA",Movimientos!$R$5:$R$2001,0)),"-")</f>
        <v>-</v>
      </c>
      <c r="G465" s="3" t="str">
        <f>IFERROR(INDEX(Movimientos!$L$5:$L$2001,MATCH(A465&amp;"ENTRADA",Movimientos!$R$5:$R$2001,0)),"-")</f>
        <v>-</v>
      </c>
      <c r="H465" s="19" t="str">
        <f>IFERROR(IF(INDEX(Movimientos!$M$5:$M$2001,MATCH(A465&amp;"ENTRADA",Movimientos!$R$5:$R$2001,0))=0,"S/D",INDEX(Movimientos!$M$5:$M$2001,MATCH(A465&amp;"ENTRADA",Movimientos!$R$5:$R$2001,0))),"S/D")</f>
        <v>S/D</v>
      </c>
      <c r="I465" s="16" t="str">
        <f t="shared" ca="1" si="16"/>
        <v>S/D</v>
      </c>
      <c r="J465" s="6">
        <f>IF(A465="","",SUMIFS(Movimientos!$K:$K,Movimientos!$H:$H,A465))</f>
        <v>0</v>
      </c>
      <c r="K465" s="14" t="str">
        <f t="shared" ca="1" si="17"/>
        <v>OK</v>
      </c>
    </row>
    <row r="466" spans="1:11">
      <c r="A466" s="18" t="s">
        <v>2539</v>
      </c>
      <c r="B466" s="3" t="str">
        <f>IFERROR(INDEX(Movimientos!$C$5:$C$2001,MATCH(A466&amp;"ENTRADA",Movimientos!$R$5:$R$2001,0)),"-")</f>
        <v>-</v>
      </c>
      <c r="C466" s="3" t="str">
        <f>IFERROR(INDEX(Movimientos!$D$5:$D$2001,MATCH(A466&amp;"ENTRADA",Movimientos!$R$5:$R$2001,0)),"-")</f>
        <v>-</v>
      </c>
      <c r="D466" s="3" t="str">
        <f>IFERROR(INDEX(Movimientos!$E$5:$E$2001,MATCH(A466&amp;"ENTRADA",Movimientos!$R$5:$R$2001,0)),"-")</f>
        <v>-</v>
      </c>
      <c r="E466" s="3" t="str">
        <f>IFERROR(INDEX(Movimientos!$F$5:$F$2001,MATCH(A466&amp;"ENTRADA",Movimientos!$R$5:$R$2001,0)),"-")</f>
        <v>-</v>
      </c>
      <c r="F466" s="3" t="str">
        <f>IFERROR(INDEX(Movimientos!$G$5:$G$2001,MATCH(A466&amp;"ENTRADA",Movimientos!$R$5:$R$2001,0)),"-")</f>
        <v>-</v>
      </c>
      <c r="G466" s="3" t="str">
        <f>IFERROR(INDEX(Movimientos!$L$5:$L$2001,MATCH(A466&amp;"ENTRADA",Movimientos!$R$5:$R$2001,0)),"-")</f>
        <v>-</v>
      </c>
      <c r="H466" s="19" t="str">
        <f>IFERROR(IF(INDEX(Movimientos!$M$5:$M$2001,MATCH(A466&amp;"ENTRADA",Movimientos!$R$5:$R$2001,0))=0,"S/D",INDEX(Movimientos!$M$5:$M$2001,MATCH(A466&amp;"ENTRADA",Movimientos!$R$5:$R$2001,0))),"S/D")</f>
        <v>S/D</v>
      </c>
      <c r="I466" s="16" t="str">
        <f t="shared" ca="1" si="16"/>
        <v>S/D</v>
      </c>
      <c r="J466" s="6">
        <f>IF(A466="","",SUMIFS(Movimientos!$K:$K,Movimientos!$H:$H,A466))</f>
        <v>0</v>
      </c>
      <c r="K466" s="14" t="str">
        <f t="shared" ca="1" si="17"/>
        <v>OK</v>
      </c>
    </row>
    <row r="467" spans="1:11">
      <c r="A467" s="18" t="s">
        <v>2540</v>
      </c>
      <c r="B467" s="3" t="str">
        <f>IFERROR(INDEX(Movimientos!$C$5:$C$2001,MATCH(A467&amp;"ENTRADA",Movimientos!$R$5:$R$2001,0)),"-")</f>
        <v>-</v>
      </c>
      <c r="C467" s="3" t="str">
        <f>IFERROR(INDEX(Movimientos!$D$5:$D$2001,MATCH(A467&amp;"ENTRADA",Movimientos!$R$5:$R$2001,0)),"-")</f>
        <v>-</v>
      </c>
      <c r="D467" s="3" t="str">
        <f>IFERROR(INDEX(Movimientos!$E$5:$E$2001,MATCH(A467&amp;"ENTRADA",Movimientos!$R$5:$R$2001,0)),"-")</f>
        <v>-</v>
      </c>
      <c r="E467" s="3" t="str">
        <f>IFERROR(INDEX(Movimientos!$F$5:$F$2001,MATCH(A467&amp;"ENTRADA",Movimientos!$R$5:$R$2001,0)),"-")</f>
        <v>-</v>
      </c>
      <c r="F467" s="3" t="str">
        <f>IFERROR(INDEX(Movimientos!$G$5:$G$2001,MATCH(A467&amp;"ENTRADA",Movimientos!$R$5:$R$2001,0)),"-")</f>
        <v>-</v>
      </c>
      <c r="G467" s="3" t="str">
        <f>IFERROR(INDEX(Movimientos!$L$5:$L$2001,MATCH(A467&amp;"ENTRADA",Movimientos!$R$5:$R$2001,0)),"-")</f>
        <v>-</v>
      </c>
      <c r="H467" s="19" t="str">
        <f>IFERROR(IF(INDEX(Movimientos!$M$5:$M$2001,MATCH(A467&amp;"ENTRADA",Movimientos!$R$5:$R$2001,0))=0,"S/D",INDEX(Movimientos!$M$5:$M$2001,MATCH(A467&amp;"ENTRADA",Movimientos!$R$5:$R$2001,0))),"S/D")</f>
        <v>S/D</v>
      </c>
      <c r="I467" s="16" t="str">
        <f t="shared" ca="1" si="16"/>
        <v>S/D</v>
      </c>
      <c r="J467" s="6">
        <f>IF(A467="","",SUMIFS(Movimientos!$K:$K,Movimientos!$H:$H,A467))</f>
        <v>0</v>
      </c>
      <c r="K467" s="14" t="str">
        <f t="shared" ca="1" si="17"/>
        <v>OK</v>
      </c>
    </row>
    <row r="468" spans="1:11">
      <c r="A468" s="18" t="s">
        <v>2541</v>
      </c>
      <c r="B468" s="3" t="str">
        <f>IFERROR(INDEX(Movimientos!$C$5:$C$2001,MATCH(A468&amp;"ENTRADA",Movimientos!$R$5:$R$2001,0)),"-")</f>
        <v>-</v>
      </c>
      <c r="C468" s="3" t="str">
        <f>IFERROR(INDEX(Movimientos!$D$5:$D$2001,MATCH(A468&amp;"ENTRADA",Movimientos!$R$5:$R$2001,0)),"-")</f>
        <v>-</v>
      </c>
      <c r="D468" s="3" t="str">
        <f>IFERROR(INDEX(Movimientos!$E$5:$E$2001,MATCH(A468&amp;"ENTRADA",Movimientos!$R$5:$R$2001,0)),"-")</f>
        <v>-</v>
      </c>
      <c r="E468" s="3" t="str">
        <f>IFERROR(INDEX(Movimientos!$F$5:$F$2001,MATCH(A468&amp;"ENTRADA",Movimientos!$R$5:$R$2001,0)),"-")</f>
        <v>-</v>
      </c>
      <c r="F468" s="3" t="str">
        <f>IFERROR(INDEX(Movimientos!$G$5:$G$2001,MATCH(A468&amp;"ENTRADA",Movimientos!$R$5:$R$2001,0)),"-")</f>
        <v>-</v>
      </c>
      <c r="G468" s="3" t="str">
        <f>IFERROR(INDEX(Movimientos!$L$5:$L$2001,MATCH(A468&amp;"ENTRADA",Movimientos!$R$5:$R$2001,0)),"-")</f>
        <v>-</v>
      </c>
      <c r="H468" s="19" t="str">
        <f>IFERROR(IF(INDEX(Movimientos!$M$5:$M$2001,MATCH(A468&amp;"ENTRADA",Movimientos!$R$5:$R$2001,0))=0,"S/D",INDEX(Movimientos!$M$5:$M$2001,MATCH(A468&amp;"ENTRADA",Movimientos!$R$5:$R$2001,0))),"S/D")</f>
        <v>S/D</v>
      </c>
      <c r="I468" s="16" t="str">
        <f t="shared" ca="1" si="16"/>
        <v>S/D</v>
      </c>
      <c r="J468" s="6">
        <f>IF(A468="","",SUMIFS(Movimientos!$K:$K,Movimientos!$H:$H,A468))</f>
        <v>0</v>
      </c>
      <c r="K468" s="14" t="str">
        <f t="shared" ca="1" si="17"/>
        <v>OK</v>
      </c>
    </row>
    <row r="469" spans="1:11">
      <c r="A469" s="18" t="s">
        <v>2542</v>
      </c>
      <c r="B469" s="3" t="str">
        <f>IFERROR(INDEX(Movimientos!$C$5:$C$2001,MATCH(A469&amp;"ENTRADA",Movimientos!$R$5:$R$2001,0)),"-")</f>
        <v>-</v>
      </c>
      <c r="C469" s="3" t="str">
        <f>IFERROR(INDEX(Movimientos!$D$5:$D$2001,MATCH(A469&amp;"ENTRADA",Movimientos!$R$5:$R$2001,0)),"-")</f>
        <v>-</v>
      </c>
      <c r="D469" s="3" t="str">
        <f>IFERROR(INDEX(Movimientos!$E$5:$E$2001,MATCH(A469&amp;"ENTRADA",Movimientos!$R$5:$R$2001,0)),"-")</f>
        <v>-</v>
      </c>
      <c r="E469" s="3" t="str">
        <f>IFERROR(INDEX(Movimientos!$F$5:$F$2001,MATCH(A469&amp;"ENTRADA",Movimientos!$R$5:$R$2001,0)),"-")</f>
        <v>-</v>
      </c>
      <c r="F469" s="3" t="str">
        <f>IFERROR(INDEX(Movimientos!$G$5:$G$2001,MATCH(A469&amp;"ENTRADA",Movimientos!$R$5:$R$2001,0)),"-")</f>
        <v>-</v>
      </c>
      <c r="G469" s="3" t="str">
        <f>IFERROR(INDEX(Movimientos!$L$5:$L$2001,MATCH(A469&amp;"ENTRADA",Movimientos!$R$5:$R$2001,0)),"-")</f>
        <v>-</v>
      </c>
      <c r="H469" s="19" t="str">
        <f>IFERROR(IF(INDEX(Movimientos!$M$5:$M$2001,MATCH(A469&amp;"ENTRADA",Movimientos!$R$5:$R$2001,0))=0,"S/D",INDEX(Movimientos!$M$5:$M$2001,MATCH(A469&amp;"ENTRADA",Movimientos!$R$5:$R$2001,0))),"S/D")</f>
        <v>S/D</v>
      </c>
      <c r="I469" s="16" t="str">
        <f t="shared" ca="1" si="16"/>
        <v>S/D</v>
      </c>
      <c r="J469" s="6">
        <f>IF(A469="","",SUMIFS(Movimientos!$K:$K,Movimientos!$H:$H,A469))</f>
        <v>0</v>
      </c>
      <c r="K469" s="14" t="str">
        <f t="shared" ca="1" si="17"/>
        <v>OK</v>
      </c>
    </row>
    <row r="470" spans="1:11">
      <c r="A470" s="18" t="s">
        <v>2543</v>
      </c>
      <c r="B470" s="3" t="str">
        <f>IFERROR(INDEX(Movimientos!$C$5:$C$2001,MATCH(A470&amp;"ENTRADA",Movimientos!$R$5:$R$2001,0)),"-")</f>
        <v>-</v>
      </c>
      <c r="C470" s="3" t="str">
        <f>IFERROR(INDEX(Movimientos!$D$5:$D$2001,MATCH(A470&amp;"ENTRADA",Movimientos!$R$5:$R$2001,0)),"-")</f>
        <v>-</v>
      </c>
      <c r="D470" s="3" t="str">
        <f>IFERROR(INDEX(Movimientos!$E$5:$E$2001,MATCH(A470&amp;"ENTRADA",Movimientos!$R$5:$R$2001,0)),"-")</f>
        <v>-</v>
      </c>
      <c r="E470" s="3" t="str">
        <f>IFERROR(INDEX(Movimientos!$F$5:$F$2001,MATCH(A470&amp;"ENTRADA",Movimientos!$R$5:$R$2001,0)),"-")</f>
        <v>-</v>
      </c>
      <c r="F470" s="3" t="str">
        <f>IFERROR(INDEX(Movimientos!$G$5:$G$2001,MATCH(A470&amp;"ENTRADA",Movimientos!$R$5:$R$2001,0)),"-")</f>
        <v>-</v>
      </c>
      <c r="G470" s="3" t="str">
        <f>IFERROR(INDEX(Movimientos!$L$5:$L$2001,MATCH(A470&amp;"ENTRADA",Movimientos!$R$5:$R$2001,0)),"-")</f>
        <v>-</v>
      </c>
      <c r="H470" s="19" t="str">
        <f>IFERROR(IF(INDEX(Movimientos!$M$5:$M$2001,MATCH(A470&amp;"ENTRADA",Movimientos!$R$5:$R$2001,0))=0,"S/D",INDEX(Movimientos!$M$5:$M$2001,MATCH(A470&amp;"ENTRADA",Movimientos!$R$5:$R$2001,0))),"S/D")</f>
        <v>S/D</v>
      </c>
      <c r="I470" s="16" t="str">
        <f t="shared" ca="1" si="16"/>
        <v>S/D</v>
      </c>
      <c r="J470" s="6">
        <f>IF(A470="","",SUMIFS(Movimientos!$K:$K,Movimientos!$H:$H,A470))</f>
        <v>0</v>
      </c>
      <c r="K470" s="14" t="str">
        <f t="shared" ca="1" si="17"/>
        <v>OK</v>
      </c>
    </row>
    <row r="471" spans="1:11">
      <c r="A471" s="18" t="s">
        <v>2544</v>
      </c>
      <c r="B471" s="3" t="str">
        <f>IFERROR(INDEX(Movimientos!$C$5:$C$2001,MATCH(A471&amp;"ENTRADA",Movimientos!$R$5:$R$2001,0)),"-")</f>
        <v>-</v>
      </c>
      <c r="C471" s="3" t="str">
        <f>IFERROR(INDEX(Movimientos!$D$5:$D$2001,MATCH(A471&amp;"ENTRADA",Movimientos!$R$5:$R$2001,0)),"-")</f>
        <v>-</v>
      </c>
      <c r="D471" s="3" t="str">
        <f>IFERROR(INDEX(Movimientos!$E$5:$E$2001,MATCH(A471&amp;"ENTRADA",Movimientos!$R$5:$R$2001,0)),"-")</f>
        <v>-</v>
      </c>
      <c r="E471" s="3" t="str">
        <f>IFERROR(INDEX(Movimientos!$F$5:$F$2001,MATCH(A471&amp;"ENTRADA",Movimientos!$R$5:$R$2001,0)),"-")</f>
        <v>-</v>
      </c>
      <c r="F471" s="3" t="str">
        <f>IFERROR(INDEX(Movimientos!$G$5:$G$2001,MATCH(A471&amp;"ENTRADA",Movimientos!$R$5:$R$2001,0)),"-")</f>
        <v>-</v>
      </c>
      <c r="G471" s="3" t="str">
        <f>IFERROR(INDEX(Movimientos!$L$5:$L$2001,MATCH(A471&amp;"ENTRADA",Movimientos!$R$5:$R$2001,0)),"-")</f>
        <v>-</v>
      </c>
      <c r="H471" s="19" t="str">
        <f>IFERROR(IF(INDEX(Movimientos!$M$5:$M$2001,MATCH(A471&amp;"ENTRADA",Movimientos!$R$5:$R$2001,0))=0,"S/D",INDEX(Movimientos!$M$5:$M$2001,MATCH(A471&amp;"ENTRADA",Movimientos!$R$5:$R$2001,0))),"S/D")</f>
        <v>S/D</v>
      </c>
      <c r="I471" s="16" t="str">
        <f t="shared" ca="1" si="16"/>
        <v>S/D</v>
      </c>
      <c r="J471" s="6">
        <f>IF(A471="","",SUMIFS(Movimientos!$K:$K,Movimientos!$H:$H,A471))</f>
        <v>0</v>
      </c>
      <c r="K471" s="14" t="str">
        <f t="shared" ca="1" si="17"/>
        <v>OK</v>
      </c>
    </row>
    <row r="472" spans="1:11">
      <c r="A472" s="18" t="s">
        <v>2545</v>
      </c>
      <c r="B472" s="3" t="str">
        <f>IFERROR(INDEX(Movimientos!$C$5:$C$2001,MATCH(A472&amp;"ENTRADA",Movimientos!$R$5:$R$2001,0)),"-")</f>
        <v>-</v>
      </c>
      <c r="C472" s="3" t="str">
        <f>IFERROR(INDEX(Movimientos!$D$5:$D$2001,MATCH(A472&amp;"ENTRADA",Movimientos!$R$5:$R$2001,0)),"-")</f>
        <v>-</v>
      </c>
      <c r="D472" s="3" t="str">
        <f>IFERROR(INDEX(Movimientos!$E$5:$E$2001,MATCH(A472&amp;"ENTRADA",Movimientos!$R$5:$R$2001,0)),"-")</f>
        <v>-</v>
      </c>
      <c r="E472" s="3" t="str">
        <f>IFERROR(INDEX(Movimientos!$F$5:$F$2001,MATCH(A472&amp;"ENTRADA",Movimientos!$R$5:$R$2001,0)),"-")</f>
        <v>-</v>
      </c>
      <c r="F472" s="3" t="str">
        <f>IFERROR(INDEX(Movimientos!$G$5:$G$2001,MATCH(A472&amp;"ENTRADA",Movimientos!$R$5:$R$2001,0)),"-")</f>
        <v>-</v>
      </c>
      <c r="G472" s="3" t="str">
        <f>IFERROR(INDEX(Movimientos!$L$5:$L$2001,MATCH(A472&amp;"ENTRADA",Movimientos!$R$5:$R$2001,0)),"-")</f>
        <v>-</v>
      </c>
      <c r="H472" s="19" t="str">
        <f>IFERROR(IF(INDEX(Movimientos!$M$5:$M$2001,MATCH(A472&amp;"ENTRADA",Movimientos!$R$5:$R$2001,0))=0,"S/D",INDEX(Movimientos!$M$5:$M$2001,MATCH(A472&amp;"ENTRADA",Movimientos!$R$5:$R$2001,0))),"S/D")</f>
        <v>S/D</v>
      </c>
      <c r="I472" s="16" t="str">
        <f t="shared" ca="1" si="16"/>
        <v>S/D</v>
      </c>
      <c r="J472" s="6">
        <f>IF(A472="","",SUMIFS(Movimientos!$K:$K,Movimientos!$H:$H,A472))</f>
        <v>0</v>
      </c>
      <c r="K472" s="14" t="str">
        <f t="shared" ca="1" si="17"/>
        <v>OK</v>
      </c>
    </row>
    <row r="473" spans="1:11">
      <c r="A473" s="18" t="s">
        <v>2546</v>
      </c>
      <c r="B473" s="3" t="str">
        <f>IFERROR(INDEX(Movimientos!$C$5:$C$2001,MATCH(A473&amp;"ENTRADA",Movimientos!$R$5:$R$2001,0)),"-")</f>
        <v>-</v>
      </c>
      <c r="C473" s="3" t="str">
        <f>IFERROR(INDEX(Movimientos!$D$5:$D$2001,MATCH(A473&amp;"ENTRADA",Movimientos!$R$5:$R$2001,0)),"-")</f>
        <v>-</v>
      </c>
      <c r="D473" s="3" t="str">
        <f>IFERROR(INDEX(Movimientos!$E$5:$E$2001,MATCH(A473&amp;"ENTRADA",Movimientos!$R$5:$R$2001,0)),"-")</f>
        <v>-</v>
      </c>
      <c r="E473" s="3" t="str">
        <f>IFERROR(INDEX(Movimientos!$F$5:$F$2001,MATCH(A473&amp;"ENTRADA",Movimientos!$R$5:$R$2001,0)),"-")</f>
        <v>-</v>
      </c>
      <c r="F473" s="3" t="str">
        <f>IFERROR(INDEX(Movimientos!$G$5:$G$2001,MATCH(A473&amp;"ENTRADA",Movimientos!$R$5:$R$2001,0)),"-")</f>
        <v>-</v>
      </c>
      <c r="G473" s="3" t="str">
        <f>IFERROR(INDEX(Movimientos!$L$5:$L$2001,MATCH(A473&amp;"ENTRADA",Movimientos!$R$5:$R$2001,0)),"-")</f>
        <v>-</v>
      </c>
      <c r="H473" s="19" t="str">
        <f>IFERROR(IF(INDEX(Movimientos!$M$5:$M$2001,MATCH(A473&amp;"ENTRADA",Movimientos!$R$5:$R$2001,0))=0,"S/D",INDEX(Movimientos!$M$5:$M$2001,MATCH(A473&amp;"ENTRADA",Movimientos!$R$5:$R$2001,0))),"S/D")</f>
        <v>S/D</v>
      </c>
      <c r="I473" s="16" t="str">
        <f t="shared" ca="1" si="16"/>
        <v>S/D</v>
      </c>
      <c r="J473" s="6">
        <f>IF(A473="","",SUMIFS(Movimientos!$K:$K,Movimientos!$H:$H,A473))</f>
        <v>0</v>
      </c>
      <c r="K473" s="14" t="str">
        <f t="shared" ca="1" si="17"/>
        <v>OK</v>
      </c>
    </row>
    <row r="474" spans="1:11">
      <c r="A474" s="18" t="s">
        <v>2547</v>
      </c>
      <c r="B474" s="3" t="str">
        <f>IFERROR(INDEX(Movimientos!$C$5:$C$2001,MATCH(A474&amp;"ENTRADA",Movimientos!$R$5:$R$2001,0)),"-")</f>
        <v>-</v>
      </c>
      <c r="C474" s="3" t="str">
        <f>IFERROR(INDEX(Movimientos!$D$5:$D$2001,MATCH(A474&amp;"ENTRADA",Movimientos!$R$5:$R$2001,0)),"-")</f>
        <v>-</v>
      </c>
      <c r="D474" s="3" t="str">
        <f>IFERROR(INDEX(Movimientos!$E$5:$E$2001,MATCH(A474&amp;"ENTRADA",Movimientos!$R$5:$R$2001,0)),"-")</f>
        <v>-</v>
      </c>
      <c r="E474" s="3" t="str">
        <f>IFERROR(INDEX(Movimientos!$F$5:$F$2001,MATCH(A474&amp;"ENTRADA",Movimientos!$R$5:$R$2001,0)),"-")</f>
        <v>-</v>
      </c>
      <c r="F474" s="3" t="str">
        <f>IFERROR(INDEX(Movimientos!$G$5:$G$2001,MATCH(A474&amp;"ENTRADA",Movimientos!$R$5:$R$2001,0)),"-")</f>
        <v>-</v>
      </c>
      <c r="G474" s="3" t="str">
        <f>IFERROR(INDEX(Movimientos!$L$5:$L$2001,MATCH(A474&amp;"ENTRADA",Movimientos!$R$5:$R$2001,0)),"-")</f>
        <v>-</v>
      </c>
      <c r="H474" s="19" t="str">
        <f>IFERROR(IF(INDEX(Movimientos!$M$5:$M$2001,MATCH(A474&amp;"ENTRADA",Movimientos!$R$5:$R$2001,0))=0,"S/D",INDEX(Movimientos!$M$5:$M$2001,MATCH(A474&amp;"ENTRADA",Movimientos!$R$5:$R$2001,0))),"S/D")</f>
        <v>S/D</v>
      </c>
      <c r="I474" s="16" t="str">
        <f t="shared" ca="1" si="16"/>
        <v>S/D</v>
      </c>
      <c r="J474" s="6">
        <f>IF(A474="","",SUMIFS(Movimientos!$K:$K,Movimientos!$H:$H,A474))</f>
        <v>0</v>
      </c>
      <c r="K474" s="14" t="str">
        <f t="shared" ca="1" si="17"/>
        <v>OK</v>
      </c>
    </row>
    <row r="475" spans="1:11">
      <c r="A475" s="18" t="s">
        <v>2548</v>
      </c>
      <c r="B475" s="3" t="str">
        <f>IFERROR(INDEX(Movimientos!$C$5:$C$2001,MATCH(A475&amp;"ENTRADA",Movimientos!$R$5:$R$2001,0)),"-")</f>
        <v>-</v>
      </c>
      <c r="C475" s="3" t="str">
        <f>IFERROR(INDEX(Movimientos!$D$5:$D$2001,MATCH(A475&amp;"ENTRADA",Movimientos!$R$5:$R$2001,0)),"-")</f>
        <v>-</v>
      </c>
      <c r="D475" s="3" t="str">
        <f>IFERROR(INDEX(Movimientos!$E$5:$E$2001,MATCH(A475&amp;"ENTRADA",Movimientos!$R$5:$R$2001,0)),"-")</f>
        <v>-</v>
      </c>
      <c r="E475" s="3" t="str">
        <f>IFERROR(INDEX(Movimientos!$F$5:$F$2001,MATCH(A475&amp;"ENTRADA",Movimientos!$R$5:$R$2001,0)),"-")</f>
        <v>-</v>
      </c>
      <c r="F475" s="3" t="str">
        <f>IFERROR(INDEX(Movimientos!$G$5:$G$2001,MATCH(A475&amp;"ENTRADA",Movimientos!$R$5:$R$2001,0)),"-")</f>
        <v>-</v>
      </c>
      <c r="G475" s="3" t="str">
        <f>IFERROR(INDEX(Movimientos!$L$5:$L$2001,MATCH(A475&amp;"ENTRADA",Movimientos!$R$5:$R$2001,0)),"-")</f>
        <v>-</v>
      </c>
      <c r="H475" s="19" t="str">
        <f>IFERROR(IF(INDEX(Movimientos!$M$5:$M$2001,MATCH(A475&amp;"ENTRADA",Movimientos!$R$5:$R$2001,0))=0,"S/D",INDEX(Movimientos!$M$5:$M$2001,MATCH(A475&amp;"ENTRADA",Movimientos!$R$5:$R$2001,0))),"S/D")</f>
        <v>S/D</v>
      </c>
      <c r="I475" s="16" t="str">
        <f t="shared" ca="1" si="16"/>
        <v>S/D</v>
      </c>
      <c r="J475" s="6">
        <f>IF(A475="","",SUMIFS(Movimientos!$K:$K,Movimientos!$H:$H,A475))</f>
        <v>0</v>
      </c>
      <c r="K475" s="14" t="str">
        <f t="shared" ca="1" si="17"/>
        <v>OK</v>
      </c>
    </row>
    <row r="476" spans="1:11">
      <c r="A476" s="18" t="s">
        <v>2549</v>
      </c>
      <c r="B476" s="3" t="str">
        <f>IFERROR(INDEX(Movimientos!$C$5:$C$2001,MATCH(A476&amp;"ENTRADA",Movimientos!$R$5:$R$2001,0)),"-")</f>
        <v>-</v>
      </c>
      <c r="C476" s="3" t="str">
        <f>IFERROR(INDEX(Movimientos!$D$5:$D$2001,MATCH(A476&amp;"ENTRADA",Movimientos!$R$5:$R$2001,0)),"-")</f>
        <v>-</v>
      </c>
      <c r="D476" s="3" t="str">
        <f>IFERROR(INDEX(Movimientos!$E$5:$E$2001,MATCH(A476&amp;"ENTRADA",Movimientos!$R$5:$R$2001,0)),"-")</f>
        <v>-</v>
      </c>
      <c r="E476" s="3" t="str">
        <f>IFERROR(INDEX(Movimientos!$F$5:$F$2001,MATCH(A476&amp;"ENTRADA",Movimientos!$R$5:$R$2001,0)),"-")</f>
        <v>-</v>
      </c>
      <c r="F476" s="3" t="str">
        <f>IFERROR(INDEX(Movimientos!$G$5:$G$2001,MATCH(A476&amp;"ENTRADA",Movimientos!$R$5:$R$2001,0)),"-")</f>
        <v>-</v>
      </c>
      <c r="G476" s="3" t="str">
        <f>IFERROR(INDEX(Movimientos!$L$5:$L$2001,MATCH(A476&amp;"ENTRADA",Movimientos!$R$5:$R$2001,0)),"-")</f>
        <v>-</v>
      </c>
      <c r="H476" s="19" t="str">
        <f>IFERROR(IF(INDEX(Movimientos!$M$5:$M$2001,MATCH(A476&amp;"ENTRADA",Movimientos!$R$5:$R$2001,0))=0,"S/D",INDEX(Movimientos!$M$5:$M$2001,MATCH(A476&amp;"ENTRADA",Movimientos!$R$5:$R$2001,0))),"S/D")</f>
        <v>S/D</v>
      </c>
      <c r="I476" s="16" t="str">
        <f t="shared" ca="1" si="16"/>
        <v>S/D</v>
      </c>
      <c r="J476" s="6">
        <f>IF(A476="","",SUMIFS(Movimientos!$K:$K,Movimientos!$H:$H,A476))</f>
        <v>0</v>
      </c>
      <c r="K476" s="14" t="str">
        <f t="shared" ca="1" si="17"/>
        <v>OK</v>
      </c>
    </row>
    <row r="477" spans="1:11">
      <c r="A477" s="18" t="s">
        <v>2550</v>
      </c>
      <c r="B477" s="3" t="str">
        <f>IFERROR(INDEX(Movimientos!$C$5:$C$2001,MATCH(A477&amp;"ENTRADA",Movimientos!$R$5:$R$2001,0)),"-")</f>
        <v>-</v>
      </c>
      <c r="C477" s="3" t="str">
        <f>IFERROR(INDEX(Movimientos!$D$5:$D$2001,MATCH(A477&amp;"ENTRADA",Movimientos!$R$5:$R$2001,0)),"-")</f>
        <v>-</v>
      </c>
      <c r="D477" s="3" t="str">
        <f>IFERROR(INDEX(Movimientos!$E$5:$E$2001,MATCH(A477&amp;"ENTRADA",Movimientos!$R$5:$R$2001,0)),"-")</f>
        <v>-</v>
      </c>
      <c r="E477" s="3" t="str">
        <f>IFERROR(INDEX(Movimientos!$F$5:$F$2001,MATCH(A477&amp;"ENTRADA",Movimientos!$R$5:$R$2001,0)),"-")</f>
        <v>-</v>
      </c>
      <c r="F477" s="3" t="str">
        <f>IFERROR(INDEX(Movimientos!$G$5:$G$2001,MATCH(A477&amp;"ENTRADA",Movimientos!$R$5:$R$2001,0)),"-")</f>
        <v>-</v>
      </c>
      <c r="G477" s="3" t="str">
        <f>IFERROR(INDEX(Movimientos!$L$5:$L$2001,MATCH(A477&amp;"ENTRADA",Movimientos!$R$5:$R$2001,0)),"-")</f>
        <v>-</v>
      </c>
      <c r="H477" s="19" t="str">
        <f>IFERROR(IF(INDEX(Movimientos!$M$5:$M$2001,MATCH(A477&amp;"ENTRADA",Movimientos!$R$5:$R$2001,0))=0,"S/D",INDEX(Movimientos!$M$5:$M$2001,MATCH(A477&amp;"ENTRADA",Movimientos!$R$5:$R$2001,0))),"S/D")</f>
        <v>S/D</v>
      </c>
      <c r="I477" s="16" t="str">
        <f t="shared" ca="1" si="16"/>
        <v>S/D</v>
      </c>
      <c r="J477" s="6">
        <f>IF(A477="","",SUMIFS(Movimientos!$K:$K,Movimientos!$H:$H,A477))</f>
        <v>0</v>
      </c>
      <c r="K477" s="14" t="str">
        <f t="shared" ca="1" si="17"/>
        <v>OK</v>
      </c>
    </row>
    <row r="478" spans="1:11">
      <c r="A478" s="18" t="s">
        <v>2551</v>
      </c>
      <c r="B478" s="3" t="str">
        <f>IFERROR(INDEX(Movimientos!$C$5:$C$2001,MATCH(A478&amp;"ENTRADA",Movimientos!$R$5:$R$2001,0)),"-")</f>
        <v>-</v>
      </c>
      <c r="C478" s="3" t="str">
        <f>IFERROR(INDEX(Movimientos!$D$5:$D$2001,MATCH(A478&amp;"ENTRADA",Movimientos!$R$5:$R$2001,0)),"-")</f>
        <v>-</v>
      </c>
      <c r="D478" s="3" t="str">
        <f>IFERROR(INDEX(Movimientos!$E$5:$E$2001,MATCH(A478&amp;"ENTRADA",Movimientos!$R$5:$R$2001,0)),"-")</f>
        <v>-</v>
      </c>
      <c r="E478" s="3" t="str">
        <f>IFERROR(INDEX(Movimientos!$F$5:$F$2001,MATCH(A478&amp;"ENTRADA",Movimientos!$R$5:$R$2001,0)),"-")</f>
        <v>-</v>
      </c>
      <c r="F478" s="3" t="str">
        <f>IFERROR(INDEX(Movimientos!$G$5:$G$2001,MATCH(A478&amp;"ENTRADA",Movimientos!$R$5:$R$2001,0)),"-")</f>
        <v>-</v>
      </c>
      <c r="G478" s="3" t="str">
        <f>IFERROR(INDEX(Movimientos!$L$5:$L$2001,MATCH(A478&amp;"ENTRADA",Movimientos!$R$5:$R$2001,0)),"-")</f>
        <v>-</v>
      </c>
      <c r="H478" s="19" t="str">
        <f>IFERROR(IF(INDEX(Movimientos!$M$5:$M$2001,MATCH(A478&amp;"ENTRADA",Movimientos!$R$5:$R$2001,0))=0,"S/D",INDEX(Movimientos!$M$5:$M$2001,MATCH(A478&amp;"ENTRADA",Movimientos!$R$5:$R$2001,0))),"S/D")</f>
        <v>S/D</v>
      </c>
      <c r="I478" s="16" t="str">
        <f t="shared" ca="1" si="16"/>
        <v>S/D</v>
      </c>
      <c r="J478" s="6">
        <f>IF(A478="","",SUMIFS(Movimientos!$K:$K,Movimientos!$H:$H,A478))</f>
        <v>0</v>
      </c>
      <c r="K478" s="14" t="str">
        <f t="shared" ca="1" si="17"/>
        <v>OK</v>
      </c>
    </row>
    <row r="479" spans="1:11">
      <c r="A479" s="18" t="s">
        <v>2552</v>
      </c>
      <c r="B479" s="3" t="str">
        <f>IFERROR(INDEX(Movimientos!$C$5:$C$2001,MATCH(A479&amp;"ENTRADA",Movimientos!$R$5:$R$2001,0)),"-")</f>
        <v>-</v>
      </c>
      <c r="C479" s="3" t="str">
        <f>IFERROR(INDEX(Movimientos!$D$5:$D$2001,MATCH(A479&amp;"ENTRADA",Movimientos!$R$5:$R$2001,0)),"-")</f>
        <v>-</v>
      </c>
      <c r="D479" s="3" t="str">
        <f>IFERROR(INDEX(Movimientos!$E$5:$E$2001,MATCH(A479&amp;"ENTRADA",Movimientos!$R$5:$R$2001,0)),"-")</f>
        <v>-</v>
      </c>
      <c r="E479" s="3" t="str">
        <f>IFERROR(INDEX(Movimientos!$F$5:$F$2001,MATCH(A479&amp;"ENTRADA",Movimientos!$R$5:$R$2001,0)),"-")</f>
        <v>-</v>
      </c>
      <c r="F479" s="3" t="str">
        <f>IFERROR(INDEX(Movimientos!$G$5:$G$2001,MATCH(A479&amp;"ENTRADA",Movimientos!$R$5:$R$2001,0)),"-")</f>
        <v>-</v>
      </c>
      <c r="G479" s="3" t="str">
        <f>IFERROR(INDEX(Movimientos!$L$5:$L$2001,MATCH(A479&amp;"ENTRADA",Movimientos!$R$5:$R$2001,0)),"-")</f>
        <v>-</v>
      </c>
      <c r="H479" s="19" t="str">
        <f>IFERROR(IF(INDEX(Movimientos!$M$5:$M$2001,MATCH(A479&amp;"ENTRADA",Movimientos!$R$5:$R$2001,0))=0,"S/D",INDEX(Movimientos!$M$5:$M$2001,MATCH(A479&amp;"ENTRADA",Movimientos!$R$5:$R$2001,0))),"S/D")</f>
        <v>S/D</v>
      </c>
      <c r="I479" s="16" t="str">
        <f t="shared" ca="1" si="16"/>
        <v>S/D</v>
      </c>
      <c r="J479" s="6">
        <f>IF(A479="","",SUMIFS(Movimientos!$K:$K,Movimientos!$H:$H,A479))</f>
        <v>0</v>
      </c>
      <c r="K479" s="14" t="str">
        <f t="shared" ca="1" si="17"/>
        <v>OK</v>
      </c>
    </row>
    <row r="480" spans="1:11">
      <c r="A480" s="18" t="s">
        <v>2553</v>
      </c>
      <c r="B480" s="3" t="str">
        <f>IFERROR(INDEX(Movimientos!$C$5:$C$2001,MATCH(A480&amp;"ENTRADA",Movimientos!$R$5:$R$2001,0)),"-")</f>
        <v>-</v>
      </c>
      <c r="C480" s="3" t="str">
        <f>IFERROR(INDEX(Movimientos!$D$5:$D$2001,MATCH(A480&amp;"ENTRADA",Movimientos!$R$5:$R$2001,0)),"-")</f>
        <v>-</v>
      </c>
      <c r="D480" s="3" t="str">
        <f>IFERROR(INDEX(Movimientos!$E$5:$E$2001,MATCH(A480&amp;"ENTRADA",Movimientos!$R$5:$R$2001,0)),"-")</f>
        <v>-</v>
      </c>
      <c r="E480" s="3" t="str">
        <f>IFERROR(INDEX(Movimientos!$F$5:$F$2001,MATCH(A480&amp;"ENTRADA",Movimientos!$R$5:$R$2001,0)),"-")</f>
        <v>-</v>
      </c>
      <c r="F480" s="3" t="str">
        <f>IFERROR(INDEX(Movimientos!$G$5:$G$2001,MATCH(A480&amp;"ENTRADA",Movimientos!$R$5:$R$2001,0)),"-")</f>
        <v>-</v>
      </c>
      <c r="G480" s="3" t="str">
        <f>IFERROR(INDEX(Movimientos!$L$5:$L$2001,MATCH(A480&amp;"ENTRADA",Movimientos!$R$5:$R$2001,0)),"-")</f>
        <v>-</v>
      </c>
      <c r="H480" s="19" t="str">
        <f>IFERROR(IF(INDEX(Movimientos!$M$5:$M$2001,MATCH(A480&amp;"ENTRADA",Movimientos!$R$5:$R$2001,0))=0,"S/D",INDEX(Movimientos!$M$5:$M$2001,MATCH(A480&amp;"ENTRADA",Movimientos!$R$5:$R$2001,0))),"S/D")</f>
        <v>S/D</v>
      </c>
      <c r="I480" s="16" t="str">
        <f t="shared" ca="1" si="16"/>
        <v>S/D</v>
      </c>
      <c r="J480" s="6">
        <f>IF(A480="","",SUMIFS(Movimientos!$K:$K,Movimientos!$H:$H,A480))</f>
        <v>0</v>
      </c>
      <c r="K480" s="14" t="str">
        <f t="shared" ca="1" si="17"/>
        <v>OK</v>
      </c>
    </row>
    <row r="481" spans="1:11">
      <c r="A481" s="18" t="s">
        <v>2554</v>
      </c>
      <c r="B481" s="3" t="str">
        <f>IFERROR(INDEX(Movimientos!$C$5:$C$2001,MATCH(A481&amp;"ENTRADA",Movimientos!$R$5:$R$2001,0)),"-")</f>
        <v>-</v>
      </c>
      <c r="C481" s="3" t="str">
        <f>IFERROR(INDEX(Movimientos!$D$5:$D$2001,MATCH(A481&amp;"ENTRADA",Movimientos!$R$5:$R$2001,0)),"-")</f>
        <v>-</v>
      </c>
      <c r="D481" s="3" t="str">
        <f>IFERROR(INDEX(Movimientos!$E$5:$E$2001,MATCH(A481&amp;"ENTRADA",Movimientos!$R$5:$R$2001,0)),"-")</f>
        <v>-</v>
      </c>
      <c r="E481" s="3" t="str">
        <f>IFERROR(INDEX(Movimientos!$F$5:$F$2001,MATCH(A481&amp;"ENTRADA",Movimientos!$R$5:$R$2001,0)),"-")</f>
        <v>-</v>
      </c>
      <c r="F481" s="3" t="str">
        <f>IFERROR(INDEX(Movimientos!$G$5:$G$2001,MATCH(A481&amp;"ENTRADA",Movimientos!$R$5:$R$2001,0)),"-")</f>
        <v>-</v>
      </c>
      <c r="G481" s="3" t="str">
        <f>IFERROR(INDEX(Movimientos!$L$5:$L$2001,MATCH(A481&amp;"ENTRADA",Movimientos!$R$5:$R$2001,0)),"-")</f>
        <v>-</v>
      </c>
      <c r="H481" s="19" t="str">
        <f>IFERROR(IF(INDEX(Movimientos!$M$5:$M$2001,MATCH(A481&amp;"ENTRADA",Movimientos!$R$5:$R$2001,0))=0,"S/D",INDEX(Movimientos!$M$5:$M$2001,MATCH(A481&amp;"ENTRADA",Movimientos!$R$5:$R$2001,0))),"S/D")</f>
        <v>S/D</v>
      </c>
      <c r="I481" s="16" t="str">
        <f t="shared" ca="1" si="16"/>
        <v>S/D</v>
      </c>
      <c r="J481" s="6">
        <f>IF(A481="","",SUMIFS(Movimientos!$K:$K,Movimientos!$H:$H,A481))</f>
        <v>0</v>
      </c>
      <c r="K481" s="14" t="str">
        <f t="shared" ca="1" si="17"/>
        <v>OK</v>
      </c>
    </row>
    <row r="482" spans="1:11">
      <c r="A482" s="18" t="s">
        <v>2555</v>
      </c>
      <c r="B482" s="3" t="str">
        <f>IFERROR(INDEX(Movimientos!$C$5:$C$2001,MATCH(A482&amp;"ENTRADA",Movimientos!$R$5:$R$2001,0)),"-")</f>
        <v>-</v>
      </c>
      <c r="C482" s="3" t="str">
        <f>IFERROR(INDEX(Movimientos!$D$5:$D$2001,MATCH(A482&amp;"ENTRADA",Movimientos!$R$5:$R$2001,0)),"-")</f>
        <v>-</v>
      </c>
      <c r="D482" s="3" t="str">
        <f>IFERROR(INDEX(Movimientos!$E$5:$E$2001,MATCH(A482&amp;"ENTRADA",Movimientos!$R$5:$R$2001,0)),"-")</f>
        <v>-</v>
      </c>
      <c r="E482" s="3" t="str">
        <f>IFERROR(INDEX(Movimientos!$F$5:$F$2001,MATCH(A482&amp;"ENTRADA",Movimientos!$R$5:$R$2001,0)),"-")</f>
        <v>-</v>
      </c>
      <c r="F482" s="3" t="str">
        <f>IFERROR(INDEX(Movimientos!$G$5:$G$2001,MATCH(A482&amp;"ENTRADA",Movimientos!$R$5:$R$2001,0)),"-")</f>
        <v>-</v>
      </c>
      <c r="G482" s="3" t="str">
        <f>IFERROR(INDEX(Movimientos!$L$5:$L$2001,MATCH(A482&amp;"ENTRADA",Movimientos!$R$5:$R$2001,0)),"-")</f>
        <v>-</v>
      </c>
      <c r="H482" s="19" t="str">
        <f>IFERROR(IF(INDEX(Movimientos!$M$5:$M$2001,MATCH(A482&amp;"ENTRADA",Movimientos!$R$5:$R$2001,0))=0,"S/D",INDEX(Movimientos!$M$5:$M$2001,MATCH(A482&amp;"ENTRADA",Movimientos!$R$5:$R$2001,0))),"S/D")</f>
        <v>S/D</v>
      </c>
      <c r="I482" s="16" t="str">
        <f t="shared" ca="1" si="16"/>
        <v>S/D</v>
      </c>
      <c r="J482" s="6">
        <f>IF(A482="","",SUMIFS(Movimientos!$K:$K,Movimientos!$H:$H,A482))</f>
        <v>0</v>
      </c>
      <c r="K482" s="14" t="str">
        <f t="shared" ca="1" si="17"/>
        <v>OK</v>
      </c>
    </row>
    <row r="483" spans="1:11">
      <c r="A483" s="18" t="s">
        <v>2556</v>
      </c>
      <c r="B483" s="3" t="str">
        <f>IFERROR(INDEX(Movimientos!$C$5:$C$2001,MATCH(A483&amp;"ENTRADA",Movimientos!$R$5:$R$2001,0)),"-")</f>
        <v>-</v>
      </c>
      <c r="C483" s="3" t="str">
        <f>IFERROR(INDEX(Movimientos!$D$5:$D$2001,MATCH(A483&amp;"ENTRADA",Movimientos!$R$5:$R$2001,0)),"-")</f>
        <v>-</v>
      </c>
      <c r="D483" s="3" t="str">
        <f>IFERROR(INDEX(Movimientos!$E$5:$E$2001,MATCH(A483&amp;"ENTRADA",Movimientos!$R$5:$R$2001,0)),"-")</f>
        <v>-</v>
      </c>
      <c r="E483" s="3" t="str">
        <f>IFERROR(INDEX(Movimientos!$F$5:$F$2001,MATCH(A483&amp;"ENTRADA",Movimientos!$R$5:$R$2001,0)),"-")</f>
        <v>-</v>
      </c>
      <c r="F483" s="3" t="str">
        <f>IFERROR(INDEX(Movimientos!$G$5:$G$2001,MATCH(A483&amp;"ENTRADA",Movimientos!$R$5:$R$2001,0)),"-")</f>
        <v>-</v>
      </c>
      <c r="G483" s="3" t="str">
        <f>IFERROR(INDEX(Movimientos!$L$5:$L$2001,MATCH(A483&amp;"ENTRADA",Movimientos!$R$5:$R$2001,0)),"-")</f>
        <v>-</v>
      </c>
      <c r="H483" s="19" t="str">
        <f>IFERROR(IF(INDEX(Movimientos!$M$5:$M$2001,MATCH(A483&amp;"ENTRADA",Movimientos!$R$5:$R$2001,0))=0,"S/D",INDEX(Movimientos!$M$5:$M$2001,MATCH(A483&amp;"ENTRADA",Movimientos!$R$5:$R$2001,0))),"S/D")</f>
        <v>S/D</v>
      </c>
      <c r="I483" s="16" t="str">
        <f t="shared" ca="1" si="16"/>
        <v>S/D</v>
      </c>
      <c r="J483" s="6">
        <f>IF(A483="","",SUMIFS(Movimientos!$K:$K,Movimientos!$H:$H,A483))</f>
        <v>0</v>
      </c>
      <c r="K483" s="14" t="str">
        <f t="shared" ca="1" si="17"/>
        <v>OK</v>
      </c>
    </row>
    <row r="484" spans="1:11">
      <c r="A484" s="18" t="s">
        <v>2557</v>
      </c>
      <c r="B484" s="3" t="str">
        <f>IFERROR(INDEX(Movimientos!$C$5:$C$2001,MATCH(A484&amp;"ENTRADA",Movimientos!$R$5:$R$2001,0)),"-")</f>
        <v>-</v>
      </c>
      <c r="C484" s="3" t="str">
        <f>IFERROR(INDEX(Movimientos!$D$5:$D$2001,MATCH(A484&amp;"ENTRADA",Movimientos!$R$5:$R$2001,0)),"-")</f>
        <v>-</v>
      </c>
      <c r="D484" s="3" t="str">
        <f>IFERROR(INDEX(Movimientos!$E$5:$E$2001,MATCH(A484&amp;"ENTRADA",Movimientos!$R$5:$R$2001,0)),"-")</f>
        <v>-</v>
      </c>
      <c r="E484" s="3" t="str">
        <f>IFERROR(INDEX(Movimientos!$F$5:$F$2001,MATCH(A484&amp;"ENTRADA",Movimientos!$R$5:$R$2001,0)),"-")</f>
        <v>-</v>
      </c>
      <c r="F484" s="3" t="str">
        <f>IFERROR(INDEX(Movimientos!$G$5:$G$2001,MATCH(A484&amp;"ENTRADA",Movimientos!$R$5:$R$2001,0)),"-")</f>
        <v>-</v>
      </c>
      <c r="G484" s="3" t="str">
        <f>IFERROR(INDEX(Movimientos!$L$5:$L$2001,MATCH(A484&amp;"ENTRADA",Movimientos!$R$5:$R$2001,0)),"-")</f>
        <v>-</v>
      </c>
      <c r="H484" s="19" t="str">
        <f>IFERROR(IF(INDEX(Movimientos!$M$5:$M$2001,MATCH(A484&amp;"ENTRADA",Movimientos!$R$5:$R$2001,0))=0,"S/D",INDEX(Movimientos!$M$5:$M$2001,MATCH(A484&amp;"ENTRADA",Movimientos!$R$5:$R$2001,0))),"S/D")</f>
        <v>S/D</v>
      </c>
      <c r="I484" s="16" t="str">
        <f t="shared" ca="1" si="16"/>
        <v>S/D</v>
      </c>
      <c r="J484" s="6">
        <f>IF(A484="","",SUMIFS(Movimientos!$K:$K,Movimientos!$H:$H,A484))</f>
        <v>0</v>
      </c>
      <c r="K484" s="14" t="str">
        <f t="shared" ca="1" si="17"/>
        <v>OK</v>
      </c>
    </row>
    <row r="485" spans="1:11">
      <c r="A485" s="18" t="s">
        <v>2558</v>
      </c>
      <c r="B485" s="3" t="str">
        <f>IFERROR(INDEX(Movimientos!$C$5:$C$2001,MATCH(A485&amp;"ENTRADA",Movimientos!$R$5:$R$2001,0)),"-")</f>
        <v>-</v>
      </c>
      <c r="C485" s="3" t="str">
        <f>IFERROR(INDEX(Movimientos!$D$5:$D$2001,MATCH(A485&amp;"ENTRADA",Movimientos!$R$5:$R$2001,0)),"-")</f>
        <v>-</v>
      </c>
      <c r="D485" s="3" t="str">
        <f>IFERROR(INDEX(Movimientos!$E$5:$E$2001,MATCH(A485&amp;"ENTRADA",Movimientos!$R$5:$R$2001,0)),"-")</f>
        <v>-</v>
      </c>
      <c r="E485" s="3" t="str">
        <f>IFERROR(INDEX(Movimientos!$F$5:$F$2001,MATCH(A485&amp;"ENTRADA",Movimientos!$R$5:$R$2001,0)),"-")</f>
        <v>-</v>
      </c>
      <c r="F485" s="3" t="str">
        <f>IFERROR(INDEX(Movimientos!$G$5:$G$2001,MATCH(A485&amp;"ENTRADA",Movimientos!$R$5:$R$2001,0)),"-")</f>
        <v>-</v>
      </c>
      <c r="G485" s="3" t="str">
        <f>IFERROR(INDEX(Movimientos!$L$5:$L$2001,MATCH(A485&amp;"ENTRADA",Movimientos!$R$5:$R$2001,0)),"-")</f>
        <v>-</v>
      </c>
      <c r="H485" s="19" t="str">
        <f>IFERROR(IF(INDEX(Movimientos!$M$5:$M$2001,MATCH(A485&amp;"ENTRADA",Movimientos!$R$5:$R$2001,0))=0,"S/D",INDEX(Movimientos!$M$5:$M$2001,MATCH(A485&amp;"ENTRADA",Movimientos!$R$5:$R$2001,0))),"S/D")</f>
        <v>S/D</v>
      </c>
      <c r="I485" s="16" t="str">
        <f t="shared" ca="1" si="16"/>
        <v>S/D</v>
      </c>
      <c r="J485" s="6">
        <f>IF(A485="","",SUMIFS(Movimientos!$K:$K,Movimientos!$H:$H,A485))</f>
        <v>0</v>
      </c>
      <c r="K485" s="14" t="str">
        <f t="shared" ca="1" si="17"/>
        <v>OK</v>
      </c>
    </row>
    <row r="486" spans="1:11">
      <c r="A486" s="18" t="s">
        <v>2559</v>
      </c>
      <c r="B486" s="3" t="str">
        <f>IFERROR(INDEX(Movimientos!$C$5:$C$2001,MATCH(A486&amp;"ENTRADA",Movimientos!$R$5:$R$2001,0)),"-")</f>
        <v>-</v>
      </c>
      <c r="C486" s="3" t="str">
        <f>IFERROR(INDEX(Movimientos!$D$5:$D$2001,MATCH(A486&amp;"ENTRADA",Movimientos!$R$5:$R$2001,0)),"-")</f>
        <v>-</v>
      </c>
      <c r="D486" s="3" t="str">
        <f>IFERROR(INDEX(Movimientos!$E$5:$E$2001,MATCH(A486&amp;"ENTRADA",Movimientos!$R$5:$R$2001,0)),"-")</f>
        <v>-</v>
      </c>
      <c r="E486" s="3" t="str">
        <f>IFERROR(INDEX(Movimientos!$F$5:$F$2001,MATCH(A486&amp;"ENTRADA",Movimientos!$R$5:$R$2001,0)),"-")</f>
        <v>-</v>
      </c>
      <c r="F486" s="3" t="str">
        <f>IFERROR(INDEX(Movimientos!$G$5:$G$2001,MATCH(A486&amp;"ENTRADA",Movimientos!$R$5:$R$2001,0)),"-")</f>
        <v>-</v>
      </c>
      <c r="G486" s="3" t="str">
        <f>IFERROR(INDEX(Movimientos!$L$5:$L$2001,MATCH(A486&amp;"ENTRADA",Movimientos!$R$5:$R$2001,0)),"-")</f>
        <v>-</v>
      </c>
      <c r="H486" s="19" t="str">
        <f>IFERROR(IF(INDEX(Movimientos!$M$5:$M$2001,MATCH(A486&amp;"ENTRADA",Movimientos!$R$5:$R$2001,0))=0,"S/D",INDEX(Movimientos!$M$5:$M$2001,MATCH(A486&amp;"ENTRADA",Movimientos!$R$5:$R$2001,0))),"S/D")</f>
        <v>S/D</v>
      </c>
      <c r="I486" s="16" t="str">
        <f t="shared" ca="1" si="16"/>
        <v>S/D</v>
      </c>
      <c r="J486" s="6">
        <f>IF(A486="","",SUMIFS(Movimientos!$K:$K,Movimientos!$H:$H,A486))</f>
        <v>0</v>
      </c>
      <c r="K486" s="14" t="str">
        <f t="shared" ca="1" si="17"/>
        <v>OK</v>
      </c>
    </row>
    <row r="487" spans="1:11">
      <c r="A487" s="18" t="s">
        <v>2560</v>
      </c>
      <c r="B487" s="3" t="str">
        <f>IFERROR(INDEX(Movimientos!$C$5:$C$2001,MATCH(A487&amp;"ENTRADA",Movimientos!$R$5:$R$2001,0)),"-")</f>
        <v>-</v>
      </c>
      <c r="C487" s="3" t="str">
        <f>IFERROR(INDEX(Movimientos!$D$5:$D$2001,MATCH(A487&amp;"ENTRADA",Movimientos!$R$5:$R$2001,0)),"-")</f>
        <v>-</v>
      </c>
      <c r="D487" s="3" t="str">
        <f>IFERROR(INDEX(Movimientos!$E$5:$E$2001,MATCH(A487&amp;"ENTRADA",Movimientos!$R$5:$R$2001,0)),"-")</f>
        <v>-</v>
      </c>
      <c r="E487" s="3" t="str">
        <f>IFERROR(INDEX(Movimientos!$F$5:$F$2001,MATCH(A487&amp;"ENTRADA",Movimientos!$R$5:$R$2001,0)),"-")</f>
        <v>-</v>
      </c>
      <c r="F487" s="3" t="str">
        <f>IFERROR(INDEX(Movimientos!$G$5:$G$2001,MATCH(A487&amp;"ENTRADA",Movimientos!$R$5:$R$2001,0)),"-")</f>
        <v>-</v>
      </c>
      <c r="G487" s="3" t="str">
        <f>IFERROR(INDEX(Movimientos!$L$5:$L$2001,MATCH(A487&amp;"ENTRADA",Movimientos!$R$5:$R$2001,0)),"-")</f>
        <v>-</v>
      </c>
      <c r="H487" s="19" t="str">
        <f>IFERROR(IF(INDEX(Movimientos!$M$5:$M$2001,MATCH(A487&amp;"ENTRADA",Movimientos!$R$5:$R$2001,0))=0,"S/D",INDEX(Movimientos!$M$5:$M$2001,MATCH(A487&amp;"ENTRADA",Movimientos!$R$5:$R$2001,0))),"S/D")</f>
        <v>S/D</v>
      </c>
      <c r="I487" s="16" t="str">
        <f t="shared" ca="1" si="16"/>
        <v>S/D</v>
      </c>
      <c r="J487" s="6">
        <f>IF(A487="","",SUMIFS(Movimientos!$K:$K,Movimientos!$H:$H,A487))</f>
        <v>0</v>
      </c>
      <c r="K487" s="14" t="str">
        <f t="shared" ca="1" si="17"/>
        <v>OK</v>
      </c>
    </row>
    <row r="488" spans="1:11">
      <c r="A488" s="18" t="s">
        <v>2561</v>
      </c>
      <c r="B488" s="3" t="str">
        <f>IFERROR(INDEX(Movimientos!$C$5:$C$2001,MATCH(A488&amp;"ENTRADA",Movimientos!$R$5:$R$2001,0)),"-")</f>
        <v>-</v>
      </c>
      <c r="C488" s="3" t="str">
        <f>IFERROR(INDEX(Movimientos!$D$5:$D$2001,MATCH(A488&amp;"ENTRADA",Movimientos!$R$5:$R$2001,0)),"-")</f>
        <v>-</v>
      </c>
      <c r="D488" s="3" t="str">
        <f>IFERROR(INDEX(Movimientos!$E$5:$E$2001,MATCH(A488&amp;"ENTRADA",Movimientos!$R$5:$R$2001,0)),"-")</f>
        <v>-</v>
      </c>
      <c r="E488" s="3" t="str">
        <f>IFERROR(INDEX(Movimientos!$F$5:$F$2001,MATCH(A488&amp;"ENTRADA",Movimientos!$R$5:$R$2001,0)),"-")</f>
        <v>-</v>
      </c>
      <c r="F488" s="3" t="str">
        <f>IFERROR(INDEX(Movimientos!$G$5:$G$2001,MATCH(A488&amp;"ENTRADA",Movimientos!$R$5:$R$2001,0)),"-")</f>
        <v>-</v>
      </c>
      <c r="G488" s="3" t="str">
        <f>IFERROR(INDEX(Movimientos!$L$5:$L$2001,MATCH(A488&amp;"ENTRADA",Movimientos!$R$5:$R$2001,0)),"-")</f>
        <v>-</v>
      </c>
      <c r="H488" s="19" t="str">
        <f>IFERROR(IF(INDEX(Movimientos!$M$5:$M$2001,MATCH(A488&amp;"ENTRADA",Movimientos!$R$5:$R$2001,0))=0,"S/D",INDEX(Movimientos!$M$5:$M$2001,MATCH(A488&amp;"ENTRADA",Movimientos!$R$5:$R$2001,0))),"S/D")</f>
        <v>S/D</v>
      </c>
      <c r="I488" s="16" t="str">
        <f t="shared" ca="1" si="16"/>
        <v>S/D</v>
      </c>
      <c r="J488" s="6">
        <f>IF(A488="","",SUMIFS(Movimientos!$K:$K,Movimientos!$H:$H,A488))</f>
        <v>0</v>
      </c>
      <c r="K488" s="14" t="str">
        <f t="shared" ca="1" si="17"/>
        <v>OK</v>
      </c>
    </row>
    <row r="489" spans="1:11">
      <c r="A489" s="18" t="s">
        <v>2562</v>
      </c>
      <c r="B489" s="3" t="str">
        <f>IFERROR(INDEX(Movimientos!$C$5:$C$2001,MATCH(A489&amp;"ENTRADA",Movimientos!$R$5:$R$2001,0)),"-")</f>
        <v>-</v>
      </c>
      <c r="C489" s="3" t="str">
        <f>IFERROR(INDEX(Movimientos!$D$5:$D$2001,MATCH(A489&amp;"ENTRADA",Movimientos!$R$5:$R$2001,0)),"-")</f>
        <v>-</v>
      </c>
      <c r="D489" s="3" t="str">
        <f>IFERROR(INDEX(Movimientos!$E$5:$E$2001,MATCH(A489&amp;"ENTRADA",Movimientos!$R$5:$R$2001,0)),"-")</f>
        <v>-</v>
      </c>
      <c r="E489" s="3" t="str">
        <f>IFERROR(INDEX(Movimientos!$F$5:$F$2001,MATCH(A489&amp;"ENTRADA",Movimientos!$R$5:$R$2001,0)),"-")</f>
        <v>-</v>
      </c>
      <c r="F489" s="3" t="str">
        <f>IFERROR(INDEX(Movimientos!$G$5:$G$2001,MATCH(A489&amp;"ENTRADA",Movimientos!$R$5:$R$2001,0)),"-")</f>
        <v>-</v>
      </c>
      <c r="G489" s="3" t="str">
        <f>IFERROR(INDEX(Movimientos!$L$5:$L$2001,MATCH(A489&amp;"ENTRADA",Movimientos!$R$5:$R$2001,0)),"-")</f>
        <v>-</v>
      </c>
      <c r="H489" s="19" t="str">
        <f>IFERROR(IF(INDEX(Movimientos!$M$5:$M$2001,MATCH(A489&amp;"ENTRADA",Movimientos!$R$5:$R$2001,0))=0,"S/D",INDEX(Movimientos!$M$5:$M$2001,MATCH(A489&amp;"ENTRADA",Movimientos!$R$5:$R$2001,0))),"S/D")</f>
        <v>S/D</v>
      </c>
      <c r="I489" s="16" t="str">
        <f t="shared" ca="1" si="16"/>
        <v>S/D</v>
      </c>
      <c r="J489" s="6">
        <f>IF(A489="","",SUMIFS(Movimientos!$K:$K,Movimientos!$H:$H,A489))</f>
        <v>0</v>
      </c>
      <c r="K489" s="14" t="str">
        <f t="shared" ca="1" si="17"/>
        <v>OK</v>
      </c>
    </row>
    <row r="490" spans="1:11">
      <c r="A490" s="18" t="s">
        <v>2563</v>
      </c>
      <c r="B490" s="3" t="str">
        <f>IFERROR(INDEX(Movimientos!$C$5:$C$2001,MATCH(A490&amp;"ENTRADA",Movimientos!$R$5:$R$2001,0)),"-")</f>
        <v>-</v>
      </c>
      <c r="C490" s="3" t="str">
        <f>IFERROR(INDEX(Movimientos!$D$5:$D$2001,MATCH(A490&amp;"ENTRADA",Movimientos!$R$5:$R$2001,0)),"-")</f>
        <v>-</v>
      </c>
      <c r="D490" s="3" t="str">
        <f>IFERROR(INDEX(Movimientos!$E$5:$E$2001,MATCH(A490&amp;"ENTRADA",Movimientos!$R$5:$R$2001,0)),"-")</f>
        <v>-</v>
      </c>
      <c r="E490" s="3" t="str">
        <f>IFERROR(INDEX(Movimientos!$F$5:$F$2001,MATCH(A490&amp;"ENTRADA",Movimientos!$R$5:$R$2001,0)),"-")</f>
        <v>-</v>
      </c>
      <c r="F490" s="3" t="str">
        <f>IFERROR(INDEX(Movimientos!$G$5:$G$2001,MATCH(A490&amp;"ENTRADA",Movimientos!$R$5:$R$2001,0)),"-")</f>
        <v>-</v>
      </c>
      <c r="G490" s="3" t="str">
        <f>IFERROR(INDEX(Movimientos!$L$5:$L$2001,MATCH(A490&amp;"ENTRADA",Movimientos!$R$5:$R$2001,0)),"-")</f>
        <v>-</v>
      </c>
      <c r="H490" s="19" t="str">
        <f>IFERROR(IF(INDEX(Movimientos!$M$5:$M$2001,MATCH(A490&amp;"ENTRADA",Movimientos!$R$5:$R$2001,0))=0,"S/D",INDEX(Movimientos!$M$5:$M$2001,MATCH(A490&amp;"ENTRADA",Movimientos!$R$5:$R$2001,0))),"S/D")</f>
        <v>S/D</v>
      </c>
      <c r="I490" s="16" t="str">
        <f t="shared" ca="1" si="16"/>
        <v>S/D</v>
      </c>
      <c r="J490" s="6">
        <f>IF(A490="","",SUMIFS(Movimientos!$K:$K,Movimientos!$H:$H,A490))</f>
        <v>0</v>
      </c>
      <c r="K490" s="14" t="str">
        <f t="shared" ca="1" si="17"/>
        <v>OK</v>
      </c>
    </row>
    <row r="491" spans="1:11">
      <c r="A491" s="18" t="s">
        <v>2564</v>
      </c>
      <c r="B491" s="3" t="str">
        <f>IFERROR(INDEX(Movimientos!$C$5:$C$2001,MATCH(A491&amp;"ENTRADA",Movimientos!$R$5:$R$2001,0)),"-")</f>
        <v>-</v>
      </c>
      <c r="C491" s="3" t="str">
        <f>IFERROR(INDEX(Movimientos!$D$5:$D$2001,MATCH(A491&amp;"ENTRADA",Movimientos!$R$5:$R$2001,0)),"-")</f>
        <v>-</v>
      </c>
      <c r="D491" s="3" t="str">
        <f>IFERROR(INDEX(Movimientos!$E$5:$E$2001,MATCH(A491&amp;"ENTRADA",Movimientos!$R$5:$R$2001,0)),"-")</f>
        <v>-</v>
      </c>
      <c r="E491" s="3" t="str">
        <f>IFERROR(INDEX(Movimientos!$F$5:$F$2001,MATCH(A491&amp;"ENTRADA",Movimientos!$R$5:$R$2001,0)),"-")</f>
        <v>-</v>
      </c>
      <c r="F491" s="3" t="str">
        <f>IFERROR(INDEX(Movimientos!$G$5:$G$2001,MATCH(A491&amp;"ENTRADA",Movimientos!$R$5:$R$2001,0)),"-")</f>
        <v>-</v>
      </c>
      <c r="G491" s="3" t="str">
        <f>IFERROR(INDEX(Movimientos!$L$5:$L$2001,MATCH(A491&amp;"ENTRADA",Movimientos!$R$5:$R$2001,0)),"-")</f>
        <v>-</v>
      </c>
      <c r="H491" s="19" t="str">
        <f>IFERROR(IF(INDEX(Movimientos!$M$5:$M$2001,MATCH(A491&amp;"ENTRADA",Movimientos!$R$5:$R$2001,0))=0,"S/D",INDEX(Movimientos!$M$5:$M$2001,MATCH(A491&amp;"ENTRADA",Movimientos!$R$5:$R$2001,0))),"S/D")</f>
        <v>S/D</v>
      </c>
      <c r="I491" s="16" t="str">
        <f t="shared" ca="1" si="16"/>
        <v>S/D</v>
      </c>
      <c r="J491" s="6">
        <f>IF(A491="","",SUMIFS(Movimientos!$K:$K,Movimientos!$H:$H,A491))</f>
        <v>0</v>
      </c>
      <c r="K491" s="14" t="str">
        <f t="shared" ca="1" si="17"/>
        <v>OK</v>
      </c>
    </row>
    <row r="492" spans="1:11">
      <c r="A492" s="18" t="s">
        <v>2565</v>
      </c>
      <c r="B492" s="3" t="str">
        <f>IFERROR(INDEX(Movimientos!$C$5:$C$2001,MATCH(A492&amp;"ENTRADA",Movimientos!$R$5:$R$2001,0)),"-")</f>
        <v>-</v>
      </c>
      <c r="C492" s="3" t="str">
        <f>IFERROR(INDEX(Movimientos!$D$5:$D$2001,MATCH(A492&amp;"ENTRADA",Movimientos!$R$5:$R$2001,0)),"-")</f>
        <v>-</v>
      </c>
      <c r="D492" s="3" t="str">
        <f>IFERROR(INDEX(Movimientos!$E$5:$E$2001,MATCH(A492&amp;"ENTRADA",Movimientos!$R$5:$R$2001,0)),"-")</f>
        <v>-</v>
      </c>
      <c r="E492" s="3" t="str">
        <f>IFERROR(INDEX(Movimientos!$F$5:$F$2001,MATCH(A492&amp;"ENTRADA",Movimientos!$R$5:$R$2001,0)),"-")</f>
        <v>-</v>
      </c>
      <c r="F492" s="3" t="str">
        <f>IFERROR(INDEX(Movimientos!$G$5:$G$2001,MATCH(A492&amp;"ENTRADA",Movimientos!$R$5:$R$2001,0)),"-")</f>
        <v>-</v>
      </c>
      <c r="G492" s="3" t="str">
        <f>IFERROR(INDEX(Movimientos!$L$5:$L$2001,MATCH(A492&amp;"ENTRADA",Movimientos!$R$5:$R$2001,0)),"-")</f>
        <v>-</v>
      </c>
      <c r="H492" s="19" t="str">
        <f>IFERROR(IF(INDEX(Movimientos!$M$5:$M$2001,MATCH(A492&amp;"ENTRADA",Movimientos!$R$5:$R$2001,0))=0,"S/D",INDEX(Movimientos!$M$5:$M$2001,MATCH(A492&amp;"ENTRADA",Movimientos!$R$5:$R$2001,0))),"S/D")</f>
        <v>S/D</v>
      </c>
      <c r="I492" s="16" t="str">
        <f t="shared" ca="1" si="16"/>
        <v>S/D</v>
      </c>
      <c r="J492" s="6">
        <f>IF(A492="","",SUMIFS(Movimientos!$K:$K,Movimientos!$H:$H,A492))</f>
        <v>0</v>
      </c>
      <c r="K492" s="14" t="str">
        <f t="shared" ca="1" si="17"/>
        <v>OK</v>
      </c>
    </row>
    <row r="493" spans="1:11">
      <c r="A493" s="18" t="s">
        <v>2566</v>
      </c>
      <c r="B493" s="3" t="str">
        <f>IFERROR(INDEX(Movimientos!$C$5:$C$2001,MATCH(A493&amp;"ENTRADA",Movimientos!$R$5:$R$2001,0)),"-")</f>
        <v>-</v>
      </c>
      <c r="C493" s="3" t="str">
        <f>IFERROR(INDEX(Movimientos!$D$5:$D$2001,MATCH(A493&amp;"ENTRADA",Movimientos!$R$5:$R$2001,0)),"-")</f>
        <v>-</v>
      </c>
      <c r="D493" s="3" t="str">
        <f>IFERROR(INDEX(Movimientos!$E$5:$E$2001,MATCH(A493&amp;"ENTRADA",Movimientos!$R$5:$R$2001,0)),"-")</f>
        <v>-</v>
      </c>
      <c r="E493" s="3" t="str">
        <f>IFERROR(INDEX(Movimientos!$F$5:$F$2001,MATCH(A493&amp;"ENTRADA",Movimientos!$R$5:$R$2001,0)),"-")</f>
        <v>-</v>
      </c>
      <c r="F493" s="3" t="str">
        <f>IFERROR(INDEX(Movimientos!$G$5:$G$2001,MATCH(A493&amp;"ENTRADA",Movimientos!$R$5:$R$2001,0)),"-")</f>
        <v>-</v>
      </c>
      <c r="G493" s="3" t="str">
        <f>IFERROR(INDEX(Movimientos!$L$5:$L$2001,MATCH(A493&amp;"ENTRADA",Movimientos!$R$5:$R$2001,0)),"-")</f>
        <v>-</v>
      </c>
      <c r="H493" s="19" t="str">
        <f>IFERROR(IF(INDEX(Movimientos!$M$5:$M$2001,MATCH(A493&amp;"ENTRADA",Movimientos!$R$5:$R$2001,0))=0,"S/D",INDEX(Movimientos!$M$5:$M$2001,MATCH(A493&amp;"ENTRADA",Movimientos!$R$5:$R$2001,0))),"S/D")</f>
        <v>S/D</v>
      </c>
      <c r="I493" s="16" t="str">
        <f t="shared" ca="1" si="16"/>
        <v>S/D</v>
      </c>
      <c r="J493" s="6">
        <f>IF(A493="","",SUMIFS(Movimientos!$K:$K,Movimientos!$H:$H,A493))</f>
        <v>0</v>
      </c>
      <c r="K493" s="14" t="str">
        <f t="shared" ca="1" si="17"/>
        <v>OK</v>
      </c>
    </row>
    <row r="494" spans="1:11">
      <c r="A494" s="18" t="s">
        <v>2567</v>
      </c>
      <c r="B494" s="3" t="str">
        <f>IFERROR(INDEX(Movimientos!$C$5:$C$2001,MATCH(A494&amp;"ENTRADA",Movimientos!$R$5:$R$2001,0)),"-")</f>
        <v>-</v>
      </c>
      <c r="C494" s="3" t="str">
        <f>IFERROR(INDEX(Movimientos!$D$5:$D$2001,MATCH(A494&amp;"ENTRADA",Movimientos!$R$5:$R$2001,0)),"-")</f>
        <v>-</v>
      </c>
      <c r="D494" s="3" t="str">
        <f>IFERROR(INDEX(Movimientos!$E$5:$E$2001,MATCH(A494&amp;"ENTRADA",Movimientos!$R$5:$R$2001,0)),"-")</f>
        <v>-</v>
      </c>
      <c r="E494" s="3" t="str">
        <f>IFERROR(INDEX(Movimientos!$F$5:$F$2001,MATCH(A494&amp;"ENTRADA",Movimientos!$R$5:$R$2001,0)),"-")</f>
        <v>-</v>
      </c>
      <c r="F494" s="3" t="str">
        <f>IFERROR(INDEX(Movimientos!$G$5:$G$2001,MATCH(A494&amp;"ENTRADA",Movimientos!$R$5:$R$2001,0)),"-")</f>
        <v>-</v>
      </c>
      <c r="G494" s="3" t="str">
        <f>IFERROR(INDEX(Movimientos!$L$5:$L$2001,MATCH(A494&amp;"ENTRADA",Movimientos!$R$5:$R$2001,0)),"-")</f>
        <v>-</v>
      </c>
      <c r="H494" s="19" t="str">
        <f>IFERROR(IF(INDEX(Movimientos!$M$5:$M$2001,MATCH(A494&amp;"ENTRADA",Movimientos!$R$5:$R$2001,0))=0,"S/D",INDEX(Movimientos!$M$5:$M$2001,MATCH(A494&amp;"ENTRADA",Movimientos!$R$5:$R$2001,0))),"S/D")</f>
        <v>S/D</v>
      </c>
      <c r="I494" s="16" t="str">
        <f t="shared" ca="1" si="16"/>
        <v>S/D</v>
      </c>
      <c r="J494" s="6">
        <f>IF(A494="","",SUMIFS(Movimientos!$K:$K,Movimientos!$H:$H,A494))</f>
        <v>0</v>
      </c>
      <c r="K494" s="14" t="str">
        <f t="shared" ca="1" si="17"/>
        <v>OK</v>
      </c>
    </row>
    <row r="495" spans="1:11">
      <c r="A495" s="18" t="s">
        <v>2568</v>
      </c>
      <c r="B495" s="3" t="str">
        <f>IFERROR(INDEX(Movimientos!$C$5:$C$2001,MATCH(A495&amp;"ENTRADA",Movimientos!$R$5:$R$2001,0)),"-")</f>
        <v>-</v>
      </c>
      <c r="C495" s="3" t="str">
        <f>IFERROR(INDEX(Movimientos!$D$5:$D$2001,MATCH(A495&amp;"ENTRADA",Movimientos!$R$5:$R$2001,0)),"-")</f>
        <v>-</v>
      </c>
      <c r="D495" s="3" t="str">
        <f>IFERROR(INDEX(Movimientos!$E$5:$E$2001,MATCH(A495&amp;"ENTRADA",Movimientos!$R$5:$R$2001,0)),"-")</f>
        <v>-</v>
      </c>
      <c r="E495" s="3" t="str">
        <f>IFERROR(INDEX(Movimientos!$F$5:$F$2001,MATCH(A495&amp;"ENTRADA",Movimientos!$R$5:$R$2001,0)),"-")</f>
        <v>-</v>
      </c>
      <c r="F495" s="3" t="str">
        <f>IFERROR(INDEX(Movimientos!$G$5:$G$2001,MATCH(A495&amp;"ENTRADA",Movimientos!$R$5:$R$2001,0)),"-")</f>
        <v>-</v>
      </c>
      <c r="G495" s="3" t="str">
        <f>IFERROR(INDEX(Movimientos!$L$5:$L$2001,MATCH(A495&amp;"ENTRADA",Movimientos!$R$5:$R$2001,0)),"-")</f>
        <v>-</v>
      </c>
      <c r="H495" s="19" t="str">
        <f>IFERROR(IF(INDEX(Movimientos!$M$5:$M$2001,MATCH(A495&amp;"ENTRADA",Movimientos!$R$5:$R$2001,0))=0,"S/D",INDEX(Movimientos!$M$5:$M$2001,MATCH(A495&amp;"ENTRADA",Movimientos!$R$5:$R$2001,0))),"S/D")</f>
        <v>S/D</v>
      </c>
      <c r="I495" s="16" t="str">
        <f t="shared" ca="1" si="16"/>
        <v>S/D</v>
      </c>
      <c r="J495" s="6">
        <f>IF(A495="","",SUMIFS(Movimientos!$K:$K,Movimientos!$H:$H,A495))</f>
        <v>0</v>
      </c>
      <c r="K495" s="14" t="str">
        <f t="shared" ca="1" si="17"/>
        <v>OK</v>
      </c>
    </row>
    <row r="496" spans="1:11">
      <c r="A496" s="18" t="s">
        <v>2569</v>
      </c>
      <c r="B496" s="3" t="str">
        <f>IFERROR(INDEX(Movimientos!$C$5:$C$2001,MATCH(A496&amp;"ENTRADA",Movimientos!$R$5:$R$2001,0)),"-")</f>
        <v>-</v>
      </c>
      <c r="C496" s="3" t="str">
        <f>IFERROR(INDEX(Movimientos!$D$5:$D$2001,MATCH(A496&amp;"ENTRADA",Movimientos!$R$5:$R$2001,0)),"-")</f>
        <v>-</v>
      </c>
      <c r="D496" s="3" t="str">
        <f>IFERROR(INDEX(Movimientos!$E$5:$E$2001,MATCH(A496&amp;"ENTRADA",Movimientos!$R$5:$R$2001,0)),"-")</f>
        <v>-</v>
      </c>
      <c r="E496" s="3" t="str">
        <f>IFERROR(INDEX(Movimientos!$F$5:$F$2001,MATCH(A496&amp;"ENTRADA",Movimientos!$R$5:$R$2001,0)),"-")</f>
        <v>-</v>
      </c>
      <c r="F496" s="3" t="str">
        <f>IFERROR(INDEX(Movimientos!$G$5:$G$2001,MATCH(A496&amp;"ENTRADA",Movimientos!$R$5:$R$2001,0)),"-")</f>
        <v>-</v>
      </c>
      <c r="G496" s="3" t="str">
        <f>IFERROR(INDEX(Movimientos!$L$5:$L$2001,MATCH(A496&amp;"ENTRADA",Movimientos!$R$5:$R$2001,0)),"-")</f>
        <v>-</v>
      </c>
      <c r="H496" s="19" t="str">
        <f>IFERROR(IF(INDEX(Movimientos!$M$5:$M$2001,MATCH(A496&amp;"ENTRADA",Movimientos!$R$5:$R$2001,0))=0,"S/D",INDEX(Movimientos!$M$5:$M$2001,MATCH(A496&amp;"ENTRADA",Movimientos!$R$5:$R$2001,0))),"S/D")</f>
        <v>S/D</v>
      </c>
      <c r="I496" s="16" t="str">
        <f t="shared" ca="1" si="16"/>
        <v>S/D</v>
      </c>
      <c r="J496" s="6">
        <f>IF(A496="","",SUMIFS(Movimientos!$K:$K,Movimientos!$H:$H,A496))</f>
        <v>0</v>
      </c>
      <c r="K496" s="14" t="str">
        <f t="shared" ca="1" si="17"/>
        <v>OK</v>
      </c>
    </row>
    <row r="497" spans="1:11">
      <c r="A497" s="18" t="s">
        <v>2570</v>
      </c>
      <c r="B497" s="3" t="str">
        <f>IFERROR(INDEX(Movimientos!$C$5:$C$2001,MATCH(A497&amp;"ENTRADA",Movimientos!$R$5:$R$2001,0)),"-")</f>
        <v>-</v>
      </c>
      <c r="C497" s="3" t="str">
        <f>IFERROR(INDEX(Movimientos!$D$5:$D$2001,MATCH(A497&amp;"ENTRADA",Movimientos!$R$5:$R$2001,0)),"-")</f>
        <v>-</v>
      </c>
      <c r="D497" s="3" t="str">
        <f>IFERROR(INDEX(Movimientos!$E$5:$E$2001,MATCH(A497&amp;"ENTRADA",Movimientos!$R$5:$R$2001,0)),"-")</f>
        <v>-</v>
      </c>
      <c r="E497" s="3" t="str">
        <f>IFERROR(INDEX(Movimientos!$F$5:$F$2001,MATCH(A497&amp;"ENTRADA",Movimientos!$R$5:$R$2001,0)),"-")</f>
        <v>-</v>
      </c>
      <c r="F497" s="3" t="str">
        <f>IFERROR(INDEX(Movimientos!$G$5:$G$2001,MATCH(A497&amp;"ENTRADA",Movimientos!$R$5:$R$2001,0)),"-")</f>
        <v>-</v>
      </c>
      <c r="G497" s="3" t="str">
        <f>IFERROR(INDEX(Movimientos!$L$5:$L$2001,MATCH(A497&amp;"ENTRADA",Movimientos!$R$5:$R$2001,0)),"-")</f>
        <v>-</v>
      </c>
      <c r="H497" s="19" t="str">
        <f>IFERROR(IF(INDEX(Movimientos!$M$5:$M$2001,MATCH(A497&amp;"ENTRADA",Movimientos!$R$5:$R$2001,0))=0,"S/D",INDEX(Movimientos!$M$5:$M$2001,MATCH(A497&amp;"ENTRADA",Movimientos!$R$5:$R$2001,0))),"S/D")</f>
        <v>S/D</v>
      </c>
      <c r="I497" s="16" t="str">
        <f t="shared" ca="1" si="16"/>
        <v>S/D</v>
      </c>
      <c r="J497" s="6">
        <f>IF(A497="","",SUMIFS(Movimientos!$K:$K,Movimientos!$H:$H,A497))</f>
        <v>0</v>
      </c>
      <c r="K497" s="14" t="str">
        <f t="shared" ca="1" si="17"/>
        <v>OK</v>
      </c>
    </row>
    <row r="498" spans="1:11">
      <c r="A498" s="18" t="s">
        <v>2571</v>
      </c>
      <c r="B498" s="3" t="str">
        <f>IFERROR(INDEX(Movimientos!$C$5:$C$2001,MATCH(A498&amp;"ENTRADA",Movimientos!$R$5:$R$2001,0)),"-")</f>
        <v>-</v>
      </c>
      <c r="C498" s="3" t="str">
        <f>IFERROR(INDEX(Movimientos!$D$5:$D$2001,MATCH(A498&amp;"ENTRADA",Movimientos!$R$5:$R$2001,0)),"-")</f>
        <v>-</v>
      </c>
      <c r="D498" s="3" t="str">
        <f>IFERROR(INDEX(Movimientos!$E$5:$E$2001,MATCH(A498&amp;"ENTRADA",Movimientos!$R$5:$R$2001,0)),"-")</f>
        <v>-</v>
      </c>
      <c r="E498" s="3" t="str">
        <f>IFERROR(INDEX(Movimientos!$F$5:$F$2001,MATCH(A498&amp;"ENTRADA",Movimientos!$R$5:$R$2001,0)),"-")</f>
        <v>-</v>
      </c>
      <c r="F498" s="3" t="str">
        <f>IFERROR(INDEX(Movimientos!$G$5:$G$2001,MATCH(A498&amp;"ENTRADA",Movimientos!$R$5:$R$2001,0)),"-")</f>
        <v>-</v>
      </c>
      <c r="G498" s="3" t="str">
        <f>IFERROR(INDEX(Movimientos!$L$5:$L$2001,MATCH(A498&amp;"ENTRADA",Movimientos!$R$5:$R$2001,0)),"-")</f>
        <v>-</v>
      </c>
      <c r="H498" s="19" t="str">
        <f>IFERROR(IF(INDEX(Movimientos!$M$5:$M$2001,MATCH(A498&amp;"ENTRADA",Movimientos!$R$5:$R$2001,0))=0,"S/D",INDEX(Movimientos!$M$5:$M$2001,MATCH(A498&amp;"ENTRADA",Movimientos!$R$5:$R$2001,0))),"S/D")</f>
        <v>S/D</v>
      </c>
      <c r="I498" s="16" t="str">
        <f t="shared" ca="1" si="16"/>
        <v>S/D</v>
      </c>
      <c r="J498" s="6">
        <f>IF(A498="","",SUMIFS(Movimientos!$K:$K,Movimientos!$H:$H,A498))</f>
        <v>0</v>
      </c>
      <c r="K498" s="14" t="str">
        <f t="shared" ca="1" si="17"/>
        <v>OK</v>
      </c>
    </row>
    <row r="499" spans="1:11">
      <c r="A499" s="18" t="s">
        <v>2572</v>
      </c>
      <c r="B499" s="3" t="str">
        <f>IFERROR(INDEX(Movimientos!$C$5:$C$2001,MATCH(A499&amp;"ENTRADA",Movimientos!$R$5:$R$2001,0)),"-")</f>
        <v>-</v>
      </c>
      <c r="C499" s="3" t="str">
        <f>IFERROR(INDEX(Movimientos!$D$5:$D$2001,MATCH(A499&amp;"ENTRADA",Movimientos!$R$5:$R$2001,0)),"-")</f>
        <v>-</v>
      </c>
      <c r="D499" s="3" t="str">
        <f>IFERROR(INDEX(Movimientos!$E$5:$E$2001,MATCH(A499&amp;"ENTRADA",Movimientos!$R$5:$R$2001,0)),"-")</f>
        <v>-</v>
      </c>
      <c r="E499" s="3" t="str">
        <f>IFERROR(INDEX(Movimientos!$F$5:$F$2001,MATCH(A499&amp;"ENTRADA",Movimientos!$R$5:$R$2001,0)),"-")</f>
        <v>-</v>
      </c>
      <c r="F499" s="3" t="str">
        <f>IFERROR(INDEX(Movimientos!$G$5:$G$2001,MATCH(A499&amp;"ENTRADA",Movimientos!$R$5:$R$2001,0)),"-")</f>
        <v>-</v>
      </c>
      <c r="G499" s="3" t="str">
        <f>IFERROR(INDEX(Movimientos!$L$5:$L$2001,MATCH(A499&amp;"ENTRADA",Movimientos!$R$5:$R$2001,0)),"-")</f>
        <v>-</v>
      </c>
      <c r="H499" s="19" t="str">
        <f>IFERROR(IF(INDEX(Movimientos!$M$5:$M$2001,MATCH(A499&amp;"ENTRADA",Movimientos!$R$5:$R$2001,0))=0,"S/D",INDEX(Movimientos!$M$5:$M$2001,MATCH(A499&amp;"ENTRADA",Movimientos!$R$5:$R$2001,0))),"S/D")</f>
        <v>S/D</v>
      </c>
      <c r="I499" s="16" t="str">
        <f t="shared" ca="1" si="16"/>
        <v>S/D</v>
      </c>
      <c r="J499" s="6">
        <f>IF(A499="","",SUMIFS(Movimientos!$K:$K,Movimientos!$H:$H,A499))</f>
        <v>0</v>
      </c>
      <c r="K499" s="14" t="str">
        <f t="shared" ca="1" si="17"/>
        <v>OK</v>
      </c>
    </row>
    <row r="500" spans="1:11">
      <c r="A500" s="18" t="s">
        <v>2573</v>
      </c>
      <c r="B500" s="3" t="str">
        <f>IFERROR(INDEX(Movimientos!$C$5:$C$2001,MATCH(A500&amp;"ENTRADA",Movimientos!$R$5:$R$2001,0)),"-")</f>
        <v>-</v>
      </c>
      <c r="C500" s="3" t="str">
        <f>IFERROR(INDEX(Movimientos!$D$5:$D$2001,MATCH(A500&amp;"ENTRADA",Movimientos!$R$5:$R$2001,0)),"-")</f>
        <v>-</v>
      </c>
      <c r="D500" s="3" t="str">
        <f>IFERROR(INDEX(Movimientos!$E$5:$E$2001,MATCH(A500&amp;"ENTRADA",Movimientos!$R$5:$R$2001,0)),"-")</f>
        <v>-</v>
      </c>
      <c r="E500" s="3" t="str">
        <f>IFERROR(INDEX(Movimientos!$F$5:$F$2001,MATCH(A500&amp;"ENTRADA",Movimientos!$R$5:$R$2001,0)),"-")</f>
        <v>-</v>
      </c>
      <c r="F500" s="3" t="str">
        <f>IFERROR(INDEX(Movimientos!$G$5:$G$2001,MATCH(A500&amp;"ENTRADA",Movimientos!$R$5:$R$2001,0)),"-")</f>
        <v>-</v>
      </c>
      <c r="G500" s="3" t="str">
        <f>IFERROR(INDEX(Movimientos!$L$5:$L$2001,MATCH(A500&amp;"ENTRADA",Movimientos!$R$5:$R$2001,0)),"-")</f>
        <v>-</v>
      </c>
      <c r="H500" s="19" t="str">
        <f>IFERROR(IF(INDEX(Movimientos!$M$5:$M$2001,MATCH(A500&amp;"ENTRADA",Movimientos!$R$5:$R$2001,0))=0,"S/D",INDEX(Movimientos!$M$5:$M$2001,MATCH(A500&amp;"ENTRADA",Movimientos!$R$5:$R$2001,0))),"S/D")</f>
        <v>S/D</v>
      </c>
      <c r="I500" s="16" t="str">
        <f t="shared" ca="1" si="16"/>
        <v>S/D</v>
      </c>
      <c r="J500" s="6">
        <f>IF(A500="","",SUMIFS(Movimientos!$K:$K,Movimientos!$H:$H,A500))</f>
        <v>0</v>
      </c>
      <c r="K500" s="14" t="str">
        <f t="shared" ca="1" si="17"/>
        <v>OK</v>
      </c>
    </row>
    <row r="501" spans="1:11">
      <c r="A501" s="18" t="s">
        <v>2574</v>
      </c>
      <c r="B501" s="3" t="str">
        <f>IFERROR(INDEX(Movimientos!$C$5:$C$2001,MATCH(A501&amp;"ENTRADA",Movimientos!$R$5:$R$2001,0)),"-")</f>
        <v>-</v>
      </c>
      <c r="C501" s="3" t="str">
        <f>IFERROR(INDEX(Movimientos!$D$5:$D$2001,MATCH(A501&amp;"ENTRADA",Movimientos!$R$5:$R$2001,0)),"-")</f>
        <v>-</v>
      </c>
      <c r="D501" s="3" t="str">
        <f>IFERROR(INDEX(Movimientos!$E$5:$E$2001,MATCH(A501&amp;"ENTRADA",Movimientos!$R$5:$R$2001,0)),"-")</f>
        <v>-</v>
      </c>
      <c r="E501" s="3" t="str">
        <f>IFERROR(INDEX(Movimientos!$F$5:$F$2001,MATCH(A501&amp;"ENTRADA",Movimientos!$R$5:$R$2001,0)),"-")</f>
        <v>-</v>
      </c>
      <c r="F501" s="3" t="str">
        <f>IFERROR(INDEX(Movimientos!$G$5:$G$2001,MATCH(A501&amp;"ENTRADA",Movimientos!$R$5:$R$2001,0)),"-")</f>
        <v>-</v>
      </c>
      <c r="G501" s="3" t="str">
        <f>IFERROR(INDEX(Movimientos!$L$5:$L$2001,MATCH(A501&amp;"ENTRADA",Movimientos!$R$5:$R$2001,0)),"-")</f>
        <v>-</v>
      </c>
      <c r="H501" s="19" t="str">
        <f>IFERROR(IF(INDEX(Movimientos!$M$5:$M$2001,MATCH(A501&amp;"ENTRADA",Movimientos!$R$5:$R$2001,0))=0,"S/D",INDEX(Movimientos!$M$5:$M$2001,MATCH(A501&amp;"ENTRADA",Movimientos!$R$5:$R$2001,0))),"S/D")</f>
        <v>S/D</v>
      </c>
      <c r="I501" s="16" t="str">
        <f t="shared" ca="1" si="16"/>
        <v>S/D</v>
      </c>
      <c r="J501" s="6">
        <f>IF(A501="","",SUMIFS(Movimientos!$K:$K,Movimientos!$H:$H,A501))</f>
        <v>0</v>
      </c>
      <c r="K501" s="14" t="str">
        <f t="shared" ca="1" si="17"/>
        <v>OK</v>
      </c>
    </row>
    <row r="502" spans="1:11">
      <c r="A502" s="18" t="s">
        <v>2575</v>
      </c>
      <c r="B502" s="3" t="str">
        <f>IFERROR(INDEX(Movimientos!$C$5:$C$2001,MATCH(A502&amp;"ENTRADA",Movimientos!$R$5:$R$2001,0)),"-")</f>
        <v>-</v>
      </c>
      <c r="C502" s="3" t="str">
        <f>IFERROR(INDEX(Movimientos!$D$5:$D$2001,MATCH(A502&amp;"ENTRADA",Movimientos!$R$5:$R$2001,0)),"-")</f>
        <v>-</v>
      </c>
      <c r="D502" s="3" t="str">
        <f>IFERROR(INDEX(Movimientos!$E$5:$E$2001,MATCH(A502&amp;"ENTRADA",Movimientos!$R$5:$R$2001,0)),"-")</f>
        <v>-</v>
      </c>
      <c r="E502" s="3" t="str">
        <f>IFERROR(INDEX(Movimientos!$F$5:$F$2001,MATCH(A502&amp;"ENTRADA",Movimientos!$R$5:$R$2001,0)),"-")</f>
        <v>-</v>
      </c>
      <c r="F502" s="3" t="str">
        <f>IFERROR(INDEX(Movimientos!$G$5:$G$2001,MATCH(A502&amp;"ENTRADA",Movimientos!$R$5:$R$2001,0)),"-")</f>
        <v>-</v>
      </c>
      <c r="G502" s="3" t="str">
        <f>IFERROR(INDEX(Movimientos!$L$5:$L$2001,MATCH(A502&amp;"ENTRADA",Movimientos!$R$5:$R$2001,0)),"-")</f>
        <v>-</v>
      </c>
      <c r="H502" s="19" t="str">
        <f>IFERROR(IF(INDEX(Movimientos!$M$5:$M$2001,MATCH(A502&amp;"ENTRADA",Movimientos!$R$5:$R$2001,0))=0,"S/D",INDEX(Movimientos!$M$5:$M$2001,MATCH(A502&amp;"ENTRADA",Movimientos!$R$5:$R$2001,0))),"S/D")</f>
        <v>S/D</v>
      </c>
      <c r="I502" s="16" t="str">
        <f t="shared" ca="1" si="16"/>
        <v>S/D</v>
      </c>
      <c r="J502" s="6">
        <f>IF(A502="","",SUMIFS(Movimientos!$K:$K,Movimientos!$H:$H,A502))</f>
        <v>0</v>
      </c>
      <c r="K502" s="14" t="str">
        <f t="shared" ca="1" si="17"/>
        <v>OK</v>
      </c>
    </row>
    <row r="503" spans="1:11">
      <c r="A503" s="18" t="s">
        <v>2576</v>
      </c>
      <c r="B503" s="3" t="str">
        <f>IFERROR(INDEX(Movimientos!$C$5:$C$2001,MATCH(A503&amp;"ENTRADA",Movimientos!$R$5:$R$2001,0)),"-")</f>
        <v>-</v>
      </c>
      <c r="C503" s="3" t="str">
        <f>IFERROR(INDEX(Movimientos!$D$5:$D$2001,MATCH(A503&amp;"ENTRADA",Movimientos!$R$5:$R$2001,0)),"-")</f>
        <v>-</v>
      </c>
      <c r="D503" s="3" t="str">
        <f>IFERROR(INDEX(Movimientos!$E$5:$E$2001,MATCH(A503&amp;"ENTRADA",Movimientos!$R$5:$R$2001,0)),"-")</f>
        <v>-</v>
      </c>
      <c r="E503" s="3" t="str">
        <f>IFERROR(INDEX(Movimientos!$F$5:$F$2001,MATCH(A503&amp;"ENTRADA",Movimientos!$R$5:$R$2001,0)),"-")</f>
        <v>-</v>
      </c>
      <c r="F503" s="3" t="str">
        <f>IFERROR(INDEX(Movimientos!$G$5:$G$2001,MATCH(A503&amp;"ENTRADA",Movimientos!$R$5:$R$2001,0)),"-")</f>
        <v>-</v>
      </c>
      <c r="G503" s="3" t="str">
        <f>IFERROR(INDEX(Movimientos!$L$5:$L$2001,MATCH(A503&amp;"ENTRADA",Movimientos!$R$5:$R$2001,0)),"-")</f>
        <v>-</v>
      </c>
      <c r="H503" s="19" t="str">
        <f>IFERROR(IF(INDEX(Movimientos!$M$5:$M$2001,MATCH(A503&amp;"ENTRADA",Movimientos!$R$5:$R$2001,0))=0,"S/D",INDEX(Movimientos!$M$5:$M$2001,MATCH(A503&amp;"ENTRADA",Movimientos!$R$5:$R$2001,0))),"S/D")</f>
        <v>S/D</v>
      </c>
      <c r="I503" s="16" t="str">
        <f t="shared" ca="1" si="16"/>
        <v>S/D</v>
      </c>
      <c r="J503" s="6">
        <f>IF(A503="","",SUMIFS(Movimientos!$K:$K,Movimientos!$H:$H,A503))</f>
        <v>0</v>
      </c>
      <c r="K503" s="14" t="str">
        <f t="shared" ca="1" si="17"/>
        <v>OK</v>
      </c>
    </row>
    <row r="504" spans="1:11">
      <c r="A504" s="18" t="s">
        <v>2577</v>
      </c>
      <c r="B504" s="3" t="str">
        <f>IFERROR(INDEX(Movimientos!$C$5:$C$2001,MATCH(A504&amp;"ENTRADA",Movimientos!$R$5:$R$2001,0)),"-")</f>
        <v>-</v>
      </c>
      <c r="C504" s="3" t="str">
        <f>IFERROR(INDEX(Movimientos!$D$5:$D$2001,MATCH(A504&amp;"ENTRADA",Movimientos!$R$5:$R$2001,0)),"-")</f>
        <v>-</v>
      </c>
      <c r="D504" s="3" t="str">
        <f>IFERROR(INDEX(Movimientos!$E$5:$E$2001,MATCH(A504&amp;"ENTRADA",Movimientos!$R$5:$R$2001,0)),"-")</f>
        <v>-</v>
      </c>
      <c r="E504" s="3" t="str">
        <f>IFERROR(INDEX(Movimientos!$F$5:$F$2001,MATCH(A504&amp;"ENTRADA",Movimientos!$R$5:$R$2001,0)),"-")</f>
        <v>-</v>
      </c>
      <c r="F504" s="3" t="str">
        <f>IFERROR(INDEX(Movimientos!$G$5:$G$2001,MATCH(A504&amp;"ENTRADA",Movimientos!$R$5:$R$2001,0)),"-")</f>
        <v>-</v>
      </c>
      <c r="G504" s="3" t="str">
        <f>IFERROR(INDEX(Movimientos!$L$5:$L$2001,MATCH(A504&amp;"ENTRADA",Movimientos!$R$5:$R$2001,0)),"-")</f>
        <v>-</v>
      </c>
      <c r="H504" s="19" t="str">
        <f>IFERROR(IF(INDEX(Movimientos!$M$5:$M$2001,MATCH(A504&amp;"ENTRADA",Movimientos!$R$5:$R$2001,0))=0,"S/D",INDEX(Movimientos!$M$5:$M$2001,MATCH(A504&amp;"ENTRADA",Movimientos!$R$5:$R$2001,0))),"S/D")</f>
        <v>S/D</v>
      </c>
      <c r="I504" s="16" t="str">
        <f t="shared" ca="1" si="16"/>
        <v>S/D</v>
      </c>
      <c r="J504" s="6">
        <f>IF(A504="","",SUMIFS(Movimientos!$K:$K,Movimientos!$H:$H,A504))</f>
        <v>0</v>
      </c>
      <c r="K504" s="14" t="str">
        <f t="shared" ca="1" si="17"/>
        <v>OK</v>
      </c>
    </row>
    <row r="505" spans="1:11">
      <c r="A505" s="18" t="s">
        <v>2578</v>
      </c>
      <c r="B505" s="3" t="str">
        <f>IFERROR(INDEX(Movimientos!$C$5:$C$2001,MATCH(A505&amp;"ENTRADA",Movimientos!$R$5:$R$2001,0)),"-")</f>
        <v>-</v>
      </c>
      <c r="C505" s="3" t="str">
        <f>IFERROR(INDEX(Movimientos!$D$5:$D$2001,MATCH(A505&amp;"ENTRADA",Movimientos!$R$5:$R$2001,0)),"-")</f>
        <v>-</v>
      </c>
      <c r="D505" s="3" t="str">
        <f>IFERROR(INDEX(Movimientos!$E$5:$E$2001,MATCH(A505&amp;"ENTRADA",Movimientos!$R$5:$R$2001,0)),"-")</f>
        <v>-</v>
      </c>
      <c r="E505" s="3" t="str">
        <f>IFERROR(INDEX(Movimientos!$F$5:$F$2001,MATCH(A505&amp;"ENTRADA",Movimientos!$R$5:$R$2001,0)),"-")</f>
        <v>-</v>
      </c>
      <c r="F505" s="3" t="str">
        <f>IFERROR(INDEX(Movimientos!$G$5:$G$2001,MATCH(A505&amp;"ENTRADA",Movimientos!$R$5:$R$2001,0)),"-")</f>
        <v>-</v>
      </c>
      <c r="G505" s="3" t="str">
        <f>IFERROR(INDEX(Movimientos!$L$5:$L$2001,MATCH(A505&amp;"ENTRADA",Movimientos!$R$5:$R$2001,0)),"-")</f>
        <v>-</v>
      </c>
      <c r="H505" s="19" t="str">
        <f>IFERROR(IF(INDEX(Movimientos!$M$5:$M$2001,MATCH(A505&amp;"ENTRADA",Movimientos!$R$5:$R$2001,0))=0,"S/D",INDEX(Movimientos!$M$5:$M$2001,MATCH(A505&amp;"ENTRADA",Movimientos!$R$5:$R$2001,0))),"S/D")</f>
        <v>S/D</v>
      </c>
      <c r="I505" s="16" t="str">
        <f t="shared" ca="1" si="16"/>
        <v>S/D</v>
      </c>
      <c r="J505" s="6">
        <f>IF(A505="","",SUMIFS(Movimientos!$K:$K,Movimientos!$H:$H,A505))</f>
        <v>0</v>
      </c>
      <c r="K505" s="14" t="str">
        <f t="shared" ca="1" si="17"/>
        <v>OK</v>
      </c>
    </row>
    <row r="506" spans="1:11">
      <c r="A506" s="18" t="s">
        <v>2579</v>
      </c>
      <c r="B506" s="3" t="str">
        <f>IFERROR(INDEX(Movimientos!$C$5:$C$2001,MATCH(A506&amp;"ENTRADA",Movimientos!$R$5:$R$2001,0)),"-")</f>
        <v>-</v>
      </c>
      <c r="C506" s="3" t="str">
        <f>IFERROR(INDEX(Movimientos!$D$5:$D$2001,MATCH(A506&amp;"ENTRADA",Movimientos!$R$5:$R$2001,0)),"-")</f>
        <v>-</v>
      </c>
      <c r="D506" s="3" t="str">
        <f>IFERROR(INDEX(Movimientos!$E$5:$E$2001,MATCH(A506&amp;"ENTRADA",Movimientos!$R$5:$R$2001,0)),"-")</f>
        <v>-</v>
      </c>
      <c r="E506" s="3" t="str">
        <f>IFERROR(INDEX(Movimientos!$F$5:$F$2001,MATCH(A506&amp;"ENTRADA",Movimientos!$R$5:$R$2001,0)),"-")</f>
        <v>-</v>
      </c>
      <c r="F506" s="3" t="str">
        <f>IFERROR(INDEX(Movimientos!$G$5:$G$2001,MATCH(A506&amp;"ENTRADA",Movimientos!$R$5:$R$2001,0)),"-")</f>
        <v>-</v>
      </c>
      <c r="G506" s="3" t="str">
        <f>IFERROR(INDEX(Movimientos!$L$5:$L$2001,MATCH(A506&amp;"ENTRADA",Movimientos!$R$5:$R$2001,0)),"-")</f>
        <v>-</v>
      </c>
      <c r="H506" s="19" t="str">
        <f>IFERROR(IF(INDEX(Movimientos!$M$5:$M$2001,MATCH(A506&amp;"ENTRADA",Movimientos!$R$5:$R$2001,0))=0,"S/D",INDEX(Movimientos!$M$5:$M$2001,MATCH(A506&amp;"ENTRADA",Movimientos!$R$5:$R$2001,0))),"S/D")</f>
        <v>S/D</v>
      </c>
      <c r="I506" s="16" t="str">
        <f t="shared" ca="1" si="16"/>
        <v>S/D</v>
      </c>
      <c r="J506" s="6">
        <f>IF(A506="","",SUMIFS(Movimientos!$K:$K,Movimientos!$H:$H,A506))</f>
        <v>0</v>
      </c>
      <c r="K506" s="14" t="str">
        <f t="shared" ca="1" si="17"/>
        <v>OK</v>
      </c>
    </row>
    <row r="507" spans="1:11">
      <c r="A507" s="18" t="s">
        <v>2580</v>
      </c>
      <c r="B507" s="3" t="str">
        <f>IFERROR(INDEX(Movimientos!$C$5:$C$2001,MATCH(A507&amp;"ENTRADA",Movimientos!$R$5:$R$2001,0)),"-")</f>
        <v>-</v>
      </c>
      <c r="C507" s="3" t="str">
        <f>IFERROR(INDEX(Movimientos!$D$5:$D$2001,MATCH(A507&amp;"ENTRADA",Movimientos!$R$5:$R$2001,0)),"-")</f>
        <v>-</v>
      </c>
      <c r="D507" s="3" t="str">
        <f>IFERROR(INDEX(Movimientos!$E$5:$E$2001,MATCH(A507&amp;"ENTRADA",Movimientos!$R$5:$R$2001,0)),"-")</f>
        <v>-</v>
      </c>
      <c r="E507" s="3" t="str">
        <f>IFERROR(INDEX(Movimientos!$F$5:$F$2001,MATCH(A507&amp;"ENTRADA",Movimientos!$R$5:$R$2001,0)),"-")</f>
        <v>-</v>
      </c>
      <c r="F507" s="3" t="str">
        <f>IFERROR(INDEX(Movimientos!$G$5:$G$2001,MATCH(A507&amp;"ENTRADA",Movimientos!$R$5:$R$2001,0)),"-")</f>
        <v>-</v>
      </c>
      <c r="G507" s="3" t="str">
        <f>IFERROR(INDEX(Movimientos!$L$5:$L$2001,MATCH(A507&amp;"ENTRADA",Movimientos!$R$5:$R$2001,0)),"-")</f>
        <v>-</v>
      </c>
      <c r="H507" s="19" t="str">
        <f>IFERROR(IF(INDEX(Movimientos!$M$5:$M$2001,MATCH(A507&amp;"ENTRADA",Movimientos!$R$5:$R$2001,0))=0,"S/D",INDEX(Movimientos!$M$5:$M$2001,MATCH(A507&amp;"ENTRADA",Movimientos!$R$5:$R$2001,0))),"S/D")</f>
        <v>S/D</v>
      </c>
      <c r="I507" s="16" t="str">
        <f t="shared" ca="1" si="16"/>
        <v>S/D</v>
      </c>
      <c r="J507" s="6">
        <f>IF(A507="","",SUMIFS(Movimientos!$K:$K,Movimientos!$H:$H,A507))</f>
        <v>0</v>
      </c>
      <c r="K507" s="14" t="str">
        <f t="shared" ca="1" si="17"/>
        <v>OK</v>
      </c>
    </row>
    <row r="508" spans="1:11">
      <c r="A508" s="18" t="s">
        <v>2581</v>
      </c>
      <c r="B508" s="3" t="str">
        <f>IFERROR(INDEX(Movimientos!$C$5:$C$2001,MATCH(A508&amp;"ENTRADA",Movimientos!$R$5:$R$2001,0)),"-")</f>
        <v>-</v>
      </c>
      <c r="C508" s="3" t="str">
        <f>IFERROR(INDEX(Movimientos!$D$5:$D$2001,MATCH(A508&amp;"ENTRADA",Movimientos!$R$5:$R$2001,0)),"-")</f>
        <v>-</v>
      </c>
      <c r="D508" s="3" t="str">
        <f>IFERROR(INDEX(Movimientos!$E$5:$E$2001,MATCH(A508&amp;"ENTRADA",Movimientos!$R$5:$R$2001,0)),"-")</f>
        <v>-</v>
      </c>
      <c r="E508" s="3" t="str">
        <f>IFERROR(INDEX(Movimientos!$F$5:$F$2001,MATCH(A508&amp;"ENTRADA",Movimientos!$R$5:$R$2001,0)),"-")</f>
        <v>-</v>
      </c>
      <c r="F508" s="3" t="str">
        <f>IFERROR(INDEX(Movimientos!$G$5:$G$2001,MATCH(A508&amp;"ENTRADA",Movimientos!$R$5:$R$2001,0)),"-")</f>
        <v>-</v>
      </c>
      <c r="G508" s="3" t="str">
        <f>IFERROR(INDEX(Movimientos!$L$5:$L$2001,MATCH(A508&amp;"ENTRADA",Movimientos!$R$5:$R$2001,0)),"-")</f>
        <v>-</v>
      </c>
      <c r="H508" s="19" t="str">
        <f>IFERROR(IF(INDEX(Movimientos!$M$5:$M$2001,MATCH(A508&amp;"ENTRADA",Movimientos!$R$5:$R$2001,0))=0,"S/D",INDEX(Movimientos!$M$5:$M$2001,MATCH(A508&amp;"ENTRADA",Movimientos!$R$5:$R$2001,0))),"S/D")</f>
        <v>S/D</v>
      </c>
      <c r="I508" s="16" t="str">
        <f t="shared" ca="1" si="16"/>
        <v>S/D</v>
      </c>
      <c r="J508" s="6">
        <f>IF(A508="","",SUMIFS(Movimientos!$K:$K,Movimientos!$H:$H,A508))</f>
        <v>0</v>
      </c>
      <c r="K508" s="14" t="str">
        <f t="shared" ca="1" si="17"/>
        <v>OK</v>
      </c>
    </row>
    <row r="509" spans="1:11">
      <c r="A509" s="18" t="s">
        <v>2582</v>
      </c>
      <c r="B509" s="3" t="str">
        <f>IFERROR(INDEX(Movimientos!$C$5:$C$2001,MATCH(A509&amp;"ENTRADA",Movimientos!$R$5:$R$2001,0)),"-")</f>
        <v>-</v>
      </c>
      <c r="C509" s="3" t="str">
        <f>IFERROR(INDEX(Movimientos!$D$5:$D$2001,MATCH(A509&amp;"ENTRADA",Movimientos!$R$5:$R$2001,0)),"-")</f>
        <v>-</v>
      </c>
      <c r="D509" s="3" t="str">
        <f>IFERROR(INDEX(Movimientos!$E$5:$E$2001,MATCH(A509&amp;"ENTRADA",Movimientos!$R$5:$R$2001,0)),"-")</f>
        <v>-</v>
      </c>
      <c r="E509" s="3" t="str">
        <f>IFERROR(INDEX(Movimientos!$F$5:$F$2001,MATCH(A509&amp;"ENTRADA",Movimientos!$R$5:$R$2001,0)),"-")</f>
        <v>-</v>
      </c>
      <c r="F509" s="3" t="str">
        <f>IFERROR(INDEX(Movimientos!$G$5:$G$2001,MATCH(A509&amp;"ENTRADA",Movimientos!$R$5:$R$2001,0)),"-")</f>
        <v>-</v>
      </c>
      <c r="G509" s="3" t="str">
        <f>IFERROR(INDEX(Movimientos!$L$5:$L$2001,MATCH(A509&amp;"ENTRADA",Movimientos!$R$5:$R$2001,0)),"-")</f>
        <v>-</v>
      </c>
      <c r="H509" s="19" t="str">
        <f>IFERROR(IF(INDEX(Movimientos!$M$5:$M$2001,MATCH(A509&amp;"ENTRADA",Movimientos!$R$5:$R$2001,0))=0,"S/D",INDEX(Movimientos!$M$5:$M$2001,MATCH(A509&amp;"ENTRADA",Movimientos!$R$5:$R$2001,0))),"S/D")</f>
        <v>S/D</v>
      </c>
      <c r="I509" s="16" t="str">
        <f t="shared" ca="1" si="16"/>
        <v>S/D</v>
      </c>
      <c r="J509" s="6">
        <f>IF(A509="","",SUMIFS(Movimientos!$K:$K,Movimientos!$H:$H,A509))</f>
        <v>0</v>
      </c>
      <c r="K509" s="14" t="str">
        <f t="shared" ca="1" si="17"/>
        <v>OK</v>
      </c>
    </row>
    <row r="510" spans="1:11">
      <c r="A510" s="18" t="s">
        <v>2583</v>
      </c>
      <c r="B510" s="3" t="str">
        <f>IFERROR(INDEX(Movimientos!$C$5:$C$2001,MATCH(A510&amp;"ENTRADA",Movimientos!$R$5:$R$2001,0)),"-")</f>
        <v>-</v>
      </c>
      <c r="C510" s="3" t="str">
        <f>IFERROR(INDEX(Movimientos!$D$5:$D$2001,MATCH(A510&amp;"ENTRADA",Movimientos!$R$5:$R$2001,0)),"-")</f>
        <v>-</v>
      </c>
      <c r="D510" s="3" t="str">
        <f>IFERROR(INDEX(Movimientos!$E$5:$E$2001,MATCH(A510&amp;"ENTRADA",Movimientos!$R$5:$R$2001,0)),"-")</f>
        <v>-</v>
      </c>
      <c r="E510" s="3" t="str">
        <f>IFERROR(INDEX(Movimientos!$F$5:$F$2001,MATCH(A510&amp;"ENTRADA",Movimientos!$R$5:$R$2001,0)),"-")</f>
        <v>-</v>
      </c>
      <c r="F510" s="3" t="str">
        <f>IFERROR(INDEX(Movimientos!$G$5:$G$2001,MATCH(A510&amp;"ENTRADA",Movimientos!$R$5:$R$2001,0)),"-")</f>
        <v>-</v>
      </c>
      <c r="G510" s="3" t="str">
        <f>IFERROR(INDEX(Movimientos!$L$5:$L$2001,MATCH(A510&amp;"ENTRADA",Movimientos!$R$5:$R$2001,0)),"-")</f>
        <v>-</v>
      </c>
      <c r="H510" s="19" t="str">
        <f>IFERROR(IF(INDEX(Movimientos!$M$5:$M$2001,MATCH(A510&amp;"ENTRADA",Movimientos!$R$5:$R$2001,0))=0,"S/D",INDEX(Movimientos!$M$5:$M$2001,MATCH(A510&amp;"ENTRADA",Movimientos!$R$5:$R$2001,0))),"S/D")</f>
        <v>S/D</v>
      </c>
      <c r="I510" s="16" t="str">
        <f t="shared" ca="1" si="16"/>
        <v>S/D</v>
      </c>
      <c r="J510" s="6">
        <f>IF(A510="","",SUMIFS(Movimientos!$K:$K,Movimientos!$H:$H,A510))</f>
        <v>0</v>
      </c>
      <c r="K510" s="14" t="str">
        <f t="shared" ca="1" si="17"/>
        <v>OK</v>
      </c>
    </row>
    <row r="511" spans="1:11">
      <c r="A511" s="18" t="s">
        <v>2584</v>
      </c>
      <c r="B511" s="3" t="str">
        <f>IFERROR(INDEX(Movimientos!$C$5:$C$2001,MATCH(A511&amp;"ENTRADA",Movimientos!$R$5:$R$2001,0)),"-")</f>
        <v>-</v>
      </c>
      <c r="C511" s="3" t="str">
        <f>IFERROR(INDEX(Movimientos!$D$5:$D$2001,MATCH(A511&amp;"ENTRADA",Movimientos!$R$5:$R$2001,0)),"-")</f>
        <v>-</v>
      </c>
      <c r="D511" s="3" t="str">
        <f>IFERROR(INDEX(Movimientos!$E$5:$E$2001,MATCH(A511&amp;"ENTRADA",Movimientos!$R$5:$R$2001,0)),"-")</f>
        <v>-</v>
      </c>
      <c r="E511" s="3" t="str">
        <f>IFERROR(INDEX(Movimientos!$F$5:$F$2001,MATCH(A511&amp;"ENTRADA",Movimientos!$R$5:$R$2001,0)),"-")</f>
        <v>-</v>
      </c>
      <c r="F511" s="3" t="str">
        <f>IFERROR(INDEX(Movimientos!$G$5:$G$2001,MATCH(A511&amp;"ENTRADA",Movimientos!$R$5:$R$2001,0)),"-")</f>
        <v>-</v>
      </c>
      <c r="G511" s="3" t="str">
        <f>IFERROR(INDEX(Movimientos!$L$5:$L$2001,MATCH(A511&amp;"ENTRADA",Movimientos!$R$5:$R$2001,0)),"-")</f>
        <v>-</v>
      </c>
      <c r="H511" s="19" t="str">
        <f>IFERROR(IF(INDEX(Movimientos!$M$5:$M$2001,MATCH(A511&amp;"ENTRADA",Movimientos!$R$5:$R$2001,0))=0,"S/D",INDEX(Movimientos!$M$5:$M$2001,MATCH(A511&amp;"ENTRADA",Movimientos!$R$5:$R$2001,0))),"S/D")</f>
        <v>S/D</v>
      </c>
      <c r="I511" s="16" t="str">
        <f t="shared" ca="1" si="16"/>
        <v>S/D</v>
      </c>
      <c r="J511" s="6">
        <f>IF(A511="","",SUMIFS(Movimientos!$K:$K,Movimientos!$H:$H,A511))</f>
        <v>0</v>
      </c>
      <c r="K511" s="14" t="str">
        <f t="shared" ca="1" si="17"/>
        <v>OK</v>
      </c>
    </row>
    <row r="512" spans="1:11">
      <c r="A512" s="18" t="s">
        <v>2585</v>
      </c>
      <c r="B512" s="3" t="str">
        <f>IFERROR(INDEX(Movimientos!$C$5:$C$2001,MATCH(A512&amp;"ENTRADA",Movimientos!$R$5:$R$2001,0)),"-")</f>
        <v>-</v>
      </c>
      <c r="C512" s="3" t="str">
        <f>IFERROR(INDEX(Movimientos!$D$5:$D$2001,MATCH(A512&amp;"ENTRADA",Movimientos!$R$5:$R$2001,0)),"-")</f>
        <v>-</v>
      </c>
      <c r="D512" s="3" t="str">
        <f>IFERROR(INDEX(Movimientos!$E$5:$E$2001,MATCH(A512&amp;"ENTRADA",Movimientos!$R$5:$R$2001,0)),"-")</f>
        <v>-</v>
      </c>
      <c r="E512" s="3" t="str">
        <f>IFERROR(INDEX(Movimientos!$F$5:$F$2001,MATCH(A512&amp;"ENTRADA",Movimientos!$R$5:$R$2001,0)),"-")</f>
        <v>-</v>
      </c>
      <c r="F512" s="3" t="str">
        <f>IFERROR(INDEX(Movimientos!$G$5:$G$2001,MATCH(A512&amp;"ENTRADA",Movimientos!$R$5:$R$2001,0)),"-")</f>
        <v>-</v>
      </c>
      <c r="G512" s="3" t="str">
        <f>IFERROR(INDEX(Movimientos!$L$5:$L$2001,MATCH(A512&amp;"ENTRADA",Movimientos!$R$5:$R$2001,0)),"-")</f>
        <v>-</v>
      </c>
      <c r="H512" s="19" t="str">
        <f>IFERROR(IF(INDEX(Movimientos!$M$5:$M$2001,MATCH(A512&amp;"ENTRADA",Movimientos!$R$5:$R$2001,0))=0,"S/D",INDEX(Movimientos!$M$5:$M$2001,MATCH(A512&amp;"ENTRADA",Movimientos!$R$5:$R$2001,0))),"S/D")</f>
        <v>S/D</v>
      </c>
      <c r="I512" s="16" t="str">
        <f t="shared" ca="1" si="16"/>
        <v>S/D</v>
      </c>
      <c r="J512" s="6">
        <f>IF(A512="","",SUMIFS(Movimientos!$K:$K,Movimientos!$H:$H,A512))</f>
        <v>0</v>
      </c>
      <c r="K512" s="14" t="str">
        <f t="shared" ca="1" si="17"/>
        <v>OK</v>
      </c>
    </row>
    <row r="513" spans="1:11">
      <c r="A513" s="18" t="s">
        <v>2586</v>
      </c>
      <c r="B513" s="3" t="str">
        <f>IFERROR(INDEX(Movimientos!$C$5:$C$2001,MATCH(A513&amp;"ENTRADA",Movimientos!$R$5:$R$2001,0)),"-")</f>
        <v>-</v>
      </c>
      <c r="C513" s="3" t="str">
        <f>IFERROR(INDEX(Movimientos!$D$5:$D$2001,MATCH(A513&amp;"ENTRADA",Movimientos!$R$5:$R$2001,0)),"-")</f>
        <v>-</v>
      </c>
      <c r="D513" s="3" t="str">
        <f>IFERROR(INDEX(Movimientos!$E$5:$E$2001,MATCH(A513&amp;"ENTRADA",Movimientos!$R$5:$R$2001,0)),"-")</f>
        <v>-</v>
      </c>
      <c r="E513" s="3" t="str">
        <f>IFERROR(INDEX(Movimientos!$F$5:$F$2001,MATCH(A513&amp;"ENTRADA",Movimientos!$R$5:$R$2001,0)),"-")</f>
        <v>-</v>
      </c>
      <c r="F513" s="3" t="str">
        <f>IFERROR(INDEX(Movimientos!$G$5:$G$2001,MATCH(A513&amp;"ENTRADA",Movimientos!$R$5:$R$2001,0)),"-")</f>
        <v>-</v>
      </c>
      <c r="G513" s="3" t="str">
        <f>IFERROR(INDEX(Movimientos!$L$5:$L$2001,MATCH(A513&amp;"ENTRADA",Movimientos!$R$5:$R$2001,0)),"-")</f>
        <v>-</v>
      </c>
      <c r="H513" s="19" t="str">
        <f>IFERROR(IF(INDEX(Movimientos!$M$5:$M$2001,MATCH(A513&amp;"ENTRADA",Movimientos!$R$5:$R$2001,0))=0,"S/D",INDEX(Movimientos!$M$5:$M$2001,MATCH(A513&amp;"ENTRADA",Movimientos!$R$5:$R$2001,0))),"S/D")</f>
        <v>S/D</v>
      </c>
      <c r="I513" s="16" t="str">
        <f t="shared" ca="1" si="16"/>
        <v>S/D</v>
      </c>
      <c r="J513" s="6">
        <f>IF(A513="","",SUMIFS(Movimientos!$K:$K,Movimientos!$H:$H,A513))</f>
        <v>0</v>
      </c>
      <c r="K513" s="14" t="str">
        <f t="shared" ca="1" si="17"/>
        <v>OK</v>
      </c>
    </row>
    <row r="514" spans="1:11">
      <c r="A514" s="18" t="s">
        <v>2587</v>
      </c>
      <c r="B514" s="3" t="str">
        <f>IFERROR(INDEX(Movimientos!$C$5:$C$2001,MATCH(A514&amp;"ENTRADA",Movimientos!$R$5:$R$2001,0)),"-")</f>
        <v>-</v>
      </c>
      <c r="C514" s="3" t="str">
        <f>IFERROR(INDEX(Movimientos!$D$5:$D$2001,MATCH(A514&amp;"ENTRADA",Movimientos!$R$5:$R$2001,0)),"-")</f>
        <v>-</v>
      </c>
      <c r="D514" s="3" t="str">
        <f>IFERROR(INDEX(Movimientos!$E$5:$E$2001,MATCH(A514&amp;"ENTRADA",Movimientos!$R$5:$R$2001,0)),"-")</f>
        <v>-</v>
      </c>
      <c r="E514" s="3" t="str">
        <f>IFERROR(INDEX(Movimientos!$F$5:$F$2001,MATCH(A514&amp;"ENTRADA",Movimientos!$R$5:$R$2001,0)),"-")</f>
        <v>-</v>
      </c>
      <c r="F514" s="3" t="str">
        <f>IFERROR(INDEX(Movimientos!$G$5:$G$2001,MATCH(A514&amp;"ENTRADA",Movimientos!$R$5:$R$2001,0)),"-")</f>
        <v>-</v>
      </c>
      <c r="G514" s="3" t="str">
        <f>IFERROR(INDEX(Movimientos!$L$5:$L$2001,MATCH(A514&amp;"ENTRADA",Movimientos!$R$5:$R$2001,0)),"-")</f>
        <v>-</v>
      </c>
      <c r="H514" s="19" t="str">
        <f>IFERROR(IF(INDEX(Movimientos!$M$5:$M$2001,MATCH(A514&amp;"ENTRADA",Movimientos!$R$5:$R$2001,0))=0,"S/D",INDEX(Movimientos!$M$5:$M$2001,MATCH(A514&amp;"ENTRADA",Movimientos!$R$5:$R$2001,0))),"S/D")</f>
        <v>S/D</v>
      </c>
      <c r="I514" s="16" t="str">
        <f t="shared" ca="1" si="16"/>
        <v>S/D</v>
      </c>
      <c r="J514" s="6">
        <f>IF(A514="","",SUMIFS(Movimientos!$K:$K,Movimientos!$H:$H,A514))</f>
        <v>0</v>
      </c>
      <c r="K514" s="14" t="str">
        <f t="shared" ca="1" si="17"/>
        <v>OK</v>
      </c>
    </row>
    <row r="515" spans="1:11">
      <c r="A515" s="18" t="s">
        <v>2588</v>
      </c>
      <c r="B515" s="3" t="str">
        <f>IFERROR(INDEX(Movimientos!$C$5:$C$2001,MATCH(A515&amp;"ENTRADA",Movimientos!$R$5:$R$2001,0)),"-")</f>
        <v>-</v>
      </c>
      <c r="C515" s="3" t="str">
        <f>IFERROR(INDEX(Movimientos!$D$5:$D$2001,MATCH(A515&amp;"ENTRADA",Movimientos!$R$5:$R$2001,0)),"-")</f>
        <v>-</v>
      </c>
      <c r="D515" s="3" t="str">
        <f>IFERROR(INDEX(Movimientos!$E$5:$E$2001,MATCH(A515&amp;"ENTRADA",Movimientos!$R$5:$R$2001,0)),"-")</f>
        <v>-</v>
      </c>
      <c r="E515" s="3" t="str">
        <f>IFERROR(INDEX(Movimientos!$F$5:$F$2001,MATCH(A515&amp;"ENTRADA",Movimientos!$R$5:$R$2001,0)),"-")</f>
        <v>-</v>
      </c>
      <c r="F515" s="3" t="str">
        <f>IFERROR(INDEX(Movimientos!$G$5:$G$2001,MATCH(A515&amp;"ENTRADA",Movimientos!$R$5:$R$2001,0)),"-")</f>
        <v>-</v>
      </c>
      <c r="G515" s="3" t="str">
        <f>IFERROR(INDEX(Movimientos!$L$5:$L$2001,MATCH(A515&amp;"ENTRADA",Movimientos!$R$5:$R$2001,0)),"-")</f>
        <v>-</v>
      </c>
      <c r="H515" s="19" t="str">
        <f>IFERROR(IF(INDEX(Movimientos!$M$5:$M$2001,MATCH(A515&amp;"ENTRADA",Movimientos!$R$5:$R$2001,0))=0,"S/D",INDEX(Movimientos!$M$5:$M$2001,MATCH(A515&amp;"ENTRADA",Movimientos!$R$5:$R$2001,0))),"S/D")</f>
        <v>S/D</v>
      </c>
      <c r="I515" s="16" t="str">
        <f t="shared" ca="1" si="16"/>
        <v>S/D</v>
      </c>
      <c r="J515" s="6">
        <f>IF(A515="","",SUMIFS(Movimientos!$K:$K,Movimientos!$H:$H,A515))</f>
        <v>0</v>
      </c>
      <c r="K515" s="14" t="str">
        <f t="shared" ca="1" si="17"/>
        <v>OK</v>
      </c>
    </row>
    <row r="516" spans="1:11">
      <c r="A516" s="18" t="s">
        <v>2589</v>
      </c>
      <c r="B516" s="3" t="str">
        <f>IFERROR(INDEX(Movimientos!$C$5:$C$2001,MATCH(A516&amp;"ENTRADA",Movimientos!$R$5:$R$2001,0)),"-")</f>
        <v>-</v>
      </c>
      <c r="C516" s="3" t="str">
        <f>IFERROR(INDEX(Movimientos!$D$5:$D$2001,MATCH(A516&amp;"ENTRADA",Movimientos!$R$5:$R$2001,0)),"-")</f>
        <v>-</v>
      </c>
      <c r="D516" s="3" t="str">
        <f>IFERROR(INDEX(Movimientos!$E$5:$E$2001,MATCH(A516&amp;"ENTRADA",Movimientos!$R$5:$R$2001,0)),"-")</f>
        <v>-</v>
      </c>
      <c r="E516" s="3" t="str">
        <f>IFERROR(INDEX(Movimientos!$F$5:$F$2001,MATCH(A516&amp;"ENTRADA",Movimientos!$R$5:$R$2001,0)),"-")</f>
        <v>-</v>
      </c>
      <c r="F516" s="3" t="str">
        <f>IFERROR(INDEX(Movimientos!$G$5:$G$2001,MATCH(A516&amp;"ENTRADA",Movimientos!$R$5:$R$2001,0)),"-")</f>
        <v>-</v>
      </c>
      <c r="G516" s="3" t="str">
        <f>IFERROR(INDEX(Movimientos!$L$5:$L$2001,MATCH(A516&amp;"ENTRADA",Movimientos!$R$5:$R$2001,0)),"-")</f>
        <v>-</v>
      </c>
      <c r="H516" s="19" t="str">
        <f>IFERROR(IF(INDEX(Movimientos!$M$5:$M$2001,MATCH(A516&amp;"ENTRADA",Movimientos!$R$5:$R$2001,0))=0,"S/D",INDEX(Movimientos!$M$5:$M$2001,MATCH(A516&amp;"ENTRADA",Movimientos!$R$5:$R$2001,0))),"S/D")</f>
        <v>S/D</v>
      </c>
      <c r="I516" s="16" t="str">
        <f t="shared" ca="1" si="16"/>
        <v>S/D</v>
      </c>
      <c r="J516" s="6">
        <f>IF(A516="","",SUMIFS(Movimientos!$K:$K,Movimientos!$H:$H,A516))</f>
        <v>0</v>
      </c>
      <c r="K516" s="14" t="str">
        <f t="shared" ca="1" si="17"/>
        <v>OK</v>
      </c>
    </row>
    <row r="517" spans="1:11">
      <c r="A517" s="18" t="s">
        <v>2590</v>
      </c>
      <c r="B517" s="3" t="str">
        <f>IFERROR(INDEX(Movimientos!$C$5:$C$2001,MATCH(A517&amp;"ENTRADA",Movimientos!$R$5:$R$2001,0)),"-")</f>
        <v>-</v>
      </c>
      <c r="C517" s="3" t="str">
        <f>IFERROR(INDEX(Movimientos!$D$5:$D$2001,MATCH(A517&amp;"ENTRADA",Movimientos!$R$5:$R$2001,0)),"-")</f>
        <v>-</v>
      </c>
      <c r="D517" s="3" t="str">
        <f>IFERROR(INDEX(Movimientos!$E$5:$E$2001,MATCH(A517&amp;"ENTRADA",Movimientos!$R$5:$R$2001,0)),"-")</f>
        <v>-</v>
      </c>
      <c r="E517" s="3" t="str">
        <f>IFERROR(INDEX(Movimientos!$F$5:$F$2001,MATCH(A517&amp;"ENTRADA",Movimientos!$R$5:$R$2001,0)),"-")</f>
        <v>-</v>
      </c>
      <c r="F517" s="3" t="str">
        <f>IFERROR(INDEX(Movimientos!$G$5:$G$2001,MATCH(A517&amp;"ENTRADA",Movimientos!$R$5:$R$2001,0)),"-")</f>
        <v>-</v>
      </c>
      <c r="G517" s="3" t="str">
        <f>IFERROR(INDEX(Movimientos!$L$5:$L$2001,MATCH(A517&amp;"ENTRADA",Movimientos!$R$5:$R$2001,0)),"-")</f>
        <v>-</v>
      </c>
      <c r="H517" s="19" t="str">
        <f>IFERROR(IF(INDEX(Movimientos!$M$5:$M$2001,MATCH(A517&amp;"ENTRADA",Movimientos!$R$5:$R$2001,0))=0,"S/D",INDEX(Movimientos!$M$5:$M$2001,MATCH(A517&amp;"ENTRADA",Movimientos!$R$5:$R$2001,0))),"S/D")</f>
        <v>S/D</v>
      </c>
      <c r="I517" s="16" t="str">
        <f t="shared" ca="1" si="16"/>
        <v>S/D</v>
      </c>
      <c r="J517" s="6">
        <f>IF(A517="","",SUMIFS(Movimientos!$K:$K,Movimientos!$H:$H,A517))</f>
        <v>0</v>
      </c>
      <c r="K517" s="14" t="str">
        <f t="shared" ca="1" si="17"/>
        <v>OK</v>
      </c>
    </row>
    <row r="518" spans="1:11">
      <c r="A518" s="18" t="s">
        <v>2591</v>
      </c>
      <c r="B518" s="3" t="str">
        <f>IFERROR(INDEX(Movimientos!$C$5:$C$2001,MATCH(A518&amp;"ENTRADA",Movimientos!$R$5:$R$2001,0)),"-")</f>
        <v>-</v>
      </c>
      <c r="C518" s="3" t="str">
        <f>IFERROR(INDEX(Movimientos!$D$5:$D$2001,MATCH(A518&amp;"ENTRADA",Movimientos!$R$5:$R$2001,0)),"-")</f>
        <v>-</v>
      </c>
      <c r="D518" s="3" t="str">
        <f>IFERROR(INDEX(Movimientos!$E$5:$E$2001,MATCH(A518&amp;"ENTRADA",Movimientos!$R$5:$R$2001,0)),"-")</f>
        <v>-</v>
      </c>
      <c r="E518" s="3" t="str">
        <f>IFERROR(INDEX(Movimientos!$F$5:$F$2001,MATCH(A518&amp;"ENTRADA",Movimientos!$R$5:$R$2001,0)),"-")</f>
        <v>-</v>
      </c>
      <c r="F518" s="3" t="str">
        <f>IFERROR(INDEX(Movimientos!$G$5:$G$2001,MATCH(A518&amp;"ENTRADA",Movimientos!$R$5:$R$2001,0)),"-")</f>
        <v>-</v>
      </c>
      <c r="G518" s="3" t="str">
        <f>IFERROR(INDEX(Movimientos!$L$5:$L$2001,MATCH(A518&amp;"ENTRADA",Movimientos!$R$5:$R$2001,0)),"-")</f>
        <v>-</v>
      </c>
      <c r="H518" s="19" t="str">
        <f>IFERROR(IF(INDEX(Movimientos!$M$5:$M$2001,MATCH(A518&amp;"ENTRADA",Movimientos!$R$5:$R$2001,0))=0,"S/D",INDEX(Movimientos!$M$5:$M$2001,MATCH(A518&amp;"ENTRADA",Movimientos!$R$5:$R$2001,0))),"S/D")</f>
        <v>S/D</v>
      </c>
      <c r="I518" s="16" t="str">
        <f t="shared" ca="1" si="16"/>
        <v>S/D</v>
      </c>
      <c r="J518" s="6">
        <f>IF(A518="","",SUMIFS(Movimientos!$K:$K,Movimientos!$H:$H,A518))</f>
        <v>0</v>
      </c>
      <c r="K518" s="14" t="str">
        <f t="shared" ca="1" si="17"/>
        <v>OK</v>
      </c>
    </row>
    <row r="519" spans="1:11">
      <c r="A519" s="18" t="s">
        <v>2592</v>
      </c>
      <c r="B519" s="3" t="str">
        <f>IFERROR(INDEX(Movimientos!$C$5:$C$2001,MATCH(A519&amp;"ENTRADA",Movimientos!$R$5:$R$2001,0)),"-")</f>
        <v>-</v>
      </c>
      <c r="C519" s="3" t="str">
        <f>IFERROR(INDEX(Movimientos!$D$5:$D$2001,MATCH(A519&amp;"ENTRADA",Movimientos!$R$5:$R$2001,0)),"-")</f>
        <v>-</v>
      </c>
      <c r="D519" s="3" t="str">
        <f>IFERROR(INDEX(Movimientos!$E$5:$E$2001,MATCH(A519&amp;"ENTRADA",Movimientos!$R$5:$R$2001,0)),"-")</f>
        <v>-</v>
      </c>
      <c r="E519" s="3" t="str">
        <f>IFERROR(INDEX(Movimientos!$F$5:$F$2001,MATCH(A519&amp;"ENTRADA",Movimientos!$R$5:$R$2001,0)),"-")</f>
        <v>-</v>
      </c>
      <c r="F519" s="3" t="str">
        <f>IFERROR(INDEX(Movimientos!$G$5:$G$2001,MATCH(A519&amp;"ENTRADA",Movimientos!$R$5:$R$2001,0)),"-")</f>
        <v>-</v>
      </c>
      <c r="G519" s="3" t="str">
        <f>IFERROR(INDEX(Movimientos!$L$5:$L$2001,MATCH(A519&amp;"ENTRADA",Movimientos!$R$5:$R$2001,0)),"-")</f>
        <v>-</v>
      </c>
      <c r="H519" s="19" t="str">
        <f>IFERROR(IF(INDEX(Movimientos!$M$5:$M$2001,MATCH(A519&amp;"ENTRADA",Movimientos!$R$5:$R$2001,0))=0,"S/D",INDEX(Movimientos!$M$5:$M$2001,MATCH(A519&amp;"ENTRADA",Movimientos!$R$5:$R$2001,0))),"S/D")</f>
        <v>S/D</v>
      </c>
      <c r="I519" s="16" t="str">
        <f t="shared" ca="1" si="16"/>
        <v>S/D</v>
      </c>
      <c r="J519" s="6">
        <f>IF(A519="","",SUMIFS(Movimientos!$K:$K,Movimientos!$H:$H,A519))</f>
        <v>0</v>
      </c>
      <c r="K519" s="14" t="str">
        <f t="shared" ca="1" si="17"/>
        <v>OK</v>
      </c>
    </row>
    <row r="520" spans="1:11">
      <c r="A520" s="18" t="s">
        <v>2593</v>
      </c>
      <c r="B520" s="3" t="str">
        <f>IFERROR(INDEX(Movimientos!$C$5:$C$2001,MATCH(A520&amp;"ENTRADA",Movimientos!$R$5:$R$2001,0)),"-")</f>
        <v>-</v>
      </c>
      <c r="C520" s="3" t="str">
        <f>IFERROR(INDEX(Movimientos!$D$5:$D$2001,MATCH(A520&amp;"ENTRADA",Movimientos!$R$5:$R$2001,0)),"-")</f>
        <v>-</v>
      </c>
      <c r="D520" s="3" t="str">
        <f>IFERROR(INDEX(Movimientos!$E$5:$E$2001,MATCH(A520&amp;"ENTRADA",Movimientos!$R$5:$R$2001,0)),"-")</f>
        <v>-</v>
      </c>
      <c r="E520" s="3" t="str">
        <f>IFERROR(INDEX(Movimientos!$F$5:$F$2001,MATCH(A520&amp;"ENTRADA",Movimientos!$R$5:$R$2001,0)),"-")</f>
        <v>-</v>
      </c>
      <c r="F520" s="3" t="str">
        <f>IFERROR(INDEX(Movimientos!$G$5:$G$2001,MATCH(A520&amp;"ENTRADA",Movimientos!$R$5:$R$2001,0)),"-")</f>
        <v>-</v>
      </c>
      <c r="G520" s="3" t="str">
        <f>IFERROR(INDEX(Movimientos!$L$5:$L$2001,MATCH(A520&amp;"ENTRADA",Movimientos!$R$5:$R$2001,0)),"-")</f>
        <v>-</v>
      </c>
      <c r="H520" s="19" t="str">
        <f>IFERROR(IF(INDEX(Movimientos!$M$5:$M$2001,MATCH(A520&amp;"ENTRADA",Movimientos!$R$5:$R$2001,0))=0,"S/D",INDEX(Movimientos!$M$5:$M$2001,MATCH(A520&amp;"ENTRADA",Movimientos!$R$5:$R$2001,0))),"S/D")</f>
        <v>S/D</v>
      </c>
      <c r="I520" s="16" t="str">
        <f t="shared" ca="1" si="16"/>
        <v>S/D</v>
      </c>
      <c r="J520" s="6">
        <f>IF(A520="","",SUMIFS(Movimientos!$K:$K,Movimientos!$H:$H,A520))</f>
        <v>0</v>
      </c>
      <c r="K520" s="14" t="str">
        <f t="shared" ca="1" si="17"/>
        <v>OK</v>
      </c>
    </row>
    <row r="521" spans="1:11">
      <c r="A521" s="18" t="s">
        <v>2594</v>
      </c>
      <c r="B521" s="3" t="str">
        <f>IFERROR(INDEX(Movimientos!$C$5:$C$2001,MATCH(A521&amp;"ENTRADA",Movimientos!$R$5:$R$2001,0)),"-")</f>
        <v>-</v>
      </c>
      <c r="C521" s="3" t="str">
        <f>IFERROR(INDEX(Movimientos!$D$5:$D$2001,MATCH(A521&amp;"ENTRADA",Movimientos!$R$5:$R$2001,0)),"-")</f>
        <v>-</v>
      </c>
      <c r="D521" s="3" t="str">
        <f>IFERROR(INDEX(Movimientos!$E$5:$E$2001,MATCH(A521&amp;"ENTRADA",Movimientos!$R$5:$R$2001,0)),"-")</f>
        <v>-</v>
      </c>
      <c r="E521" s="3" t="str">
        <f>IFERROR(INDEX(Movimientos!$F$5:$F$2001,MATCH(A521&amp;"ENTRADA",Movimientos!$R$5:$R$2001,0)),"-")</f>
        <v>-</v>
      </c>
      <c r="F521" s="3" t="str">
        <f>IFERROR(INDEX(Movimientos!$G$5:$G$2001,MATCH(A521&amp;"ENTRADA",Movimientos!$R$5:$R$2001,0)),"-")</f>
        <v>-</v>
      </c>
      <c r="G521" s="3" t="str">
        <f>IFERROR(INDEX(Movimientos!$L$5:$L$2001,MATCH(A521&amp;"ENTRADA",Movimientos!$R$5:$R$2001,0)),"-")</f>
        <v>-</v>
      </c>
      <c r="H521" s="19" t="str">
        <f>IFERROR(IF(INDEX(Movimientos!$M$5:$M$2001,MATCH(A521&amp;"ENTRADA",Movimientos!$R$5:$R$2001,0))=0,"S/D",INDEX(Movimientos!$M$5:$M$2001,MATCH(A521&amp;"ENTRADA",Movimientos!$R$5:$R$2001,0))),"S/D")</f>
        <v>S/D</v>
      </c>
      <c r="I521" s="16" t="str">
        <f t="shared" ca="1" si="16"/>
        <v>S/D</v>
      </c>
      <c r="J521" s="6">
        <f>IF(A521="","",SUMIFS(Movimientos!$K:$K,Movimientos!$H:$H,A521))</f>
        <v>0</v>
      </c>
      <c r="K521" s="14" t="str">
        <f t="shared" ca="1" si="17"/>
        <v>OK</v>
      </c>
    </row>
    <row r="522" spans="1:11">
      <c r="A522" s="18" t="s">
        <v>2595</v>
      </c>
      <c r="B522" s="3" t="str">
        <f>IFERROR(INDEX(Movimientos!$C$5:$C$2001,MATCH(A522&amp;"ENTRADA",Movimientos!$R$5:$R$2001,0)),"-")</f>
        <v>-</v>
      </c>
      <c r="C522" s="3" t="str">
        <f>IFERROR(INDEX(Movimientos!$D$5:$D$2001,MATCH(A522&amp;"ENTRADA",Movimientos!$R$5:$R$2001,0)),"-")</f>
        <v>-</v>
      </c>
      <c r="D522" s="3" t="str">
        <f>IFERROR(INDEX(Movimientos!$E$5:$E$2001,MATCH(A522&amp;"ENTRADA",Movimientos!$R$5:$R$2001,0)),"-")</f>
        <v>-</v>
      </c>
      <c r="E522" s="3" t="str">
        <f>IFERROR(INDEX(Movimientos!$F$5:$F$2001,MATCH(A522&amp;"ENTRADA",Movimientos!$R$5:$R$2001,0)),"-")</f>
        <v>-</v>
      </c>
      <c r="F522" s="3" t="str">
        <f>IFERROR(INDEX(Movimientos!$G$5:$G$2001,MATCH(A522&amp;"ENTRADA",Movimientos!$R$5:$R$2001,0)),"-")</f>
        <v>-</v>
      </c>
      <c r="G522" s="3" t="str">
        <f>IFERROR(INDEX(Movimientos!$L$5:$L$2001,MATCH(A522&amp;"ENTRADA",Movimientos!$R$5:$R$2001,0)),"-")</f>
        <v>-</v>
      </c>
      <c r="H522" s="19" t="str">
        <f>IFERROR(IF(INDEX(Movimientos!$M$5:$M$2001,MATCH(A522&amp;"ENTRADA",Movimientos!$R$5:$R$2001,0))=0,"S/D",INDEX(Movimientos!$M$5:$M$2001,MATCH(A522&amp;"ENTRADA",Movimientos!$R$5:$R$2001,0))),"S/D")</f>
        <v>S/D</v>
      </c>
      <c r="I522" s="16" t="str">
        <f t="shared" ca="1" si="16"/>
        <v>S/D</v>
      </c>
      <c r="J522" s="6">
        <f>IF(A522="","",SUMIFS(Movimientos!$K:$K,Movimientos!$H:$H,A522))</f>
        <v>0</v>
      </c>
      <c r="K522" s="14" t="str">
        <f t="shared" ca="1" si="17"/>
        <v>OK</v>
      </c>
    </row>
    <row r="523" spans="1:11">
      <c r="A523" s="18" t="s">
        <v>2596</v>
      </c>
      <c r="B523" s="3" t="str">
        <f>IFERROR(INDEX(Movimientos!$C$5:$C$2001,MATCH(A523&amp;"ENTRADA",Movimientos!$R$5:$R$2001,0)),"-")</f>
        <v>-</v>
      </c>
      <c r="C523" s="3" t="str">
        <f>IFERROR(INDEX(Movimientos!$D$5:$D$2001,MATCH(A523&amp;"ENTRADA",Movimientos!$R$5:$R$2001,0)),"-")</f>
        <v>-</v>
      </c>
      <c r="D523" s="3" t="str">
        <f>IFERROR(INDEX(Movimientos!$E$5:$E$2001,MATCH(A523&amp;"ENTRADA",Movimientos!$R$5:$R$2001,0)),"-")</f>
        <v>-</v>
      </c>
      <c r="E523" s="3" t="str">
        <f>IFERROR(INDEX(Movimientos!$F$5:$F$2001,MATCH(A523&amp;"ENTRADA",Movimientos!$R$5:$R$2001,0)),"-")</f>
        <v>-</v>
      </c>
      <c r="F523" s="3" t="str">
        <f>IFERROR(INDEX(Movimientos!$G$5:$G$2001,MATCH(A523&amp;"ENTRADA",Movimientos!$R$5:$R$2001,0)),"-")</f>
        <v>-</v>
      </c>
      <c r="G523" s="3" t="str">
        <f>IFERROR(INDEX(Movimientos!$L$5:$L$2001,MATCH(A523&amp;"ENTRADA",Movimientos!$R$5:$R$2001,0)),"-")</f>
        <v>-</v>
      </c>
      <c r="H523" s="19" t="str">
        <f>IFERROR(IF(INDEX(Movimientos!$M$5:$M$2001,MATCH(A523&amp;"ENTRADA",Movimientos!$R$5:$R$2001,0))=0,"S/D",INDEX(Movimientos!$M$5:$M$2001,MATCH(A523&amp;"ENTRADA",Movimientos!$R$5:$R$2001,0))),"S/D")</f>
        <v>S/D</v>
      </c>
      <c r="I523" s="16" t="str">
        <f t="shared" ref="I523:I586" ca="1" si="18">IF(OR(A523="",H523="S/D"),"S/D",H523-TODAY())</f>
        <v>S/D</v>
      </c>
      <c r="J523" s="6">
        <f>IF(A523="","",SUMIFS(Movimientos!$K:$K,Movimientos!$H:$H,A523))</f>
        <v>0</v>
      </c>
      <c r="K523" s="14" t="str">
        <f t="shared" ref="K523:K586" ca="1" si="19">IF(A523="","",IF(H523="S/D","OK",IF(H523&lt;TODAY(),"VENCIDO",IF(J523&lt;=0,"SIN STOCK",IF(I523&gt;=180,"OK","PRÓXIMO A VENCER")))))</f>
        <v>OK</v>
      </c>
    </row>
    <row r="524" spans="1:11">
      <c r="A524" s="18" t="s">
        <v>2597</v>
      </c>
      <c r="B524" s="3" t="str">
        <f>IFERROR(INDEX(Movimientos!$C$5:$C$2001,MATCH(A524&amp;"ENTRADA",Movimientos!$R$5:$R$2001,0)),"-")</f>
        <v>-</v>
      </c>
      <c r="C524" s="3" t="str">
        <f>IFERROR(INDEX(Movimientos!$D$5:$D$2001,MATCH(A524&amp;"ENTRADA",Movimientos!$R$5:$R$2001,0)),"-")</f>
        <v>-</v>
      </c>
      <c r="D524" s="3" t="str">
        <f>IFERROR(INDEX(Movimientos!$E$5:$E$2001,MATCH(A524&amp;"ENTRADA",Movimientos!$R$5:$R$2001,0)),"-")</f>
        <v>-</v>
      </c>
      <c r="E524" s="3" t="str">
        <f>IFERROR(INDEX(Movimientos!$F$5:$F$2001,MATCH(A524&amp;"ENTRADA",Movimientos!$R$5:$R$2001,0)),"-")</f>
        <v>-</v>
      </c>
      <c r="F524" s="3" t="str">
        <f>IFERROR(INDEX(Movimientos!$G$5:$G$2001,MATCH(A524&amp;"ENTRADA",Movimientos!$R$5:$R$2001,0)),"-")</f>
        <v>-</v>
      </c>
      <c r="G524" s="3" t="str">
        <f>IFERROR(INDEX(Movimientos!$L$5:$L$2001,MATCH(A524&amp;"ENTRADA",Movimientos!$R$5:$R$2001,0)),"-")</f>
        <v>-</v>
      </c>
      <c r="H524" s="19" t="str">
        <f>IFERROR(IF(INDEX(Movimientos!$M$5:$M$2001,MATCH(A524&amp;"ENTRADA",Movimientos!$R$5:$R$2001,0))=0,"S/D",INDEX(Movimientos!$M$5:$M$2001,MATCH(A524&amp;"ENTRADA",Movimientos!$R$5:$R$2001,0))),"S/D")</f>
        <v>S/D</v>
      </c>
      <c r="I524" s="16" t="str">
        <f t="shared" ca="1" si="18"/>
        <v>S/D</v>
      </c>
      <c r="J524" s="6">
        <f>IF(A524="","",SUMIFS(Movimientos!$K:$K,Movimientos!$H:$H,A524))</f>
        <v>0</v>
      </c>
      <c r="K524" s="14" t="str">
        <f t="shared" ca="1" si="19"/>
        <v>OK</v>
      </c>
    </row>
    <row r="525" spans="1:11">
      <c r="A525" s="18" t="s">
        <v>2598</v>
      </c>
      <c r="B525" s="3" t="str">
        <f>IFERROR(INDEX(Movimientos!$C$5:$C$2001,MATCH(A525&amp;"ENTRADA",Movimientos!$R$5:$R$2001,0)),"-")</f>
        <v>-</v>
      </c>
      <c r="C525" s="3" t="str">
        <f>IFERROR(INDEX(Movimientos!$D$5:$D$2001,MATCH(A525&amp;"ENTRADA",Movimientos!$R$5:$R$2001,0)),"-")</f>
        <v>-</v>
      </c>
      <c r="D525" s="3" t="str">
        <f>IFERROR(INDEX(Movimientos!$E$5:$E$2001,MATCH(A525&amp;"ENTRADA",Movimientos!$R$5:$R$2001,0)),"-")</f>
        <v>-</v>
      </c>
      <c r="E525" s="3" t="str">
        <f>IFERROR(INDEX(Movimientos!$F$5:$F$2001,MATCH(A525&amp;"ENTRADA",Movimientos!$R$5:$R$2001,0)),"-")</f>
        <v>-</v>
      </c>
      <c r="F525" s="3" t="str">
        <f>IFERROR(INDEX(Movimientos!$G$5:$G$2001,MATCH(A525&amp;"ENTRADA",Movimientos!$R$5:$R$2001,0)),"-")</f>
        <v>-</v>
      </c>
      <c r="G525" s="3" t="str">
        <f>IFERROR(INDEX(Movimientos!$L$5:$L$2001,MATCH(A525&amp;"ENTRADA",Movimientos!$R$5:$R$2001,0)),"-")</f>
        <v>-</v>
      </c>
      <c r="H525" s="19" t="str">
        <f>IFERROR(IF(INDEX(Movimientos!$M$5:$M$2001,MATCH(A525&amp;"ENTRADA",Movimientos!$R$5:$R$2001,0))=0,"S/D",INDEX(Movimientos!$M$5:$M$2001,MATCH(A525&amp;"ENTRADA",Movimientos!$R$5:$R$2001,0))),"S/D")</f>
        <v>S/D</v>
      </c>
      <c r="I525" s="16" t="str">
        <f t="shared" ca="1" si="18"/>
        <v>S/D</v>
      </c>
      <c r="J525" s="6">
        <f>IF(A525="","",SUMIFS(Movimientos!$K:$K,Movimientos!$H:$H,A525))</f>
        <v>0</v>
      </c>
      <c r="K525" s="14" t="str">
        <f t="shared" ca="1" si="19"/>
        <v>OK</v>
      </c>
    </row>
    <row r="526" spans="1:11">
      <c r="A526" s="18" t="s">
        <v>2599</v>
      </c>
      <c r="B526" s="3" t="str">
        <f>IFERROR(INDEX(Movimientos!$C$5:$C$2001,MATCH(A526&amp;"ENTRADA",Movimientos!$R$5:$R$2001,0)),"-")</f>
        <v>-</v>
      </c>
      <c r="C526" s="3" t="str">
        <f>IFERROR(INDEX(Movimientos!$D$5:$D$2001,MATCH(A526&amp;"ENTRADA",Movimientos!$R$5:$R$2001,0)),"-")</f>
        <v>-</v>
      </c>
      <c r="D526" s="3" t="str">
        <f>IFERROR(INDEX(Movimientos!$E$5:$E$2001,MATCH(A526&amp;"ENTRADA",Movimientos!$R$5:$R$2001,0)),"-")</f>
        <v>-</v>
      </c>
      <c r="E526" s="3" t="str">
        <f>IFERROR(INDEX(Movimientos!$F$5:$F$2001,MATCH(A526&amp;"ENTRADA",Movimientos!$R$5:$R$2001,0)),"-")</f>
        <v>-</v>
      </c>
      <c r="F526" s="3" t="str">
        <f>IFERROR(INDEX(Movimientos!$G$5:$G$2001,MATCH(A526&amp;"ENTRADA",Movimientos!$R$5:$R$2001,0)),"-")</f>
        <v>-</v>
      </c>
      <c r="G526" s="3" t="str">
        <f>IFERROR(INDEX(Movimientos!$L$5:$L$2001,MATCH(A526&amp;"ENTRADA",Movimientos!$R$5:$R$2001,0)),"-")</f>
        <v>-</v>
      </c>
      <c r="H526" s="19" t="str">
        <f>IFERROR(IF(INDEX(Movimientos!$M$5:$M$2001,MATCH(A526&amp;"ENTRADA",Movimientos!$R$5:$R$2001,0))=0,"S/D",INDEX(Movimientos!$M$5:$M$2001,MATCH(A526&amp;"ENTRADA",Movimientos!$R$5:$R$2001,0))),"S/D")</f>
        <v>S/D</v>
      </c>
      <c r="I526" s="16" t="str">
        <f t="shared" ca="1" si="18"/>
        <v>S/D</v>
      </c>
      <c r="J526" s="6">
        <f>IF(A526="","",SUMIFS(Movimientos!$K:$K,Movimientos!$H:$H,A526))</f>
        <v>0</v>
      </c>
      <c r="K526" s="14" t="str">
        <f t="shared" ca="1" si="19"/>
        <v>OK</v>
      </c>
    </row>
    <row r="527" spans="1:11">
      <c r="A527" s="18" t="s">
        <v>2600</v>
      </c>
      <c r="B527" s="3" t="str">
        <f>IFERROR(INDEX(Movimientos!$C$5:$C$2001,MATCH(A527&amp;"ENTRADA",Movimientos!$R$5:$R$2001,0)),"-")</f>
        <v>-</v>
      </c>
      <c r="C527" s="3" t="str">
        <f>IFERROR(INDEX(Movimientos!$D$5:$D$2001,MATCH(A527&amp;"ENTRADA",Movimientos!$R$5:$R$2001,0)),"-")</f>
        <v>-</v>
      </c>
      <c r="D527" s="3" t="str">
        <f>IFERROR(INDEX(Movimientos!$E$5:$E$2001,MATCH(A527&amp;"ENTRADA",Movimientos!$R$5:$R$2001,0)),"-")</f>
        <v>-</v>
      </c>
      <c r="E527" s="3" t="str">
        <f>IFERROR(INDEX(Movimientos!$F$5:$F$2001,MATCH(A527&amp;"ENTRADA",Movimientos!$R$5:$R$2001,0)),"-")</f>
        <v>-</v>
      </c>
      <c r="F527" s="3" t="str">
        <f>IFERROR(INDEX(Movimientos!$G$5:$G$2001,MATCH(A527&amp;"ENTRADA",Movimientos!$R$5:$R$2001,0)),"-")</f>
        <v>-</v>
      </c>
      <c r="G527" s="3" t="str">
        <f>IFERROR(INDEX(Movimientos!$L$5:$L$2001,MATCH(A527&amp;"ENTRADA",Movimientos!$R$5:$R$2001,0)),"-")</f>
        <v>-</v>
      </c>
      <c r="H527" s="19" t="str">
        <f>IFERROR(IF(INDEX(Movimientos!$M$5:$M$2001,MATCH(A527&amp;"ENTRADA",Movimientos!$R$5:$R$2001,0))=0,"S/D",INDEX(Movimientos!$M$5:$M$2001,MATCH(A527&amp;"ENTRADA",Movimientos!$R$5:$R$2001,0))),"S/D")</f>
        <v>S/D</v>
      </c>
      <c r="I527" s="16" t="str">
        <f t="shared" ca="1" si="18"/>
        <v>S/D</v>
      </c>
      <c r="J527" s="6">
        <f>IF(A527="","",SUMIFS(Movimientos!$K:$K,Movimientos!$H:$H,A527))</f>
        <v>0</v>
      </c>
      <c r="K527" s="14" t="str">
        <f t="shared" ca="1" si="19"/>
        <v>OK</v>
      </c>
    </row>
    <row r="528" spans="1:11">
      <c r="A528" s="18" t="s">
        <v>2601</v>
      </c>
      <c r="B528" s="3" t="str">
        <f>IFERROR(INDEX(Movimientos!$C$5:$C$2001,MATCH(A528&amp;"ENTRADA",Movimientos!$R$5:$R$2001,0)),"-")</f>
        <v>-</v>
      </c>
      <c r="C528" s="3" t="str">
        <f>IFERROR(INDEX(Movimientos!$D$5:$D$2001,MATCH(A528&amp;"ENTRADA",Movimientos!$R$5:$R$2001,0)),"-")</f>
        <v>-</v>
      </c>
      <c r="D528" s="3" t="str">
        <f>IFERROR(INDEX(Movimientos!$E$5:$E$2001,MATCH(A528&amp;"ENTRADA",Movimientos!$R$5:$R$2001,0)),"-")</f>
        <v>-</v>
      </c>
      <c r="E528" s="3" t="str">
        <f>IFERROR(INDEX(Movimientos!$F$5:$F$2001,MATCH(A528&amp;"ENTRADA",Movimientos!$R$5:$R$2001,0)),"-")</f>
        <v>-</v>
      </c>
      <c r="F528" s="3" t="str">
        <f>IFERROR(INDEX(Movimientos!$G$5:$G$2001,MATCH(A528&amp;"ENTRADA",Movimientos!$R$5:$R$2001,0)),"-")</f>
        <v>-</v>
      </c>
      <c r="G528" s="3" t="str">
        <f>IFERROR(INDEX(Movimientos!$L$5:$L$2001,MATCH(A528&amp;"ENTRADA",Movimientos!$R$5:$R$2001,0)),"-")</f>
        <v>-</v>
      </c>
      <c r="H528" s="19" t="str">
        <f>IFERROR(IF(INDEX(Movimientos!$M$5:$M$2001,MATCH(A528&amp;"ENTRADA",Movimientos!$R$5:$R$2001,0))=0,"S/D",INDEX(Movimientos!$M$5:$M$2001,MATCH(A528&amp;"ENTRADA",Movimientos!$R$5:$R$2001,0))),"S/D")</f>
        <v>S/D</v>
      </c>
      <c r="I528" s="16" t="str">
        <f t="shared" ca="1" si="18"/>
        <v>S/D</v>
      </c>
      <c r="J528" s="6">
        <f>IF(A528="","",SUMIFS(Movimientos!$K:$K,Movimientos!$H:$H,A528))</f>
        <v>0</v>
      </c>
      <c r="K528" s="14" t="str">
        <f t="shared" ca="1" si="19"/>
        <v>OK</v>
      </c>
    </row>
    <row r="529" spans="1:11">
      <c r="A529" s="18" t="s">
        <v>2602</v>
      </c>
      <c r="B529" s="3" t="str">
        <f>IFERROR(INDEX(Movimientos!$C$5:$C$2001,MATCH(A529&amp;"ENTRADA",Movimientos!$R$5:$R$2001,0)),"-")</f>
        <v>-</v>
      </c>
      <c r="C529" s="3" t="str">
        <f>IFERROR(INDEX(Movimientos!$D$5:$D$2001,MATCH(A529&amp;"ENTRADA",Movimientos!$R$5:$R$2001,0)),"-")</f>
        <v>-</v>
      </c>
      <c r="D529" s="3" t="str">
        <f>IFERROR(INDEX(Movimientos!$E$5:$E$2001,MATCH(A529&amp;"ENTRADA",Movimientos!$R$5:$R$2001,0)),"-")</f>
        <v>-</v>
      </c>
      <c r="E529" s="3" t="str">
        <f>IFERROR(INDEX(Movimientos!$F$5:$F$2001,MATCH(A529&amp;"ENTRADA",Movimientos!$R$5:$R$2001,0)),"-")</f>
        <v>-</v>
      </c>
      <c r="F529" s="3" t="str">
        <f>IFERROR(INDEX(Movimientos!$G$5:$G$2001,MATCH(A529&amp;"ENTRADA",Movimientos!$R$5:$R$2001,0)),"-")</f>
        <v>-</v>
      </c>
      <c r="G529" s="3" t="str">
        <f>IFERROR(INDEX(Movimientos!$L$5:$L$2001,MATCH(A529&amp;"ENTRADA",Movimientos!$R$5:$R$2001,0)),"-")</f>
        <v>-</v>
      </c>
      <c r="H529" s="19" t="str">
        <f>IFERROR(IF(INDEX(Movimientos!$M$5:$M$2001,MATCH(A529&amp;"ENTRADA",Movimientos!$R$5:$R$2001,0))=0,"S/D",INDEX(Movimientos!$M$5:$M$2001,MATCH(A529&amp;"ENTRADA",Movimientos!$R$5:$R$2001,0))),"S/D")</f>
        <v>S/D</v>
      </c>
      <c r="I529" s="16" t="str">
        <f t="shared" ca="1" si="18"/>
        <v>S/D</v>
      </c>
      <c r="J529" s="6">
        <f>IF(A529="","",SUMIFS(Movimientos!$K:$K,Movimientos!$H:$H,A529))</f>
        <v>0</v>
      </c>
      <c r="K529" s="14" t="str">
        <f t="shared" ca="1" si="19"/>
        <v>OK</v>
      </c>
    </row>
    <row r="530" spans="1:11">
      <c r="A530" s="18" t="s">
        <v>2603</v>
      </c>
      <c r="B530" s="3" t="str">
        <f>IFERROR(INDEX(Movimientos!$C$5:$C$2001,MATCH(A530&amp;"ENTRADA",Movimientos!$R$5:$R$2001,0)),"-")</f>
        <v>-</v>
      </c>
      <c r="C530" s="3" t="str">
        <f>IFERROR(INDEX(Movimientos!$D$5:$D$2001,MATCH(A530&amp;"ENTRADA",Movimientos!$R$5:$R$2001,0)),"-")</f>
        <v>-</v>
      </c>
      <c r="D530" s="3" t="str">
        <f>IFERROR(INDEX(Movimientos!$E$5:$E$2001,MATCH(A530&amp;"ENTRADA",Movimientos!$R$5:$R$2001,0)),"-")</f>
        <v>-</v>
      </c>
      <c r="E530" s="3" t="str">
        <f>IFERROR(INDEX(Movimientos!$F$5:$F$2001,MATCH(A530&amp;"ENTRADA",Movimientos!$R$5:$R$2001,0)),"-")</f>
        <v>-</v>
      </c>
      <c r="F530" s="3" t="str">
        <f>IFERROR(INDEX(Movimientos!$G$5:$G$2001,MATCH(A530&amp;"ENTRADA",Movimientos!$R$5:$R$2001,0)),"-")</f>
        <v>-</v>
      </c>
      <c r="G530" s="3" t="str">
        <f>IFERROR(INDEX(Movimientos!$L$5:$L$2001,MATCH(A530&amp;"ENTRADA",Movimientos!$R$5:$R$2001,0)),"-")</f>
        <v>-</v>
      </c>
      <c r="H530" s="19" t="str">
        <f>IFERROR(IF(INDEX(Movimientos!$M$5:$M$2001,MATCH(A530&amp;"ENTRADA",Movimientos!$R$5:$R$2001,0))=0,"S/D",INDEX(Movimientos!$M$5:$M$2001,MATCH(A530&amp;"ENTRADA",Movimientos!$R$5:$R$2001,0))),"S/D")</f>
        <v>S/D</v>
      </c>
      <c r="I530" s="16" t="str">
        <f t="shared" ca="1" si="18"/>
        <v>S/D</v>
      </c>
      <c r="J530" s="6">
        <f>IF(A530="","",SUMIFS(Movimientos!$K:$K,Movimientos!$H:$H,A530))</f>
        <v>0</v>
      </c>
      <c r="K530" s="14" t="str">
        <f t="shared" ca="1" si="19"/>
        <v>OK</v>
      </c>
    </row>
    <row r="531" spans="1:11">
      <c r="A531" s="18" t="s">
        <v>2604</v>
      </c>
      <c r="B531" s="3" t="str">
        <f>IFERROR(INDEX(Movimientos!$C$5:$C$2001,MATCH(A531&amp;"ENTRADA",Movimientos!$R$5:$R$2001,0)),"-")</f>
        <v>-</v>
      </c>
      <c r="C531" s="3" t="str">
        <f>IFERROR(INDEX(Movimientos!$D$5:$D$2001,MATCH(A531&amp;"ENTRADA",Movimientos!$R$5:$R$2001,0)),"-")</f>
        <v>-</v>
      </c>
      <c r="D531" s="3" t="str">
        <f>IFERROR(INDEX(Movimientos!$E$5:$E$2001,MATCH(A531&amp;"ENTRADA",Movimientos!$R$5:$R$2001,0)),"-")</f>
        <v>-</v>
      </c>
      <c r="E531" s="3" t="str">
        <f>IFERROR(INDEX(Movimientos!$F$5:$F$2001,MATCH(A531&amp;"ENTRADA",Movimientos!$R$5:$R$2001,0)),"-")</f>
        <v>-</v>
      </c>
      <c r="F531" s="3" t="str">
        <f>IFERROR(INDEX(Movimientos!$G$5:$G$2001,MATCH(A531&amp;"ENTRADA",Movimientos!$R$5:$R$2001,0)),"-")</f>
        <v>-</v>
      </c>
      <c r="G531" s="3" t="str">
        <f>IFERROR(INDEX(Movimientos!$L$5:$L$2001,MATCH(A531&amp;"ENTRADA",Movimientos!$R$5:$R$2001,0)),"-")</f>
        <v>-</v>
      </c>
      <c r="H531" s="19" t="str">
        <f>IFERROR(IF(INDEX(Movimientos!$M$5:$M$2001,MATCH(A531&amp;"ENTRADA",Movimientos!$R$5:$R$2001,0))=0,"S/D",INDEX(Movimientos!$M$5:$M$2001,MATCH(A531&amp;"ENTRADA",Movimientos!$R$5:$R$2001,0))),"S/D")</f>
        <v>S/D</v>
      </c>
      <c r="I531" s="16" t="str">
        <f t="shared" ca="1" si="18"/>
        <v>S/D</v>
      </c>
      <c r="J531" s="6">
        <f>IF(A531="","",SUMIFS(Movimientos!$K:$K,Movimientos!$H:$H,A531))</f>
        <v>0</v>
      </c>
      <c r="K531" s="14" t="str">
        <f t="shared" ca="1" si="19"/>
        <v>OK</v>
      </c>
    </row>
    <row r="532" spans="1:11">
      <c r="A532" s="18" t="s">
        <v>2605</v>
      </c>
      <c r="B532" s="3" t="str">
        <f>IFERROR(INDEX(Movimientos!$C$5:$C$2001,MATCH(A532&amp;"ENTRADA",Movimientos!$R$5:$R$2001,0)),"-")</f>
        <v>-</v>
      </c>
      <c r="C532" s="3" t="str">
        <f>IFERROR(INDEX(Movimientos!$D$5:$D$2001,MATCH(A532&amp;"ENTRADA",Movimientos!$R$5:$R$2001,0)),"-")</f>
        <v>-</v>
      </c>
      <c r="D532" s="3" t="str">
        <f>IFERROR(INDEX(Movimientos!$E$5:$E$2001,MATCH(A532&amp;"ENTRADA",Movimientos!$R$5:$R$2001,0)),"-")</f>
        <v>-</v>
      </c>
      <c r="E532" s="3" t="str">
        <f>IFERROR(INDEX(Movimientos!$F$5:$F$2001,MATCH(A532&amp;"ENTRADA",Movimientos!$R$5:$R$2001,0)),"-")</f>
        <v>-</v>
      </c>
      <c r="F532" s="3" t="str">
        <f>IFERROR(INDEX(Movimientos!$G$5:$G$2001,MATCH(A532&amp;"ENTRADA",Movimientos!$R$5:$R$2001,0)),"-")</f>
        <v>-</v>
      </c>
      <c r="G532" s="3" t="str">
        <f>IFERROR(INDEX(Movimientos!$L$5:$L$2001,MATCH(A532&amp;"ENTRADA",Movimientos!$R$5:$R$2001,0)),"-")</f>
        <v>-</v>
      </c>
      <c r="H532" s="19" t="str">
        <f>IFERROR(IF(INDEX(Movimientos!$M$5:$M$2001,MATCH(A532&amp;"ENTRADA",Movimientos!$R$5:$R$2001,0))=0,"S/D",INDEX(Movimientos!$M$5:$M$2001,MATCH(A532&amp;"ENTRADA",Movimientos!$R$5:$R$2001,0))),"S/D")</f>
        <v>S/D</v>
      </c>
      <c r="I532" s="16" t="str">
        <f t="shared" ca="1" si="18"/>
        <v>S/D</v>
      </c>
      <c r="J532" s="6">
        <f>IF(A532="","",SUMIFS(Movimientos!$K:$K,Movimientos!$H:$H,A532))</f>
        <v>0</v>
      </c>
      <c r="K532" s="14" t="str">
        <f t="shared" ca="1" si="19"/>
        <v>OK</v>
      </c>
    </row>
    <row r="533" spans="1:11">
      <c r="A533" s="18" t="s">
        <v>2606</v>
      </c>
      <c r="B533" s="3" t="str">
        <f>IFERROR(INDEX(Movimientos!$C$5:$C$2001,MATCH(A533&amp;"ENTRADA",Movimientos!$R$5:$R$2001,0)),"-")</f>
        <v>-</v>
      </c>
      <c r="C533" s="3" t="str">
        <f>IFERROR(INDEX(Movimientos!$D$5:$D$2001,MATCH(A533&amp;"ENTRADA",Movimientos!$R$5:$R$2001,0)),"-")</f>
        <v>-</v>
      </c>
      <c r="D533" s="3" t="str">
        <f>IFERROR(INDEX(Movimientos!$E$5:$E$2001,MATCH(A533&amp;"ENTRADA",Movimientos!$R$5:$R$2001,0)),"-")</f>
        <v>-</v>
      </c>
      <c r="E533" s="3" t="str">
        <f>IFERROR(INDEX(Movimientos!$F$5:$F$2001,MATCH(A533&amp;"ENTRADA",Movimientos!$R$5:$R$2001,0)),"-")</f>
        <v>-</v>
      </c>
      <c r="F533" s="3" t="str">
        <f>IFERROR(INDEX(Movimientos!$G$5:$G$2001,MATCH(A533&amp;"ENTRADA",Movimientos!$R$5:$R$2001,0)),"-")</f>
        <v>-</v>
      </c>
      <c r="G533" s="3" t="str">
        <f>IFERROR(INDEX(Movimientos!$L$5:$L$2001,MATCH(A533&amp;"ENTRADA",Movimientos!$R$5:$R$2001,0)),"-")</f>
        <v>-</v>
      </c>
      <c r="H533" s="19" t="str">
        <f>IFERROR(IF(INDEX(Movimientos!$M$5:$M$2001,MATCH(A533&amp;"ENTRADA",Movimientos!$R$5:$R$2001,0))=0,"S/D",INDEX(Movimientos!$M$5:$M$2001,MATCH(A533&amp;"ENTRADA",Movimientos!$R$5:$R$2001,0))),"S/D")</f>
        <v>S/D</v>
      </c>
      <c r="I533" s="16" t="str">
        <f t="shared" ca="1" si="18"/>
        <v>S/D</v>
      </c>
      <c r="J533" s="6">
        <f>IF(A533="","",SUMIFS(Movimientos!$K:$K,Movimientos!$H:$H,A533))</f>
        <v>0</v>
      </c>
      <c r="K533" s="14" t="str">
        <f t="shared" ca="1" si="19"/>
        <v>OK</v>
      </c>
    </row>
    <row r="534" spans="1:11">
      <c r="A534" s="18" t="s">
        <v>2607</v>
      </c>
      <c r="B534" s="3" t="str">
        <f>IFERROR(INDEX(Movimientos!$C$5:$C$2001,MATCH(A534&amp;"ENTRADA",Movimientos!$R$5:$R$2001,0)),"-")</f>
        <v>-</v>
      </c>
      <c r="C534" s="3" t="str">
        <f>IFERROR(INDEX(Movimientos!$D$5:$D$2001,MATCH(A534&amp;"ENTRADA",Movimientos!$R$5:$R$2001,0)),"-")</f>
        <v>-</v>
      </c>
      <c r="D534" s="3" t="str">
        <f>IFERROR(INDEX(Movimientos!$E$5:$E$2001,MATCH(A534&amp;"ENTRADA",Movimientos!$R$5:$R$2001,0)),"-")</f>
        <v>-</v>
      </c>
      <c r="E534" s="3" t="str">
        <f>IFERROR(INDEX(Movimientos!$F$5:$F$2001,MATCH(A534&amp;"ENTRADA",Movimientos!$R$5:$R$2001,0)),"-")</f>
        <v>-</v>
      </c>
      <c r="F534" s="3" t="str">
        <f>IFERROR(INDEX(Movimientos!$G$5:$G$2001,MATCH(A534&amp;"ENTRADA",Movimientos!$R$5:$R$2001,0)),"-")</f>
        <v>-</v>
      </c>
      <c r="G534" s="3" t="str">
        <f>IFERROR(INDEX(Movimientos!$L$5:$L$2001,MATCH(A534&amp;"ENTRADA",Movimientos!$R$5:$R$2001,0)),"-")</f>
        <v>-</v>
      </c>
      <c r="H534" s="19" t="str">
        <f>IFERROR(IF(INDEX(Movimientos!$M$5:$M$2001,MATCH(A534&amp;"ENTRADA",Movimientos!$R$5:$R$2001,0))=0,"S/D",INDEX(Movimientos!$M$5:$M$2001,MATCH(A534&amp;"ENTRADA",Movimientos!$R$5:$R$2001,0))),"S/D")</f>
        <v>S/D</v>
      </c>
      <c r="I534" s="16" t="str">
        <f t="shared" ca="1" si="18"/>
        <v>S/D</v>
      </c>
      <c r="J534" s="6">
        <f>IF(A534="","",SUMIFS(Movimientos!$K:$K,Movimientos!$H:$H,A534))</f>
        <v>0</v>
      </c>
      <c r="K534" s="14" t="str">
        <f t="shared" ca="1" si="19"/>
        <v>OK</v>
      </c>
    </row>
    <row r="535" spans="1:11">
      <c r="A535" s="18" t="s">
        <v>2608</v>
      </c>
      <c r="B535" s="3" t="str">
        <f>IFERROR(INDEX(Movimientos!$C$5:$C$2001,MATCH(A535&amp;"ENTRADA",Movimientos!$R$5:$R$2001,0)),"-")</f>
        <v>-</v>
      </c>
      <c r="C535" s="3" t="str">
        <f>IFERROR(INDEX(Movimientos!$D$5:$D$2001,MATCH(A535&amp;"ENTRADA",Movimientos!$R$5:$R$2001,0)),"-")</f>
        <v>-</v>
      </c>
      <c r="D535" s="3" t="str">
        <f>IFERROR(INDEX(Movimientos!$E$5:$E$2001,MATCH(A535&amp;"ENTRADA",Movimientos!$R$5:$R$2001,0)),"-")</f>
        <v>-</v>
      </c>
      <c r="E535" s="3" t="str">
        <f>IFERROR(INDEX(Movimientos!$F$5:$F$2001,MATCH(A535&amp;"ENTRADA",Movimientos!$R$5:$R$2001,0)),"-")</f>
        <v>-</v>
      </c>
      <c r="F535" s="3" t="str">
        <f>IFERROR(INDEX(Movimientos!$G$5:$G$2001,MATCH(A535&amp;"ENTRADA",Movimientos!$R$5:$R$2001,0)),"-")</f>
        <v>-</v>
      </c>
      <c r="G535" s="3" t="str">
        <f>IFERROR(INDEX(Movimientos!$L$5:$L$2001,MATCH(A535&amp;"ENTRADA",Movimientos!$R$5:$R$2001,0)),"-")</f>
        <v>-</v>
      </c>
      <c r="H535" s="19" t="str">
        <f>IFERROR(IF(INDEX(Movimientos!$M$5:$M$2001,MATCH(A535&amp;"ENTRADA",Movimientos!$R$5:$R$2001,0))=0,"S/D",INDEX(Movimientos!$M$5:$M$2001,MATCH(A535&amp;"ENTRADA",Movimientos!$R$5:$R$2001,0))),"S/D")</f>
        <v>S/D</v>
      </c>
      <c r="I535" s="16" t="str">
        <f t="shared" ca="1" si="18"/>
        <v>S/D</v>
      </c>
      <c r="J535" s="6">
        <f>IF(A535="","",SUMIFS(Movimientos!$K:$K,Movimientos!$H:$H,A535))</f>
        <v>0</v>
      </c>
      <c r="K535" s="14" t="str">
        <f t="shared" ca="1" si="19"/>
        <v>OK</v>
      </c>
    </row>
    <row r="536" spans="1:11">
      <c r="A536" s="18" t="s">
        <v>2609</v>
      </c>
      <c r="B536" s="3" t="str">
        <f>IFERROR(INDEX(Movimientos!$C$5:$C$2001,MATCH(A536&amp;"ENTRADA",Movimientos!$R$5:$R$2001,0)),"-")</f>
        <v>-</v>
      </c>
      <c r="C536" s="3" t="str">
        <f>IFERROR(INDEX(Movimientos!$D$5:$D$2001,MATCH(A536&amp;"ENTRADA",Movimientos!$R$5:$R$2001,0)),"-")</f>
        <v>-</v>
      </c>
      <c r="D536" s="3" t="str">
        <f>IFERROR(INDEX(Movimientos!$E$5:$E$2001,MATCH(A536&amp;"ENTRADA",Movimientos!$R$5:$R$2001,0)),"-")</f>
        <v>-</v>
      </c>
      <c r="E536" s="3" t="str">
        <f>IFERROR(INDEX(Movimientos!$F$5:$F$2001,MATCH(A536&amp;"ENTRADA",Movimientos!$R$5:$R$2001,0)),"-")</f>
        <v>-</v>
      </c>
      <c r="F536" s="3" t="str">
        <f>IFERROR(INDEX(Movimientos!$G$5:$G$2001,MATCH(A536&amp;"ENTRADA",Movimientos!$R$5:$R$2001,0)),"-")</f>
        <v>-</v>
      </c>
      <c r="G536" s="3" t="str">
        <f>IFERROR(INDEX(Movimientos!$L$5:$L$2001,MATCH(A536&amp;"ENTRADA",Movimientos!$R$5:$R$2001,0)),"-")</f>
        <v>-</v>
      </c>
      <c r="H536" s="19" t="str">
        <f>IFERROR(IF(INDEX(Movimientos!$M$5:$M$2001,MATCH(A536&amp;"ENTRADA",Movimientos!$R$5:$R$2001,0))=0,"S/D",INDEX(Movimientos!$M$5:$M$2001,MATCH(A536&amp;"ENTRADA",Movimientos!$R$5:$R$2001,0))),"S/D")</f>
        <v>S/D</v>
      </c>
      <c r="I536" s="16" t="str">
        <f t="shared" ca="1" si="18"/>
        <v>S/D</v>
      </c>
      <c r="J536" s="6">
        <f>IF(A536="","",SUMIFS(Movimientos!$K:$K,Movimientos!$H:$H,A536))</f>
        <v>0</v>
      </c>
      <c r="K536" s="14" t="str">
        <f t="shared" ca="1" si="19"/>
        <v>OK</v>
      </c>
    </row>
    <row r="537" spans="1:11">
      <c r="A537" s="18" t="s">
        <v>2610</v>
      </c>
      <c r="B537" s="3" t="str">
        <f>IFERROR(INDEX(Movimientos!$C$5:$C$2001,MATCH(A537&amp;"ENTRADA",Movimientos!$R$5:$R$2001,0)),"-")</f>
        <v>-</v>
      </c>
      <c r="C537" s="3" t="str">
        <f>IFERROR(INDEX(Movimientos!$D$5:$D$2001,MATCH(A537&amp;"ENTRADA",Movimientos!$R$5:$R$2001,0)),"-")</f>
        <v>-</v>
      </c>
      <c r="D537" s="3" t="str">
        <f>IFERROR(INDEX(Movimientos!$E$5:$E$2001,MATCH(A537&amp;"ENTRADA",Movimientos!$R$5:$R$2001,0)),"-")</f>
        <v>-</v>
      </c>
      <c r="E537" s="3" t="str">
        <f>IFERROR(INDEX(Movimientos!$F$5:$F$2001,MATCH(A537&amp;"ENTRADA",Movimientos!$R$5:$R$2001,0)),"-")</f>
        <v>-</v>
      </c>
      <c r="F537" s="3" t="str">
        <f>IFERROR(INDEX(Movimientos!$G$5:$G$2001,MATCH(A537&amp;"ENTRADA",Movimientos!$R$5:$R$2001,0)),"-")</f>
        <v>-</v>
      </c>
      <c r="G537" s="3" t="str">
        <f>IFERROR(INDEX(Movimientos!$L$5:$L$2001,MATCH(A537&amp;"ENTRADA",Movimientos!$R$5:$R$2001,0)),"-")</f>
        <v>-</v>
      </c>
      <c r="H537" s="19" t="str">
        <f>IFERROR(IF(INDEX(Movimientos!$M$5:$M$2001,MATCH(A537&amp;"ENTRADA",Movimientos!$R$5:$R$2001,0))=0,"S/D",INDEX(Movimientos!$M$5:$M$2001,MATCH(A537&amp;"ENTRADA",Movimientos!$R$5:$R$2001,0))),"S/D")</f>
        <v>S/D</v>
      </c>
      <c r="I537" s="16" t="str">
        <f t="shared" ca="1" si="18"/>
        <v>S/D</v>
      </c>
      <c r="J537" s="6">
        <f>IF(A537="","",SUMIFS(Movimientos!$K:$K,Movimientos!$H:$H,A537))</f>
        <v>0</v>
      </c>
      <c r="K537" s="14" t="str">
        <f t="shared" ca="1" si="19"/>
        <v>OK</v>
      </c>
    </row>
    <row r="538" spans="1:11">
      <c r="A538" s="18" t="s">
        <v>2611</v>
      </c>
      <c r="B538" s="3" t="str">
        <f>IFERROR(INDEX(Movimientos!$C$5:$C$2001,MATCH(A538&amp;"ENTRADA",Movimientos!$R$5:$R$2001,0)),"-")</f>
        <v>-</v>
      </c>
      <c r="C538" s="3" t="str">
        <f>IFERROR(INDEX(Movimientos!$D$5:$D$2001,MATCH(A538&amp;"ENTRADA",Movimientos!$R$5:$R$2001,0)),"-")</f>
        <v>-</v>
      </c>
      <c r="D538" s="3" t="str">
        <f>IFERROR(INDEX(Movimientos!$E$5:$E$2001,MATCH(A538&amp;"ENTRADA",Movimientos!$R$5:$R$2001,0)),"-")</f>
        <v>-</v>
      </c>
      <c r="E538" s="3" t="str">
        <f>IFERROR(INDEX(Movimientos!$F$5:$F$2001,MATCH(A538&amp;"ENTRADA",Movimientos!$R$5:$R$2001,0)),"-")</f>
        <v>-</v>
      </c>
      <c r="F538" s="3" t="str">
        <f>IFERROR(INDEX(Movimientos!$G$5:$G$2001,MATCH(A538&amp;"ENTRADA",Movimientos!$R$5:$R$2001,0)),"-")</f>
        <v>-</v>
      </c>
      <c r="G538" s="3" t="str">
        <f>IFERROR(INDEX(Movimientos!$L$5:$L$2001,MATCH(A538&amp;"ENTRADA",Movimientos!$R$5:$R$2001,0)),"-")</f>
        <v>-</v>
      </c>
      <c r="H538" s="19" t="str">
        <f>IFERROR(IF(INDEX(Movimientos!$M$5:$M$2001,MATCH(A538&amp;"ENTRADA",Movimientos!$R$5:$R$2001,0))=0,"S/D",INDEX(Movimientos!$M$5:$M$2001,MATCH(A538&amp;"ENTRADA",Movimientos!$R$5:$R$2001,0))),"S/D")</f>
        <v>S/D</v>
      </c>
      <c r="I538" s="16" t="str">
        <f t="shared" ca="1" si="18"/>
        <v>S/D</v>
      </c>
      <c r="J538" s="6">
        <f>IF(A538="","",SUMIFS(Movimientos!$K:$K,Movimientos!$H:$H,A538))</f>
        <v>0</v>
      </c>
      <c r="K538" s="14" t="str">
        <f t="shared" ca="1" si="19"/>
        <v>OK</v>
      </c>
    </row>
    <row r="539" spans="1:11">
      <c r="A539" s="18" t="s">
        <v>2612</v>
      </c>
      <c r="B539" s="3" t="str">
        <f>IFERROR(INDEX(Movimientos!$C$5:$C$2001,MATCH(A539&amp;"ENTRADA",Movimientos!$R$5:$R$2001,0)),"-")</f>
        <v>-</v>
      </c>
      <c r="C539" s="3" t="str">
        <f>IFERROR(INDEX(Movimientos!$D$5:$D$2001,MATCH(A539&amp;"ENTRADA",Movimientos!$R$5:$R$2001,0)),"-")</f>
        <v>-</v>
      </c>
      <c r="D539" s="3" t="str">
        <f>IFERROR(INDEX(Movimientos!$E$5:$E$2001,MATCH(A539&amp;"ENTRADA",Movimientos!$R$5:$R$2001,0)),"-")</f>
        <v>-</v>
      </c>
      <c r="E539" s="3" t="str">
        <f>IFERROR(INDEX(Movimientos!$F$5:$F$2001,MATCH(A539&amp;"ENTRADA",Movimientos!$R$5:$R$2001,0)),"-")</f>
        <v>-</v>
      </c>
      <c r="F539" s="3" t="str">
        <f>IFERROR(INDEX(Movimientos!$G$5:$G$2001,MATCH(A539&amp;"ENTRADA",Movimientos!$R$5:$R$2001,0)),"-")</f>
        <v>-</v>
      </c>
      <c r="G539" s="3" t="str">
        <f>IFERROR(INDEX(Movimientos!$L$5:$L$2001,MATCH(A539&amp;"ENTRADA",Movimientos!$R$5:$R$2001,0)),"-")</f>
        <v>-</v>
      </c>
      <c r="H539" s="19" t="str">
        <f>IFERROR(IF(INDEX(Movimientos!$M$5:$M$2001,MATCH(A539&amp;"ENTRADA",Movimientos!$R$5:$R$2001,0))=0,"S/D",INDEX(Movimientos!$M$5:$M$2001,MATCH(A539&amp;"ENTRADA",Movimientos!$R$5:$R$2001,0))),"S/D")</f>
        <v>S/D</v>
      </c>
      <c r="I539" s="16" t="str">
        <f t="shared" ca="1" si="18"/>
        <v>S/D</v>
      </c>
      <c r="J539" s="6">
        <f>IF(A539="","",SUMIFS(Movimientos!$K:$K,Movimientos!$H:$H,A539))</f>
        <v>0</v>
      </c>
      <c r="K539" s="14" t="str">
        <f t="shared" ca="1" si="19"/>
        <v>OK</v>
      </c>
    </row>
    <row r="540" spans="1:11">
      <c r="A540" s="18" t="s">
        <v>2613</v>
      </c>
      <c r="B540" s="3" t="str">
        <f>IFERROR(INDEX(Movimientos!$C$5:$C$2001,MATCH(A540&amp;"ENTRADA",Movimientos!$R$5:$R$2001,0)),"-")</f>
        <v>-</v>
      </c>
      <c r="C540" s="3" t="str">
        <f>IFERROR(INDEX(Movimientos!$D$5:$D$2001,MATCH(A540&amp;"ENTRADA",Movimientos!$R$5:$R$2001,0)),"-")</f>
        <v>-</v>
      </c>
      <c r="D540" s="3" t="str">
        <f>IFERROR(INDEX(Movimientos!$E$5:$E$2001,MATCH(A540&amp;"ENTRADA",Movimientos!$R$5:$R$2001,0)),"-")</f>
        <v>-</v>
      </c>
      <c r="E540" s="3" t="str">
        <f>IFERROR(INDEX(Movimientos!$F$5:$F$2001,MATCH(A540&amp;"ENTRADA",Movimientos!$R$5:$R$2001,0)),"-")</f>
        <v>-</v>
      </c>
      <c r="F540" s="3" t="str">
        <f>IFERROR(INDEX(Movimientos!$G$5:$G$2001,MATCH(A540&amp;"ENTRADA",Movimientos!$R$5:$R$2001,0)),"-")</f>
        <v>-</v>
      </c>
      <c r="G540" s="3" t="str">
        <f>IFERROR(INDEX(Movimientos!$L$5:$L$2001,MATCH(A540&amp;"ENTRADA",Movimientos!$R$5:$R$2001,0)),"-")</f>
        <v>-</v>
      </c>
      <c r="H540" s="19" t="str">
        <f>IFERROR(IF(INDEX(Movimientos!$M$5:$M$2001,MATCH(A540&amp;"ENTRADA",Movimientos!$R$5:$R$2001,0))=0,"S/D",INDEX(Movimientos!$M$5:$M$2001,MATCH(A540&amp;"ENTRADA",Movimientos!$R$5:$R$2001,0))),"S/D")</f>
        <v>S/D</v>
      </c>
      <c r="I540" s="16" t="str">
        <f t="shared" ca="1" si="18"/>
        <v>S/D</v>
      </c>
      <c r="J540" s="6">
        <f>IF(A540="","",SUMIFS(Movimientos!$K:$K,Movimientos!$H:$H,A540))</f>
        <v>0</v>
      </c>
      <c r="K540" s="14" t="str">
        <f t="shared" ca="1" si="19"/>
        <v>OK</v>
      </c>
    </row>
    <row r="541" spans="1:11">
      <c r="A541" s="18" t="s">
        <v>2614</v>
      </c>
      <c r="B541" s="3" t="str">
        <f>IFERROR(INDEX(Movimientos!$C$5:$C$2001,MATCH(A541&amp;"ENTRADA",Movimientos!$R$5:$R$2001,0)),"-")</f>
        <v>-</v>
      </c>
      <c r="C541" s="3" t="str">
        <f>IFERROR(INDEX(Movimientos!$D$5:$D$2001,MATCH(A541&amp;"ENTRADA",Movimientos!$R$5:$R$2001,0)),"-")</f>
        <v>-</v>
      </c>
      <c r="D541" s="3" t="str">
        <f>IFERROR(INDEX(Movimientos!$E$5:$E$2001,MATCH(A541&amp;"ENTRADA",Movimientos!$R$5:$R$2001,0)),"-")</f>
        <v>-</v>
      </c>
      <c r="E541" s="3" t="str">
        <f>IFERROR(INDEX(Movimientos!$F$5:$F$2001,MATCH(A541&amp;"ENTRADA",Movimientos!$R$5:$R$2001,0)),"-")</f>
        <v>-</v>
      </c>
      <c r="F541" s="3" t="str">
        <f>IFERROR(INDEX(Movimientos!$G$5:$G$2001,MATCH(A541&amp;"ENTRADA",Movimientos!$R$5:$R$2001,0)),"-")</f>
        <v>-</v>
      </c>
      <c r="G541" s="3" t="str">
        <f>IFERROR(INDEX(Movimientos!$L$5:$L$2001,MATCH(A541&amp;"ENTRADA",Movimientos!$R$5:$R$2001,0)),"-")</f>
        <v>-</v>
      </c>
      <c r="H541" s="19" t="str">
        <f>IFERROR(IF(INDEX(Movimientos!$M$5:$M$2001,MATCH(A541&amp;"ENTRADA",Movimientos!$R$5:$R$2001,0))=0,"S/D",INDEX(Movimientos!$M$5:$M$2001,MATCH(A541&amp;"ENTRADA",Movimientos!$R$5:$R$2001,0))),"S/D")</f>
        <v>S/D</v>
      </c>
      <c r="I541" s="16" t="str">
        <f t="shared" ca="1" si="18"/>
        <v>S/D</v>
      </c>
      <c r="J541" s="6">
        <f>IF(A541="","",SUMIFS(Movimientos!$K:$K,Movimientos!$H:$H,A541))</f>
        <v>0</v>
      </c>
      <c r="K541" s="14" t="str">
        <f t="shared" ca="1" si="19"/>
        <v>OK</v>
      </c>
    </row>
    <row r="542" spans="1:11">
      <c r="A542" s="18" t="s">
        <v>2615</v>
      </c>
      <c r="B542" s="3" t="str">
        <f>IFERROR(INDEX(Movimientos!$C$5:$C$2001,MATCH(A542&amp;"ENTRADA",Movimientos!$R$5:$R$2001,0)),"-")</f>
        <v>-</v>
      </c>
      <c r="C542" s="3" t="str">
        <f>IFERROR(INDEX(Movimientos!$D$5:$D$2001,MATCH(A542&amp;"ENTRADA",Movimientos!$R$5:$R$2001,0)),"-")</f>
        <v>-</v>
      </c>
      <c r="D542" s="3" t="str">
        <f>IFERROR(INDEX(Movimientos!$E$5:$E$2001,MATCH(A542&amp;"ENTRADA",Movimientos!$R$5:$R$2001,0)),"-")</f>
        <v>-</v>
      </c>
      <c r="E542" s="3" t="str">
        <f>IFERROR(INDEX(Movimientos!$F$5:$F$2001,MATCH(A542&amp;"ENTRADA",Movimientos!$R$5:$R$2001,0)),"-")</f>
        <v>-</v>
      </c>
      <c r="F542" s="3" t="str">
        <f>IFERROR(INDEX(Movimientos!$G$5:$G$2001,MATCH(A542&amp;"ENTRADA",Movimientos!$R$5:$R$2001,0)),"-")</f>
        <v>-</v>
      </c>
      <c r="G542" s="3" t="str">
        <f>IFERROR(INDEX(Movimientos!$L$5:$L$2001,MATCH(A542&amp;"ENTRADA",Movimientos!$R$5:$R$2001,0)),"-")</f>
        <v>-</v>
      </c>
      <c r="H542" s="19" t="str">
        <f>IFERROR(IF(INDEX(Movimientos!$M$5:$M$2001,MATCH(A542&amp;"ENTRADA",Movimientos!$R$5:$R$2001,0))=0,"S/D",INDEX(Movimientos!$M$5:$M$2001,MATCH(A542&amp;"ENTRADA",Movimientos!$R$5:$R$2001,0))),"S/D")</f>
        <v>S/D</v>
      </c>
      <c r="I542" s="16" t="str">
        <f t="shared" ca="1" si="18"/>
        <v>S/D</v>
      </c>
      <c r="J542" s="6">
        <f>IF(A542="","",SUMIFS(Movimientos!$K:$K,Movimientos!$H:$H,A542))</f>
        <v>0</v>
      </c>
      <c r="K542" s="14" t="str">
        <f t="shared" ca="1" si="19"/>
        <v>OK</v>
      </c>
    </row>
    <row r="543" spans="1:11">
      <c r="A543" s="18" t="s">
        <v>2616</v>
      </c>
      <c r="B543" s="3" t="str">
        <f>IFERROR(INDEX(Movimientos!$C$5:$C$2001,MATCH(A543&amp;"ENTRADA",Movimientos!$R$5:$R$2001,0)),"-")</f>
        <v>-</v>
      </c>
      <c r="C543" s="3" t="str">
        <f>IFERROR(INDEX(Movimientos!$D$5:$D$2001,MATCH(A543&amp;"ENTRADA",Movimientos!$R$5:$R$2001,0)),"-")</f>
        <v>-</v>
      </c>
      <c r="D543" s="3" t="str">
        <f>IFERROR(INDEX(Movimientos!$E$5:$E$2001,MATCH(A543&amp;"ENTRADA",Movimientos!$R$5:$R$2001,0)),"-")</f>
        <v>-</v>
      </c>
      <c r="E543" s="3" t="str">
        <f>IFERROR(INDEX(Movimientos!$F$5:$F$2001,MATCH(A543&amp;"ENTRADA",Movimientos!$R$5:$R$2001,0)),"-")</f>
        <v>-</v>
      </c>
      <c r="F543" s="3" t="str">
        <f>IFERROR(INDEX(Movimientos!$G$5:$G$2001,MATCH(A543&amp;"ENTRADA",Movimientos!$R$5:$R$2001,0)),"-")</f>
        <v>-</v>
      </c>
      <c r="G543" s="3" t="str">
        <f>IFERROR(INDEX(Movimientos!$L$5:$L$2001,MATCH(A543&amp;"ENTRADA",Movimientos!$R$5:$R$2001,0)),"-")</f>
        <v>-</v>
      </c>
      <c r="H543" s="19" t="str">
        <f>IFERROR(IF(INDEX(Movimientos!$M$5:$M$2001,MATCH(A543&amp;"ENTRADA",Movimientos!$R$5:$R$2001,0))=0,"S/D",INDEX(Movimientos!$M$5:$M$2001,MATCH(A543&amp;"ENTRADA",Movimientos!$R$5:$R$2001,0))),"S/D")</f>
        <v>S/D</v>
      </c>
      <c r="I543" s="16" t="str">
        <f t="shared" ca="1" si="18"/>
        <v>S/D</v>
      </c>
      <c r="J543" s="6">
        <f>IF(A543="","",SUMIFS(Movimientos!$K:$K,Movimientos!$H:$H,A543))</f>
        <v>0</v>
      </c>
      <c r="K543" s="14" t="str">
        <f t="shared" ca="1" si="19"/>
        <v>OK</v>
      </c>
    </row>
    <row r="544" spans="1:11">
      <c r="A544" s="18" t="s">
        <v>2617</v>
      </c>
      <c r="B544" s="3" t="str">
        <f>IFERROR(INDEX(Movimientos!$C$5:$C$2001,MATCH(A544&amp;"ENTRADA",Movimientos!$R$5:$R$2001,0)),"-")</f>
        <v>-</v>
      </c>
      <c r="C544" s="3" t="str">
        <f>IFERROR(INDEX(Movimientos!$D$5:$D$2001,MATCH(A544&amp;"ENTRADA",Movimientos!$R$5:$R$2001,0)),"-")</f>
        <v>-</v>
      </c>
      <c r="D544" s="3" t="str">
        <f>IFERROR(INDEX(Movimientos!$E$5:$E$2001,MATCH(A544&amp;"ENTRADA",Movimientos!$R$5:$R$2001,0)),"-")</f>
        <v>-</v>
      </c>
      <c r="E544" s="3" t="str">
        <f>IFERROR(INDEX(Movimientos!$F$5:$F$2001,MATCH(A544&amp;"ENTRADA",Movimientos!$R$5:$R$2001,0)),"-")</f>
        <v>-</v>
      </c>
      <c r="F544" s="3" t="str">
        <f>IFERROR(INDEX(Movimientos!$G$5:$G$2001,MATCH(A544&amp;"ENTRADA",Movimientos!$R$5:$R$2001,0)),"-")</f>
        <v>-</v>
      </c>
      <c r="G544" s="3" t="str">
        <f>IFERROR(INDEX(Movimientos!$L$5:$L$2001,MATCH(A544&amp;"ENTRADA",Movimientos!$R$5:$R$2001,0)),"-")</f>
        <v>-</v>
      </c>
      <c r="H544" s="19" t="str">
        <f>IFERROR(IF(INDEX(Movimientos!$M$5:$M$2001,MATCH(A544&amp;"ENTRADA",Movimientos!$R$5:$R$2001,0))=0,"S/D",INDEX(Movimientos!$M$5:$M$2001,MATCH(A544&amp;"ENTRADA",Movimientos!$R$5:$R$2001,0))),"S/D")</f>
        <v>S/D</v>
      </c>
      <c r="I544" s="16" t="str">
        <f t="shared" ca="1" si="18"/>
        <v>S/D</v>
      </c>
      <c r="J544" s="6">
        <f>IF(A544="","",SUMIFS(Movimientos!$K:$K,Movimientos!$H:$H,A544))</f>
        <v>0</v>
      </c>
      <c r="K544" s="14" t="str">
        <f t="shared" ca="1" si="19"/>
        <v>OK</v>
      </c>
    </row>
    <row r="545" spans="1:11">
      <c r="A545" s="18" t="s">
        <v>2618</v>
      </c>
      <c r="B545" s="3" t="str">
        <f>IFERROR(INDEX(Movimientos!$C$5:$C$2001,MATCH(A545&amp;"ENTRADA",Movimientos!$R$5:$R$2001,0)),"-")</f>
        <v>-</v>
      </c>
      <c r="C545" s="3" t="str">
        <f>IFERROR(INDEX(Movimientos!$D$5:$D$2001,MATCH(A545&amp;"ENTRADA",Movimientos!$R$5:$R$2001,0)),"-")</f>
        <v>-</v>
      </c>
      <c r="D545" s="3" t="str">
        <f>IFERROR(INDEX(Movimientos!$E$5:$E$2001,MATCH(A545&amp;"ENTRADA",Movimientos!$R$5:$R$2001,0)),"-")</f>
        <v>-</v>
      </c>
      <c r="E545" s="3" t="str">
        <f>IFERROR(INDEX(Movimientos!$F$5:$F$2001,MATCH(A545&amp;"ENTRADA",Movimientos!$R$5:$R$2001,0)),"-")</f>
        <v>-</v>
      </c>
      <c r="F545" s="3" t="str">
        <f>IFERROR(INDEX(Movimientos!$G$5:$G$2001,MATCH(A545&amp;"ENTRADA",Movimientos!$R$5:$R$2001,0)),"-")</f>
        <v>-</v>
      </c>
      <c r="G545" s="3" t="str">
        <f>IFERROR(INDEX(Movimientos!$L$5:$L$2001,MATCH(A545&amp;"ENTRADA",Movimientos!$R$5:$R$2001,0)),"-")</f>
        <v>-</v>
      </c>
      <c r="H545" s="19" t="str">
        <f>IFERROR(IF(INDEX(Movimientos!$M$5:$M$2001,MATCH(A545&amp;"ENTRADA",Movimientos!$R$5:$R$2001,0))=0,"S/D",INDEX(Movimientos!$M$5:$M$2001,MATCH(A545&amp;"ENTRADA",Movimientos!$R$5:$R$2001,0))),"S/D")</f>
        <v>S/D</v>
      </c>
      <c r="I545" s="16" t="str">
        <f t="shared" ca="1" si="18"/>
        <v>S/D</v>
      </c>
      <c r="J545" s="6">
        <f>IF(A545="","",SUMIFS(Movimientos!$K:$K,Movimientos!$H:$H,A545))</f>
        <v>0</v>
      </c>
      <c r="K545" s="14" t="str">
        <f t="shared" ca="1" si="19"/>
        <v>OK</v>
      </c>
    </row>
    <row r="546" spans="1:11">
      <c r="A546" s="18" t="s">
        <v>2619</v>
      </c>
      <c r="B546" s="3" t="str">
        <f>IFERROR(INDEX(Movimientos!$C$5:$C$2001,MATCH(A546&amp;"ENTRADA",Movimientos!$R$5:$R$2001,0)),"-")</f>
        <v>-</v>
      </c>
      <c r="C546" s="3" t="str">
        <f>IFERROR(INDEX(Movimientos!$D$5:$D$2001,MATCH(A546&amp;"ENTRADA",Movimientos!$R$5:$R$2001,0)),"-")</f>
        <v>-</v>
      </c>
      <c r="D546" s="3" t="str">
        <f>IFERROR(INDEX(Movimientos!$E$5:$E$2001,MATCH(A546&amp;"ENTRADA",Movimientos!$R$5:$R$2001,0)),"-")</f>
        <v>-</v>
      </c>
      <c r="E546" s="3" t="str">
        <f>IFERROR(INDEX(Movimientos!$F$5:$F$2001,MATCH(A546&amp;"ENTRADA",Movimientos!$R$5:$R$2001,0)),"-")</f>
        <v>-</v>
      </c>
      <c r="F546" s="3" t="str">
        <f>IFERROR(INDEX(Movimientos!$G$5:$G$2001,MATCH(A546&amp;"ENTRADA",Movimientos!$R$5:$R$2001,0)),"-")</f>
        <v>-</v>
      </c>
      <c r="G546" s="3" t="str">
        <f>IFERROR(INDEX(Movimientos!$L$5:$L$2001,MATCH(A546&amp;"ENTRADA",Movimientos!$R$5:$R$2001,0)),"-")</f>
        <v>-</v>
      </c>
      <c r="H546" s="19" t="str">
        <f>IFERROR(IF(INDEX(Movimientos!$M$5:$M$2001,MATCH(A546&amp;"ENTRADA",Movimientos!$R$5:$R$2001,0))=0,"S/D",INDEX(Movimientos!$M$5:$M$2001,MATCH(A546&amp;"ENTRADA",Movimientos!$R$5:$R$2001,0))),"S/D")</f>
        <v>S/D</v>
      </c>
      <c r="I546" s="16" t="str">
        <f t="shared" ca="1" si="18"/>
        <v>S/D</v>
      </c>
      <c r="J546" s="6">
        <f>IF(A546="","",SUMIFS(Movimientos!$K:$K,Movimientos!$H:$H,A546))</f>
        <v>0</v>
      </c>
      <c r="K546" s="14" t="str">
        <f t="shared" ca="1" si="19"/>
        <v>OK</v>
      </c>
    </row>
    <row r="547" spans="1:11">
      <c r="A547" s="18" t="s">
        <v>2620</v>
      </c>
      <c r="B547" s="3" t="str">
        <f>IFERROR(INDEX(Movimientos!$C$5:$C$2001,MATCH(A547&amp;"ENTRADA",Movimientos!$R$5:$R$2001,0)),"-")</f>
        <v>-</v>
      </c>
      <c r="C547" s="3" t="str">
        <f>IFERROR(INDEX(Movimientos!$D$5:$D$2001,MATCH(A547&amp;"ENTRADA",Movimientos!$R$5:$R$2001,0)),"-")</f>
        <v>-</v>
      </c>
      <c r="D547" s="3" t="str">
        <f>IFERROR(INDEX(Movimientos!$E$5:$E$2001,MATCH(A547&amp;"ENTRADA",Movimientos!$R$5:$R$2001,0)),"-")</f>
        <v>-</v>
      </c>
      <c r="E547" s="3" t="str">
        <f>IFERROR(INDEX(Movimientos!$F$5:$F$2001,MATCH(A547&amp;"ENTRADA",Movimientos!$R$5:$R$2001,0)),"-")</f>
        <v>-</v>
      </c>
      <c r="F547" s="3" t="str">
        <f>IFERROR(INDEX(Movimientos!$G$5:$G$2001,MATCH(A547&amp;"ENTRADA",Movimientos!$R$5:$R$2001,0)),"-")</f>
        <v>-</v>
      </c>
      <c r="G547" s="3" t="str">
        <f>IFERROR(INDEX(Movimientos!$L$5:$L$2001,MATCH(A547&amp;"ENTRADA",Movimientos!$R$5:$R$2001,0)),"-")</f>
        <v>-</v>
      </c>
      <c r="H547" s="19" t="str">
        <f>IFERROR(IF(INDEX(Movimientos!$M$5:$M$2001,MATCH(A547&amp;"ENTRADA",Movimientos!$R$5:$R$2001,0))=0,"S/D",INDEX(Movimientos!$M$5:$M$2001,MATCH(A547&amp;"ENTRADA",Movimientos!$R$5:$R$2001,0))),"S/D")</f>
        <v>S/D</v>
      </c>
      <c r="I547" s="16" t="str">
        <f t="shared" ca="1" si="18"/>
        <v>S/D</v>
      </c>
      <c r="J547" s="6">
        <f>IF(A547="","",SUMIFS(Movimientos!$K:$K,Movimientos!$H:$H,A547))</f>
        <v>0</v>
      </c>
      <c r="K547" s="14" t="str">
        <f t="shared" ca="1" si="19"/>
        <v>OK</v>
      </c>
    </row>
    <row r="548" spans="1:11">
      <c r="A548" s="18" t="s">
        <v>2621</v>
      </c>
      <c r="B548" s="3" t="str">
        <f>IFERROR(INDEX(Movimientos!$C$5:$C$2001,MATCH(A548&amp;"ENTRADA",Movimientos!$R$5:$R$2001,0)),"-")</f>
        <v>-</v>
      </c>
      <c r="C548" s="3" t="str">
        <f>IFERROR(INDEX(Movimientos!$D$5:$D$2001,MATCH(A548&amp;"ENTRADA",Movimientos!$R$5:$R$2001,0)),"-")</f>
        <v>-</v>
      </c>
      <c r="D548" s="3" t="str">
        <f>IFERROR(INDEX(Movimientos!$E$5:$E$2001,MATCH(A548&amp;"ENTRADA",Movimientos!$R$5:$R$2001,0)),"-")</f>
        <v>-</v>
      </c>
      <c r="E548" s="3" t="str">
        <f>IFERROR(INDEX(Movimientos!$F$5:$F$2001,MATCH(A548&amp;"ENTRADA",Movimientos!$R$5:$R$2001,0)),"-")</f>
        <v>-</v>
      </c>
      <c r="F548" s="3" t="str">
        <f>IFERROR(INDEX(Movimientos!$G$5:$G$2001,MATCH(A548&amp;"ENTRADA",Movimientos!$R$5:$R$2001,0)),"-")</f>
        <v>-</v>
      </c>
      <c r="G548" s="3" t="str">
        <f>IFERROR(INDEX(Movimientos!$L$5:$L$2001,MATCH(A548&amp;"ENTRADA",Movimientos!$R$5:$R$2001,0)),"-")</f>
        <v>-</v>
      </c>
      <c r="H548" s="19" t="str">
        <f>IFERROR(IF(INDEX(Movimientos!$M$5:$M$2001,MATCH(A548&amp;"ENTRADA",Movimientos!$R$5:$R$2001,0))=0,"S/D",INDEX(Movimientos!$M$5:$M$2001,MATCH(A548&amp;"ENTRADA",Movimientos!$R$5:$R$2001,0))),"S/D")</f>
        <v>S/D</v>
      </c>
      <c r="I548" s="16" t="str">
        <f t="shared" ca="1" si="18"/>
        <v>S/D</v>
      </c>
      <c r="J548" s="6">
        <f>IF(A548="","",SUMIFS(Movimientos!$K:$K,Movimientos!$H:$H,A548))</f>
        <v>0</v>
      </c>
      <c r="K548" s="14" t="str">
        <f t="shared" ca="1" si="19"/>
        <v>OK</v>
      </c>
    </row>
    <row r="549" spans="1:11">
      <c r="A549" s="18" t="s">
        <v>2622</v>
      </c>
      <c r="B549" s="3" t="str">
        <f>IFERROR(INDEX(Movimientos!$C$5:$C$2001,MATCH(A549&amp;"ENTRADA",Movimientos!$R$5:$R$2001,0)),"-")</f>
        <v>-</v>
      </c>
      <c r="C549" s="3" t="str">
        <f>IFERROR(INDEX(Movimientos!$D$5:$D$2001,MATCH(A549&amp;"ENTRADA",Movimientos!$R$5:$R$2001,0)),"-")</f>
        <v>-</v>
      </c>
      <c r="D549" s="3" t="str">
        <f>IFERROR(INDEX(Movimientos!$E$5:$E$2001,MATCH(A549&amp;"ENTRADA",Movimientos!$R$5:$R$2001,0)),"-")</f>
        <v>-</v>
      </c>
      <c r="E549" s="3" t="str">
        <f>IFERROR(INDEX(Movimientos!$F$5:$F$2001,MATCH(A549&amp;"ENTRADA",Movimientos!$R$5:$R$2001,0)),"-")</f>
        <v>-</v>
      </c>
      <c r="F549" s="3" t="str">
        <f>IFERROR(INDEX(Movimientos!$G$5:$G$2001,MATCH(A549&amp;"ENTRADA",Movimientos!$R$5:$R$2001,0)),"-")</f>
        <v>-</v>
      </c>
      <c r="G549" s="3" t="str">
        <f>IFERROR(INDEX(Movimientos!$L$5:$L$2001,MATCH(A549&amp;"ENTRADA",Movimientos!$R$5:$R$2001,0)),"-")</f>
        <v>-</v>
      </c>
      <c r="H549" s="19" t="str">
        <f>IFERROR(IF(INDEX(Movimientos!$M$5:$M$2001,MATCH(A549&amp;"ENTRADA",Movimientos!$R$5:$R$2001,0))=0,"S/D",INDEX(Movimientos!$M$5:$M$2001,MATCH(A549&amp;"ENTRADA",Movimientos!$R$5:$R$2001,0))),"S/D")</f>
        <v>S/D</v>
      </c>
      <c r="I549" s="16" t="str">
        <f t="shared" ca="1" si="18"/>
        <v>S/D</v>
      </c>
      <c r="J549" s="6">
        <f>IF(A549="","",SUMIFS(Movimientos!$K:$K,Movimientos!$H:$H,A549))</f>
        <v>0</v>
      </c>
      <c r="K549" s="14" t="str">
        <f t="shared" ca="1" si="19"/>
        <v>OK</v>
      </c>
    </row>
    <row r="550" spans="1:11">
      <c r="A550" s="18" t="s">
        <v>2623</v>
      </c>
      <c r="B550" s="3" t="str">
        <f>IFERROR(INDEX(Movimientos!$C$5:$C$2001,MATCH(A550&amp;"ENTRADA",Movimientos!$R$5:$R$2001,0)),"-")</f>
        <v>-</v>
      </c>
      <c r="C550" s="3" t="str">
        <f>IFERROR(INDEX(Movimientos!$D$5:$D$2001,MATCH(A550&amp;"ENTRADA",Movimientos!$R$5:$R$2001,0)),"-")</f>
        <v>-</v>
      </c>
      <c r="D550" s="3" t="str">
        <f>IFERROR(INDEX(Movimientos!$E$5:$E$2001,MATCH(A550&amp;"ENTRADA",Movimientos!$R$5:$R$2001,0)),"-")</f>
        <v>-</v>
      </c>
      <c r="E550" s="3" t="str">
        <f>IFERROR(INDEX(Movimientos!$F$5:$F$2001,MATCH(A550&amp;"ENTRADA",Movimientos!$R$5:$R$2001,0)),"-")</f>
        <v>-</v>
      </c>
      <c r="F550" s="3" t="str">
        <f>IFERROR(INDEX(Movimientos!$G$5:$G$2001,MATCH(A550&amp;"ENTRADA",Movimientos!$R$5:$R$2001,0)),"-")</f>
        <v>-</v>
      </c>
      <c r="G550" s="3" t="str">
        <f>IFERROR(INDEX(Movimientos!$L$5:$L$2001,MATCH(A550&amp;"ENTRADA",Movimientos!$R$5:$R$2001,0)),"-")</f>
        <v>-</v>
      </c>
      <c r="H550" s="19" t="str">
        <f>IFERROR(IF(INDEX(Movimientos!$M$5:$M$2001,MATCH(A550&amp;"ENTRADA",Movimientos!$R$5:$R$2001,0))=0,"S/D",INDEX(Movimientos!$M$5:$M$2001,MATCH(A550&amp;"ENTRADA",Movimientos!$R$5:$R$2001,0))),"S/D")</f>
        <v>S/D</v>
      </c>
      <c r="I550" s="16" t="str">
        <f t="shared" ca="1" si="18"/>
        <v>S/D</v>
      </c>
      <c r="J550" s="6">
        <f>IF(A550="","",SUMIFS(Movimientos!$K:$K,Movimientos!$H:$H,A550))</f>
        <v>0</v>
      </c>
      <c r="K550" s="14" t="str">
        <f t="shared" ca="1" si="19"/>
        <v>OK</v>
      </c>
    </row>
    <row r="551" spans="1:11">
      <c r="A551" s="18" t="s">
        <v>2624</v>
      </c>
      <c r="B551" s="3" t="str">
        <f>IFERROR(INDEX(Movimientos!$C$5:$C$2001,MATCH(A551&amp;"ENTRADA",Movimientos!$R$5:$R$2001,0)),"-")</f>
        <v>-</v>
      </c>
      <c r="C551" s="3" t="str">
        <f>IFERROR(INDEX(Movimientos!$D$5:$D$2001,MATCH(A551&amp;"ENTRADA",Movimientos!$R$5:$R$2001,0)),"-")</f>
        <v>-</v>
      </c>
      <c r="D551" s="3" t="str">
        <f>IFERROR(INDEX(Movimientos!$E$5:$E$2001,MATCH(A551&amp;"ENTRADA",Movimientos!$R$5:$R$2001,0)),"-")</f>
        <v>-</v>
      </c>
      <c r="E551" s="3" t="str">
        <f>IFERROR(INDEX(Movimientos!$F$5:$F$2001,MATCH(A551&amp;"ENTRADA",Movimientos!$R$5:$R$2001,0)),"-")</f>
        <v>-</v>
      </c>
      <c r="F551" s="3" t="str">
        <f>IFERROR(INDEX(Movimientos!$G$5:$G$2001,MATCH(A551&amp;"ENTRADA",Movimientos!$R$5:$R$2001,0)),"-")</f>
        <v>-</v>
      </c>
      <c r="G551" s="3" t="str">
        <f>IFERROR(INDEX(Movimientos!$L$5:$L$2001,MATCH(A551&amp;"ENTRADA",Movimientos!$R$5:$R$2001,0)),"-")</f>
        <v>-</v>
      </c>
      <c r="H551" s="19" t="str">
        <f>IFERROR(IF(INDEX(Movimientos!$M$5:$M$2001,MATCH(A551&amp;"ENTRADA",Movimientos!$R$5:$R$2001,0))=0,"S/D",INDEX(Movimientos!$M$5:$M$2001,MATCH(A551&amp;"ENTRADA",Movimientos!$R$5:$R$2001,0))),"S/D")</f>
        <v>S/D</v>
      </c>
      <c r="I551" s="16" t="str">
        <f t="shared" ca="1" si="18"/>
        <v>S/D</v>
      </c>
      <c r="J551" s="6">
        <f>IF(A551="","",SUMIFS(Movimientos!$K:$K,Movimientos!$H:$H,A551))</f>
        <v>0</v>
      </c>
      <c r="K551" s="14" t="str">
        <f t="shared" ca="1" si="19"/>
        <v>OK</v>
      </c>
    </row>
    <row r="552" spans="1:11">
      <c r="A552" s="18" t="s">
        <v>2625</v>
      </c>
      <c r="B552" s="3" t="str">
        <f>IFERROR(INDEX(Movimientos!$C$5:$C$2001,MATCH(A552&amp;"ENTRADA",Movimientos!$R$5:$R$2001,0)),"-")</f>
        <v>-</v>
      </c>
      <c r="C552" s="3" t="str">
        <f>IFERROR(INDEX(Movimientos!$D$5:$D$2001,MATCH(A552&amp;"ENTRADA",Movimientos!$R$5:$R$2001,0)),"-")</f>
        <v>-</v>
      </c>
      <c r="D552" s="3" t="str">
        <f>IFERROR(INDEX(Movimientos!$E$5:$E$2001,MATCH(A552&amp;"ENTRADA",Movimientos!$R$5:$R$2001,0)),"-")</f>
        <v>-</v>
      </c>
      <c r="E552" s="3" t="str">
        <f>IFERROR(INDEX(Movimientos!$F$5:$F$2001,MATCH(A552&amp;"ENTRADA",Movimientos!$R$5:$R$2001,0)),"-")</f>
        <v>-</v>
      </c>
      <c r="F552" s="3" t="str">
        <f>IFERROR(INDEX(Movimientos!$G$5:$G$2001,MATCH(A552&amp;"ENTRADA",Movimientos!$R$5:$R$2001,0)),"-")</f>
        <v>-</v>
      </c>
      <c r="G552" s="3" t="str">
        <f>IFERROR(INDEX(Movimientos!$L$5:$L$2001,MATCH(A552&amp;"ENTRADA",Movimientos!$R$5:$R$2001,0)),"-")</f>
        <v>-</v>
      </c>
      <c r="H552" s="19" t="str">
        <f>IFERROR(IF(INDEX(Movimientos!$M$5:$M$2001,MATCH(A552&amp;"ENTRADA",Movimientos!$R$5:$R$2001,0))=0,"S/D",INDEX(Movimientos!$M$5:$M$2001,MATCH(A552&amp;"ENTRADA",Movimientos!$R$5:$R$2001,0))),"S/D")</f>
        <v>S/D</v>
      </c>
      <c r="I552" s="16" t="str">
        <f t="shared" ca="1" si="18"/>
        <v>S/D</v>
      </c>
      <c r="J552" s="6">
        <f>IF(A552="","",SUMIFS(Movimientos!$K:$K,Movimientos!$H:$H,A552))</f>
        <v>0</v>
      </c>
      <c r="K552" s="14" t="str">
        <f t="shared" ca="1" si="19"/>
        <v>OK</v>
      </c>
    </row>
    <row r="553" spans="1:11">
      <c r="A553" s="18" t="s">
        <v>2626</v>
      </c>
      <c r="B553" s="3" t="str">
        <f>IFERROR(INDEX(Movimientos!$C$5:$C$2001,MATCH(A553&amp;"ENTRADA",Movimientos!$R$5:$R$2001,0)),"-")</f>
        <v>-</v>
      </c>
      <c r="C553" s="3" t="str">
        <f>IFERROR(INDEX(Movimientos!$D$5:$D$2001,MATCH(A553&amp;"ENTRADA",Movimientos!$R$5:$R$2001,0)),"-")</f>
        <v>-</v>
      </c>
      <c r="D553" s="3" t="str">
        <f>IFERROR(INDEX(Movimientos!$E$5:$E$2001,MATCH(A553&amp;"ENTRADA",Movimientos!$R$5:$R$2001,0)),"-")</f>
        <v>-</v>
      </c>
      <c r="E553" s="3" t="str">
        <f>IFERROR(INDEX(Movimientos!$F$5:$F$2001,MATCH(A553&amp;"ENTRADA",Movimientos!$R$5:$R$2001,0)),"-")</f>
        <v>-</v>
      </c>
      <c r="F553" s="3" t="str">
        <f>IFERROR(INDEX(Movimientos!$G$5:$G$2001,MATCH(A553&amp;"ENTRADA",Movimientos!$R$5:$R$2001,0)),"-")</f>
        <v>-</v>
      </c>
      <c r="G553" s="3" t="str">
        <f>IFERROR(INDEX(Movimientos!$L$5:$L$2001,MATCH(A553&amp;"ENTRADA",Movimientos!$R$5:$R$2001,0)),"-")</f>
        <v>-</v>
      </c>
      <c r="H553" s="19" t="str">
        <f>IFERROR(IF(INDEX(Movimientos!$M$5:$M$2001,MATCH(A553&amp;"ENTRADA",Movimientos!$R$5:$R$2001,0))=0,"S/D",INDEX(Movimientos!$M$5:$M$2001,MATCH(A553&amp;"ENTRADA",Movimientos!$R$5:$R$2001,0))),"S/D")</f>
        <v>S/D</v>
      </c>
      <c r="I553" s="16" t="str">
        <f t="shared" ca="1" si="18"/>
        <v>S/D</v>
      </c>
      <c r="J553" s="6">
        <f>IF(A553="","",SUMIFS(Movimientos!$K:$K,Movimientos!$H:$H,A553))</f>
        <v>0</v>
      </c>
      <c r="K553" s="14" t="str">
        <f t="shared" ca="1" si="19"/>
        <v>OK</v>
      </c>
    </row>
    <row r="554" spans="1:11">
      <c r="A554" s="18" t="s">
        <v>2627</v>
      </c>
      <c r="B554" s="3" t="str">
        <f>IFERROR(INDEX(Movimientos!$C$5:$C$2001,MATCH(A554&amp;"ENTRADA",Movimientos!$R$5:$R$2001,0)),"-")</f>
        <v>-</v>
      </c>
      <c r="C554" s="3" t="str">
        <f>IFERROR(INDEX(Movimientos!$D$5:$D$2001,MATCH(A554&amp;"ENTRADA",Movimientos!$R$5:$R$2001,0)),"-")</f>
        <v>-</v>
      </c>
      <c r="D554" s="3" t="str">
        <f>IFERROR(INDEX(Movimientos!$E$5:$E$2001,MATCH(A554&amp;"ENTRADA",Movimientos!$R$5:$R$2001,0)),"-")</f>
        <v>-</v>
      </c>
      <c r="E554" s="3" t="str">
        <f>IFERROR(INDEX(Movimientos!$F$5:$F$2001,MATCH(A554&amp;"ENTRADA",Movimientos!$R$5:$R$2001,0)),"-")</f>
        <v>-</v>
      </c>
      <c r="F554" s="3" t="str">
        <f>IFERROR(INDEX(Movimientos!$G$5:$G$2001,MATCH(A554&amp;"ENTRADA",Movimientos!$R$5:$R$2001,0)),"-")</f>
        <v>-</v>
      </c>
      <c r="G554" s="3" t="str">
        <f>IFERROR(INDEX(Movimientos!$L$5:$L$2001,MATCH(A554&amp;"ENTRADA",Movimientos!$R$5:$R$2001,0)),"-")</f>
        <v>-</v>
      </c>
      <c r="H554" s="19" t="str">
        <f>IFERROR(IF(INDEX(Movimientos!$M$5:$M$2001,MATCH(A554&amp;"ENTRADA",Movimientos!$R$5:$R$2001,0))=0,"S/D",INDEX(Movimientos!$M$5:$M$2001,MATCH(A554&amp;"ENTRADA",Movimientos!$R$5:$R$2001,0))),"S/D")</f>
        <v>S/D</v>
      </c>
      <c r="I554" s="16" t="str">
        <f t="shared" ca="1" si="18"/>
        <v>S/D</v>
      </c>
      <c r="J554" s="6">
        <f>IF(A554="","",SUMIFS(Movimientos!$K:$K,Movimientos!$H:$H,A554))</f>
        <v>0</v>
      </c>
      <c r="K554" s="14" t="str">
        <f t="shared" ca="1" si="19"/>
        <v>OK</v>
      </c>
    </row>
    <row r="555" spans="1:11">
      <c r="A555" s="18" t="s">
        <v>2628</v>
      </c>
      <c r="B555" s="3" t="str">
        <f>IFERROR(INDEX(Movimientos!$C$5:$C$2001,MATCH(A555&amp;"ENTRADA",Movimientos!$R$5:$R$2001,0)),"-")</f>
        <v>-</v>
      </c>
      <c r="C555" s="3" t="str">
        <f>IFERROR(INDEX(Movimientos!$D$5:$D$2001,MATCH(A555&amp;"ENTRADA",Movimientos!$R$5:$R$2001,0)),"-")</f>
        <v>-</v>
      </c>
      <c r="D555" s="3" t="str">
        <f>IFERROR(INDEX(Movimientos!$E$5:$E$2001,MATCH(A555&amp;"ENTRADA",Movimientos!$R$5:$R$2001,0)),"-")</f>
        <v>-</v>
      </c>
      <c r="E555" s="3" t="str">
        <f>IFERROR(INDEX(Movimientos!$F$5:$F$2001,MATCH(A555&amp;"ENTRADA",Movimientos!$R$5:$R$2001,0)),"-")</f>
        <v>-</v>
      </c>
      <c r="F555" s="3" t="str">
        <f>IFERROR(INDEX(Movimientos!$G$5:$G$2001,MATCH(A555&amp;"ENTRADA",Movimientos!$R$5:$R$2001,0)),"-")</f>
        <v>-</v>
      </c>
      <c r="G555" s="3" t="str">
        <f>IFERROR(INDEX(Movimientos!$L$5:$L$2001,MATCH(A555&amp;"ENTRADA",Movimientos!$R$5:$R$2001,0)),"-")</f>
        <v>-</v>
      </c>
      <c r="H555" s="19" t="str">
        <f>IFERROR(IF(INDEX(Movimientos!$M$5:$M$2001,MATCH(A555&amp;"ENTRADA",Movimientos!$R$5:$R$2001,0))=0,"S/D",INDEX(Movimientos!$M$5:$M$2001,MATCH(A555&amp;"ENTRADA",Movimientos!$R$5:$R$2001,0))),"S/D")</f>
        <v>S/D</v>
      </c>
      <c r="I555" s="16" t="str">
        <f t="shared" ca="1" si="18"/>
        <v>S/D</v>
      </c>
      <c r="J555" s="6">
        <f>IF(A555="","",SUMIFS(Movimientos!$K:$K,Movimientos!$H:$H,A555))</f>
        <v>0</v>
      </c>
      <c r="K555" s="14" t="str">
        <f t="shared" ca="1" si="19"/>
        <v>OK</v>
      </c>
    </row>
    <row r="556" spans="1:11">
      <c r="A556" s="18" t="s">
        <v>2629</v>
      </c>
      <c r="B556" s="3" t="str">
        <f>IFERROR(INDEX(Movimientos!$C$5:$C$2001,MATCH(A556&amp;"ENTRADA",Movimientos!$R$5:$R$2001,0)),"-")</f>
        <v>-</v>
      </c>
      <c r="C556" s="3" t="str">
        <f>IFERROR(INDEX(Movimientos!$D$5:$D$2001,MATCH(A556&amp;"ENTRADA",Movimientos!$R$5:$R$2001,0)),"-")</f>
        <v>-</v>
      </c>
      <c r="D556" s="3" t="str">
        <f>IFERROR(INDEX(Movimientos!$E$5:$E$2001,MATCH(A556&amp;"ENTRADA",Movimientos!$R$5:$R$2001,0)),"-")</f>
        <v>-</v>
      </c>
      <c r="E556" s="3" t="str">
        <f>IFERROR(INDEX(Movimientos!$F$5:$F$2001,MATCH(A556&amp;"ENTRADA",Movimientos!$R$5:$R$2001,0)),"-")</f>
        <v>-</v>
      </c>
      <c r="F556" s="3" t="str">
        <f>IFERROR(INDEX(Movimientos!$G$5:$G$2001,MATCH(A556&amp;"ENTRADA",Movimientos!$R$5:$R$2001,0)),"-")</f>
        <v>-</v>
      </c>
      <c r="G556" s="3" t="str">
        <f>IFERROR(INDEX(Movimientos!$L$5:$L$2001,MATCH(A556&amp;"ENTRADA",Movimientos!$R$5:$R$2001,0)),"-")</f>
        <v>-</v>
      </c>
      <c r="H556" s="19" t="str">
        <f>IFERROR(IF(INDEX(Movimientos!$M$5:$M$2001,MATCH(A556&amp;"ENTRADA",Movimientos!$R$5:$R$2001,0))=0,"S/D",INDEX(Movimientos!$M$5:$M$2001,MATCH(A556&amp;"ENTRADA",Movimientos!$R$5:$R$2001,0))),"S/D")</f>
        <v>S/D</v>
      </c>
      <c r="I556" s="16" t="str">
        <f t="shared" ca="1" si="18"/>
        <v>S/D</v>
      </c>
      <c r="J556" s="6">
        <f>IF(A556="","",SUMIFS(Movimientos!$K:$K,Movimientos!$H:$H,A556))</f>
        <v>0</v>
      </c>
      <c r="K556" s="14" t="str">
        <f t="shared" ca="1" si="19"/>
        <v>OK</v>
      </c>
    </row>
    <row r="557" spans="1:11">
      <c r="A557" s="18" t="s">
        <v>2630</v>
      </c>
      <c r="B557" s="3" t="str">
        <f>IFERROR(INDEX(Movimientos!$C$5:$C$2001,MATCH(A557&amp;"ENTRADA",Movimientos!$R$5:$R$2001,0)),"-")</f>
        <v>-</v>
      </c>
      <c r="C557" s="3" t="str">
        <f>IFERROR(INDEX(Movimientos!$D$5:$D$2001,MATCH(A557&amp;"ENTRADA",Movimientos!$R$5:$R$2001,0)),"-")</f>
        <v>-</v>
      </c>
      <c r="D557" s="3" t="str">
        <f>IFERROR(INDEX(Movimientos!$E$5:$E$2001,MATCH(A557&amp;"ENTRADA",Movimientos!$R$5:$R$2001,0)),"-")</f>
        <v>-</v>
      </c>
      <c r="E557" s="3" t="str">
        <f>IFERROR(INDEX(Movimientos!$F$5:$F$2001,MATCH(A557&amp;"ENTRADA",Movimientos!$R$5:$R$2001,0)),"-")</f>
        <v>-</v>
      </c>
      <c r="F557" s="3" t="str">
        <f>IFERROR(INDEX(Movimientos!$G$5:$G$2001,MATCH(A557&amp;"ENTRADA",Movimientos!$R$5:$R$2001,0)),"-")</f>
        <v>-</v>
      </c>
      <c r="G557" s="3" t="str">
        <f>IFERROR(INDEX(Movimientos!$L$5:$L$2001,MATCH(A557&amp;"ENTRADA",Movimientos!$R$5:$R$2001,0)),"-")</f>
        <v>-</v>
      </c>
      <c r="H557" s="19" t="str">
        <f>IFERROR(IF(INDEX(Movimientos!$M$5:$M$2001,MATCH(A557&amp;"ENTRADA",Movimientos!$R$5:$R$2001,0))=0,"S/D",INDEX(Movimientos!$M$5:$M$2001,MATCH(A557&amp;"ENTRADA",Movimientos!$R$5:$R$2001,0))),"S/D")</f>
        <v>S/D</v>
      </c>
      <c r="I557" s="16" t="str">
        <f t="shared" ca="1" si="18"/>
        <v>S/D</v>
      </c>
      <c r="J557" s="6">
        <f>IF(A557="","",SUMIFS(Movimientos!$K:$K,Movimientos!$H:$H,A557))</f>
        <v>0</v>
      </c>
      <c r="K557" s="14" t="str">
        <f t="shared" ca="1" si="19"/>
        <v>OK</v>
      </c>
    </row>
    <row r="558" spans="1:11">
      <c r="A558" s="18" t="s">
        <v>2631</v>
      </c>
      <c r="B558" s="3" t="str">
        <f>IFERROR(INDEX(Movimientos!$C$5:$C$2001,MATCH(A558&amp;"ENTRADA",Movimientos!$R$5:$R$2001,0)),"-")</f>
        <v>-</v>
      </c>
      <c r="C558" s="3" t="str">
        <f>IFERROR(INDEX(Movimientos!$D$5:$D$2001,MATCH(A558&amp;"ENTRADA",Movimientos!$R$5:$R$2001,0)),"-")</f>
        <v>-</v>
      </c>
      <c r="D558" s="3" t="str">
        <f>IFERROR(INDEX(Movimientos!$E$5:$E$2001,MATCH(A558&amp;"ENTRADA",Movimientos!$R$5:$R$2001,0)),"-")</f>
        <v>-</v>
      </c>
      <c r="E558" s="3" t="str">
        <f>IFERROR(INDEX(Movimientos!$F$5:$F$2001,MATCH(A558&amp;"ENTRADA",Movimientos!$R$5:$R$2001,0)),"-")</f>
        <v>-</v>
      </c>
      <c r="F558" s="3" t="str">
        <f>IFERROR(INDEX(Movimientos!$G$5:$G$2001,MATCH(A558&amp;"ENTRADA",Movimientos!$R$5:$R$2001,0)),"-")</f>
        <v>-</v>
      </c>
      <c r="G558" s="3" t="str">
        <f>IFERROR(INDEX(Movimientos!$L$5:$L$2001,MATCH(A558&amp;"ENTRADA",Movimientos!$R$5:$R$2001,0)),"-")</f>
        <v>-</v>
      </c>
      <c r="H558" s="19" t="str">
        <f>IFERROR(IF(INDEX(Movimientos!$M$5:$M$2001,MATCH(A558&amp;"ENTRADA",Movimientos!$R$5:$R$2001,0))=0,"S/D",INDEX(Movimientos!$M$5:$M$2001,MATCH(A558&amp;"ENTRADA",Movimientos!$R$5:$R$2001,0))),"S/D")</f>
        <v>S/D</v>
      </c>
      <c r="I558" s="16" t="str">
        <f t="shared" ca="1" si="18"/>
        <v>S/D</v>
      </c>
      <c r="J558" s="6">
        <f>IF(A558="","",SUMIFS(Movimientos!$K:$K,Movimientos!$H:$H,A558))</f>
        <v>0</v>
      </c>
      <c r="K558" s="14" t="str">
        <f t="shared" ca="1" si="19"/>
        <v>OK</v>
      </c>
    </row>
    <row r="559" spans="1:11">
      <c r="A559" s="18" t="s">
        <v>2632</v>
      </c>
      <c r="B559" s="3" t="str">
        <f>IFERROR(INDEX(Movimientos!$C$5:$C$2001,MATCH(A559&amp;"ENTRADA",Movimientos!$R$5:$R$2001,0)),"-")</f>
        <v>-</v>
      </c>
      <c r="C559" s="3" t="str">
        <f>IFERROR(INDEX(Movimientos!$D$5:$D$2001,MATCH(A559&amp;"ENTRADA",Movimientos!$R$5:$R$2001,0)),"-")</f>
        <v>-</v>
      </c>
      <c r="D559" s="3" t="str">
        <f>IFERROR(INDEX(Movimientos!$E$5:$E$2001,MATCH(A559&amp;"ENTRADA",Movimientos!$R$5:$R$2001,0)),"-")</f>
        <v>-</v>
      </c>
      <c r="E559" s="3" t="str">
        <f>IFERROR(INDEX(Movimientos!$F$5:$F$2001,MATCH(A559&amp;"ENTRADA",Movimientos!$R$5:$R$2001,0)),"-")</f>
        <v>-</v>
      </c>
      <c r="F559" s="3" t="str">
        <f>IFERROR(INDEX(Movimientos!$G$5:$G$2001,MATCH(A559&amp;"ENTRADA",Movimientos!$R$5:$R$2001,0)),"-")</f>
        <v>-</v>
      </c>
      <c r="G559" s="3" t="str">
        <f>IFERROR(INDEX(Movimientos!$L$5:$L$2001,MATCH(A559&amp;"ENTRADA",Movimientos!$R$5:$R$2001,0)),"-")</f>
        <v>-</v>
      </c>
      <c r="H559" s="19" t="str">
        <f>IFERROR(IF(INDEX(Movimientos!$M$5:$M$2001,MATCH(A559&amp;"ENTRADA",Movimientos!$R$5:$R$2001,0))=0,"S/D",INDEX(Movimientos!$M$5:$M$2001,MATCH(A559&amp;"ENTRADA",Movimientos!$R$5:$R$2001,0))),"S/D")</f>
        <v>S/D</v>
      </c>
      <c r="I559" s="16" t="str">
        <f t="shared" ca="1" si="18"/>
        <v>S/D</v>
      </c>
      <c r="J559" s="6">
        <f>IF(A559="","",SUMIFS(Movimientos!$K:$K,Movimientos!$H:$H,A559))</f>
        <v>0</v>
      </c>
      <c r="K559" s="14" t="str">
        <f t="shared" ca="1" si="19"/>
        <v>OK</v>
      </c>
    </row>
    <row r="560" spans="1:11">
      <c r="A560" s="18" t="s">
        <v>2633</v>
      </c>
      <c r="B560" s="3" t="str">
        <f>IFERROR(INDEX(Movimientos!$C$5:$C$2001,MATCH(A560&amp;"ENTRADA",Movimientos!$R$5:$R$2001,0)),"-")</f>
        <v>-</v>
      </c>
      <c r="C560" s="3" t="str">
        <f>IFERROR(INDEX(Movimientos!$D$5:$D$2001,MATCH(A560&amp;"ENTRADA",Movimientos!$R$5:$R$2001,0)),"-")</f>
        <v>-</v>
      </c>
      <c r="D560" s="3" t="str">
        <f>IFERROR(INDEX(Movimientos!$E$5:$E$2001,MATCH(A560&amp;"ENTRADA",Movimientos!$R$5:$R$2001,0)),"-")</f>
        <v>-</v>
      </c>
      <c r="E560" s="3" t="str">
        <f>IFERROR(INDEX(Movimientos!$F$5:$F$2001,MATCH(A560&amp;"ENTRADA",Movimientos!$R$5:$R$2001,0)),"-")</f>
        <v>-</v>
      </c>
      <c r="F560" s="3" t="str">
        <f>IFERROR(INDEX(Movimientos!$G$5:$G$2001,MATCH(A560&amp;"ENTRADA",Movimientos!$R$5:$R$2001,0)),"-")</f>
        <v>-</v>
      </c>
      <c r="G560" s="3" t="str">
        <f>IFERROR(INDEX(Movimientos!$L$5:$L$2001,MATCH(A560&amp;"ENTRADA",Movimientos!$R$5:$R$2001,0)),"-")</f>
        <v>-</v>
      </c>
      <c r="H560" s="19" t="str">
        <f>IFERROR(IF(INDEX(Movimientos!$M$5:$M$2001,MATCH(A560&amp;"ENTRADA",Movimientos!$R$5:$R$2001,0))=0,"S/D",INDEX(Movimientos!$M$5:$M$2001,MATCH(A560&amp;"ENTRADA",Movimientos!$R$5:$R$2001,0))),"S/D")</f>
        <v>S/D</v>
      </c>
      <c r="I560" s="16" t="str">
        <f t="shared" ca="1" si="18"/>
        <v>S/D</v>
      </c>
      <c r="J560" s="6">
        <f>IF(A560="","",SUMIFS(Movimientos!$K:$K,Movimientos!$H:$H,A560))</f>
        <v>0</v>
      </c>
      <c r="K560" s="14" t="str">
        <f t="shared" ca="1" si="19"/>
        <v>OK</v>
      </c>
    </row>
    <row r="561" spans="1:11">
      <c r="A561" s="18" t="s">
        <v>2634</v>
      </c>
      <c r="B561" s="3" t="str">
        <f>IFERROR(INDEX(Movimientos!$C$5:$C$2001,MATCH(A561&amp;"ENTRADA",Movimientos!$R$5:$R$2001,0)),"-")</f>
        <v>-</v>
      </c>
      <c r="C561" s="3" t="str">
        <f>IFERROR(INDEX(Movimientos!$D$5:$D$2001,MATCH(A561&amp;"ENTRADA",Movimientos!$R$5:$R$2001,0)),"-")</f>
        <v>-</v>
      </c>
      <c r="D561" s="3" t="str">
        <f>IFERROR(INDEX(Movimientos!$E$5:$E$2001,MATCH(A561&amp;"ENTRADA",Movimientos!$R$5:$R$2001,0)),"-")</f>
        <v>-</v>
      </c>
      <c r="E561" s="3" t="str">
        <f>IFERROR(INDEX(Movimientos!$F$5:$F$2001,MATCH(A561&amp;"ENTRADA",Movimientos!$R$5:$R$2001,0)),"-")</f>
        <v>-</v>
      </c>
      <c r="F561" s="3" t="str">
        <f>IFERROR(INDEX(Movimientos!$G$5:$G$2001,MATCH(A561&amp;"ENTRADA",Movimientos!$R$5:$R$2001,0)),"-")</f>
        <v>-</v>
      </c>
      <c r="G561" s="3" t="str">
        <f>IFERROR(INDEX(Movimientos!$L$5:$L$2001,MATCH(A561&amp;"ENTRADA",Movimientos!$R$5:$R$2001,0)),"-")</f>
        <v>-</v>
      </c>
      <c r="H561" s="19" t="str">
        <f>IFERROR(IF(INDEX(Movimientos!$M$5:$M$2001,MATCH(A561&amp;"ENTRADA",Movimientos!$R$5:$R$2001,0))=0,"S/D",INDEX(Movimientos!$M$5:$M$2001,MATCH(A561&amp;"ENTRADA",Movimientos!$R$5:$R$2001,0))),"S/D")</f>
        <v>S/D</v>
      </c>
      <c r="I561" s="16" t="str">
        <f t="shared" ca="1" si="18"/>
        <v>S/D</v>
      </c>
      <c r="J561" s="6">
        <f>IF(A561="","",SUMIFS(Movimientos!$K:$K,Movimientos!$H:$H,A561))</f>
        <v>0</v>
      </c>
      <c r="K561" s="14" t="str">
        <f t="shared" ca="1" si="19"/>
        <v>OK</v>
      </c>
    </row>
    <row r="562" spans="1:11">
      <c r="A562" s="18" t="s">
        <v>2635</v>
      </c>
      <c r="B562" s="3" t="str">
        <f>IFERROR(INDEX(Movimientos!$C$5:$C$2001,MATCH(A562&amp;"ENTRADA",Movimientos!$R$5:$R$2001,0)),"-")</f>
        <v>-</v>
      </c>
      <c r="C562" s="3" t="str">
        <f>IFERROR(INDEX(Movimientos!$D$5:$D$2001,MATCH(A562&amp;"ENTRADA",Movimientos!$R$5:$R$2001,0)),"-")</f>
        <v>-</v>
      </c>
      <c r="D562" s="3" t="str">
        <f>IFERROR(INDEX(Movimientos!$E$5:$E$2001,MATCH(A562&amp;"ENTRADA",Movimientos!$R$5:$R$2001,0)),"-")</f>
        <v>-</v>
      </c>
      <c r="E562" s="3" t="str">
        <f>IFERROR(INDEX(Movimientos!$F$5:$F$2001,MATCH(A562&amp;"ENTRADA",Movimientos!$R$5:$R$2001,0)),"-")</f>
        <v>-</v>
      </c>
      <c r="F562" s="3" t="str">
        <f>IFERROR(INDEX(Movimientos!$G$5:$G$2001,MATCH(A562&amp;"ENTRADA",Movimientos!$R$5:$R$2001,0)),"-")</f>
        <v>-</v>
      </c>
      <c r="G562" s="3" t="str">
        <f>IFERROR(INDEX(Movimientos!$L$5:$L$2001,MATCH(A562&amp;"ENTRADA",Movimientos!$R$5:$R$2001,0)),"-")</f>
        <v>-</v>
      </c>
      <c r="H562" s="19" t="str">
        <f>IFERROR(IF(INDEX(Movimientos!$M$5:$M$2001,MATCH(A562&amp;"ENTRADA",Movimientos!$R$5:$R$2001,0))=0,"S/D",INDEX(Movimientos!$M$5:$M$2001,MATCH(A562&amp;"ENTRADA",Movimientos!$R$5:$R$2001,0))),"S/D")</f>
        <v>S/D</v>
      </c>
      <c r="I562" s="16" t="str">
        <f t="shared" ca="1" si="18"/>
        <v>S/D</v>
      </c>
      <c r="J562" s="6">
        <f>IF(A562="","",SUMIFS(Movimientos!$K:$K,Movimientos!$H:$H,A562))</f>
        <v>0</v>
      </c>
      <c r="K562" s="14" t="str">
        <f t="shared" ca="1" si="19"/>
        <v>OK</v>
      </c>
    </row>
    <row r="563" spans="1:11">
      <c r="A563" s="18" t="s">
        <v>2636</v>
      </c>
      <c r="B563" s="3" t="str">
        <f>IFERROR(INDEX(Movimientos!$C$5:$C$2001,MATCH(A563&amp;"ENTRADA",Movimientos!$R$5:$R$2001,0)),"-")</f>
        <v>-</v>
      </c>
      <c r="C563" s="3" t="str">
        <f>IFERROR(INDEX(Movimientos!$D$5:$D$2001,MATCH(A563&amp;"ENTRADA",Movimientos!$R$5:$R$2001,0)),"-")</f>
        <v>-</v>
      </c>
      <c r="D563" s="3" t="str">
        <f>IFERROR(INDEX(Movimientos!$E$5:$E$2001,MATCH(A563&amp;"ENTRADA",Movimientos!$R$5:$R$2001,0)),"-")</f>
        <v>-</v>
      </c>
      <c r="E563" s="3" t="str">
        <f>IFERROR(INDEX(Movimientos!$F$5:$F$2001,MATCH(A563&amp;"ENTRADA",Movimientos!$R$5:$R$2001,0)),"-")</f>
        <v>-</v>
      </c>
      <c r="F563" s="3" t="str">
        <f>IFERROR(INDEX(Movimientos!$G$5:$G$2001,MATCH(A563&amp;"ENTRADA",Movimientos!$R$5:$R$2001,0)),"-")</f>
        <v>-</v>
      </c>
      <c r="G563" s="3" t="str">
        <f>IFERROR(INDEX(Movimientos!$L$5:$L$2001,MATCH(A563&amp;"ENTRADA",Movimientos!$R$5:$R$2001,0)),"-")</f>
        <v>-</v>
      </c>
      <c r="H563" s="19" t="str">
        <f>IFERROR(IF(INDEX(Movimientos!$M$5:$M$2001,MATCH(A563&amp;"ENTRADA",Movimientos!$R$5:$R$2001,0))=0,"S/D",INDEX(Movimientos!$M$5:$M$2001,MATCH(A563&amp;"ENTRADA",Movimientos!$R$5:$R$2001,0))),"S/D")</f>
        <v>S/D</v>
      </c>
      <c r="I563" s="16" t="str">
        <f t="shared" ca="1" si="18"/>
        <v>S/D</v>
      </c>
      <c r="J563" s="6">
        <f>IF(A563="","",SUMIFS(Movimientos!$K:$K,Movimientos!$H:$H,A563))</f>
        <v>0</v>
      </c>
      <c r="K563" s="14" t="str">
        <f t="shared" ca="1" si="19"/>
        <v>OK</v>
      </c>
    </row>
    <row r="564" spans="1:11">
      <c r="A564" s="18" t="s">
        <v>2637</v>
      </c>
      <c r="B564" s="3" t="str">
        <f>IFERROR(INDEX(Movimientos!$C$5:$C$2001,MATCH(A564&amp;"ENTRADA",Movimientos!$R$5:$R$2001,0)),"-")</f>
        <v>-</v>
      </c>
      <c r="C564" s="3" t="str">
        <f>IFERROR(INDEX(Movimientos!$D$5:$D$2001,MATCH(A564&amp;"ENTRADA",Movimientos!$R$5:$R$2001,0)),"-")</f>
        <v>-</v>
      </c>
      <c r="D564" s="3" t="str">
        <f>IFERROR(INDEX(Movimientos!$E$5:$E$2001,MATCH(A564&amp;"ENTRADA",Movimientos!$R$5:$R$2001,0)),"-")</f>
        <v>-</v>
      </c>
      <c r="E564" s="3" t="str">
        <f>IFERROR(INDEX(Movimientos!$F$5:$F$2001,MATCH(A564&amp;"ENTRADA",Movimientos!$R$5:$R$2001,0)),"-")</f>
        <v>-</v>
      </c>
      <c r="F564" s="3" t="str">
        <f>IFERROR(INDEX(Movimientos!$G$5:$G$2001,MATCH(A564&amp;"ENTRADA",Movimientos!$R$5:$R$2001,0)),"-")</f>
        <v>-</v>
      </c>
      <c r="G564" s="3" t="str">
        <f>IFERROR(INDEX(Movimientos!$L$5:$L$2001,MATCH(A564&amp;"ENTRADA",Movimientos!$R$5:$R$2001,0)),"-")</f>
        <v>-</v>
      </c>
      <c r="H564" s="19" t="str">
        <f>IFERROR(IF(INDEX(Movimientos!$M$5:$M$2001,MATCH(A564&amp;"ENTRADA",Movimientos!$R$5:$R$2001,0))=0,"S/D",INDEX(Movimientos!$M$5:$M$2001,MATCH(A564&amp;"ENTRADA",Movimientos!$R$5:$R$2001,0))),"S/D")</f>
        <v>S/D</v>
      </c>
      <c r="I564" s="16" t="str">
        <f t="shared" ca="1" si="18"/>
        <v>S/D</v>
      </c>
      <c r="J564" s="6">
        <f>IF(A564="","",SUMIFS(Movimientos!$K:$K,Movimientos!$H:$H,A564))</f>
        <v>0</v>
      </c>
      <c r="K564" s="14" t="str">
        <f t="shared" ca="1" si="19"/>
        <v>OK</v>
      </c>
    </row>
    <row r="565" spans="1:11">
      <c r="A565" s="18" t="s">
        <v>2638</v>
      </c>
      <c r="B565" s="3" t="str">
        <f>IFERROR(INDEX(Movimientos!$C$5:$C$2001,MATCH(A565&amp;"ENTRADA",Movimientos!$R$5:$R$2001,0)),"-")</f>
        <v>-</v>
      </c>
      <c r="C565" s="3" t="str">
        <f>IFERROR(INDEX(Movimientos!$D$5:$D$2001,MATCH(A565&amp;"ENTRADA",Movimientos!$R$5:$R$2001,0)),"-")</f>
        <v>-</v>
      </c>
      <c r="D565" s="3" t="str">
        <f>IFERROR(INDEX(Movimientos!$E$5:$E$2001,MATCH(A565&amp;"ENTRADA",Movimientos!$R$5:$R$2001,0)),"-")</f>
        <v>-</v>
      </c>
      <c r="E565" s="3" t="str">
        <f>IFERROR(INDEX(Movimientos!$F$5:$F$2001,MATCH(A565&amp;"ENTRADA",Movimientos!$R$5:$R$2001,0)),"-")</f>
        <v>-</v>
      </c>
      <c r="F565" s="3" t="str">
        <f>IFERROR(INDEX(Movimientos!$G$5:$G$2001,MATCH(A565&amp;"ENTRADA",Movimientos!$R$5:$R$2001,0)),"-")</f>
        <v>-</v>
      </c>
      <c r="G565" s="3" t="str">
        <f>IFERROR(INDEX(Movimientos!$L$5:$L$2001,MATCH(A565&amp;"ENTRADA",Movimientos!$R$5:$R$2001,0)),"-")</f>
        <v>-</v>
      </c>
      <c r="H565" s="19" t="str">
        <f>IFERROR(IF(INDEX(Movimientos!$M$5:$M$2001,MATCH(A565&amp;"ENTRADA",Movimientos!$R$5:$R$2001,0))=0,"S/D",INDEX(Movimientos!$M$5:$M$2001,MATCH(A565&amp;"ENTRADA",Movimientos!$R$5:$R$2001,0))),"S/D")</f>
        <v>S/D</v>
      </c>
      <c r="I565" s="16" t="str">
        <f t="shared" ca="1" si="18"/>
        <v>S/D</v>
      </c>
      <c r="J565" s="6">
        <f>IF(A565="","",SUMIFS(Movimientos!$K:$K,Movimientos!$H:$H,A565))</f>
        <v>0</v>
      </c>
      <c r="K565" s="14" t="str">
        <f t="shared" ca="1" si="19"/>
        <v>OK</v>
      </c>
    </row>
    <row r="566" spans="1:11">
      <c r="A566" s="18" t="s">
        <v>2639</v>
      </c>
      <c r="B566" s="3" t="str">
        <f>IFERROR(INDEX(Movimientos!$C$5:$C$2001,MATCH(A566&amp;"ENTRADA",Movimientos!$R$5:$R$2001,0)),"-")</f>
        <v>-</v>
      </c>
      <c r="C566" s="3" t="str">
        <f>IFERROR(INDEX(Movimientos!$D$5:$D$2001,MATCH(A566&amp;"ENTRADA",Movimientos!$R$5:$R$2001,0)),"-")</f>
        <v>-</v>
      </c>
      <c r="D566" s="3" t="str">
        <f>IFERROR(INDEX(Movimientos!$E$5:$E$2001,MATCH(A566&amp;"ENTRADA",Movimientos!$R$5:$R$2001,0)),"-")</f>
        <v>-</v>
      </c>
      <c r="E566" s="3" t="str">
        <f>IFERROR(INDEX(Movimientos!$F$5:$F$2001,MATCH(A566&amp;"ENTRADA",Movimientos!$R$5:$R$2001,0)),"-")</f>
        <v>-</v>
      </c>
      <c r="F566" s="3" t="str">
        <f>IFERROR(INDEX(Movimientos!$G$5:$G$2001,MATCH(A566&amp;"ENTRADA",Movimientos!$R$5:$R$2001,0)),"-")</f>
        <v>-</v>
      </c>
      <c r="G566" s="3" t="str">
        <f>IFERROR(INDEX(Movimientos!$L$5:$L$2001,MATCH(A566&amp;"ENTRADA",Movimientos!$R$5:$R$2001,0)),"-")</f>
        <v>-</v>
      </c>
      <c r="H566" s="19" t="str">
        <f>IFERROR(IF(INDEX(Movimientos!$M$5:$M$2001,MATCH(A566&amp;"ENTRADA",Movimientos!$R$5:$R$2001,0))=0,"S/D",INDEX(Movimientos!$M$5:$M$2001,MATCH(A566&amp;"ENTRADA",Movimientos!$R$5:$R$2001,0))),"S/D")</f>
        <v>S/D</v>
      </c>
      <c r="I566" s="16" t="str">
        <f t="shared" ca="1" si="18"/>
        <v>S/D</v>
      </c>
      <c r="J566" s="6">
        <f>IF(A566="","",SUMIFS(Movimientos!$K:$K,Movimientos!$H:$H,A566))</f>
        <v>0</v>
      </c>
      <c r="K566" s="14" t="str">
        <f t="shared" ca="1" si="19"/>
        <v>OK</v>
      </c>
    </row>
    <row r="567" spans="1:11">
      <c r="A567" s="18" t="s">
        <v>2640</v>
      </c>
      <c r="B567" s="3" t="str">
        <f>IFERROR(INDEX(Movimientos!$C$5:$C$2001,MATCH(A567&amp;"ENTRADA",Movimientos!$R$5:$R$2001,0)),"-")</f>
        <v>-</v>
      </c>
      <c r="C567" s="3" t="str">
        <f>IFERROR(INDEX(Movimientos!$D$5:$D$2001,MATCH(A567&amp;"ENTRADA",Movimientos!$R$5:$R$2001,0)),"-")</f>
        <v>-</v>
      </c>
      <c r="D567" s="3" t="str">
        <f>IFERROR(INDEX(Movimientos!$E$5:$E$2001,MATCH(A567&amp;"ENTRADA",Movimientos!$R$5:$R$2001,0)),"-")</f>
        <v>-</v>
      </c>
      <c r="E567" s="3" t="str">
        <f>IFERROR(INDEX(Movimientos!$F$5:$F$2001,MATCH(A567&amp;"ENTRADA",Movimientos!$R$5:$R$2001,0)),"-")</f>
        <v>-</v>
      </c>
      <c r="F567" s="3" t="str">
        <f>IFERROR(INDEX(Movimientos!$G$5:$G$2001,MATCH(A567&amp;"ENTRADA",Movimientos!$R$5:$R$2001,0)),"-")</f>
        <v>-</v>
      </c>
      <c r="G567" s="3" t="str">
        <f>IFERROR(INDEX(Movimientos!$L$5:$L$2001,MATCH(A567&amp;"ENTRADA",Movimientos!$R$5:$R$2001,0)),"-")</f>
        <v>-</v>
      </c>
      <c r="H567" s="19" t="str">
        <f>IFERROR(IF(INDEX(Movimientos!$M$5:$M$2001,MATCH(A567&amp;"ENTRADA",Movimientos!$R$5:$R$2001,0))=0,"S/D",INDEX(Movimientos!$M$5:$M$2001,MATCH(A567&amp;"ENTRADA",Movimientos!$R$5:$R$2001,0))),"S/D")</f>
        <v>S/D</v>
      </c>
      <c r="I567" s="16" t="str">
        <f t="shared" ca="1" si="18"/>
        <v>S/D</v>
      </c>
      <c r="J567" s="6">
        <f>IF(A567="","",SUMIFS(Movimientos!$K:$K,Movimientos!$H:$H,A567))</f>
        <v>0</v>
      </c>
      <c r="K567" s="14" t="str">
        <f t="shared" ca="1" si="19"/>
        <v>OK</v>
      </c>
    </row>
    <row r="568" spans="1:11">
      <c r="A568" s="18" t="s">
        <v>2641</v>
      </c>
      <c r="B568" s="3" t="str">
        <f>IFERROR(INDEX(Movimientos!$C$5:$C$2001,MATCH(A568&amp;"ENTRADA",Movimientos!$R$5:$R$2001,0)),"-")</f>
        <v>-</v>
      </c>
      <c r="C568" s="3" t="str">
        <f>IFERROR(INDEX(Movimientos!$D$5:$D$2001,MATCH(A568&amp;"ENTRADA",Movimientos!$R$5:$R$2001,0)),"-")</f>
        <v>-</v>
      </c>
      <c r="D568" s="3" t="str">
        <f>IFERROR(INDEX(Movimientos!$E$5:$E$2001,MATCH(A568&amp;"ENTRADA",Movimientos!$R$5:$R$2001,0)),"-")</f>
        <v>-</v>
      </c>
      <c r="E568" s="3" t="str">
        <f>IFERROR(INDEX(Movimientos!$F$5:$F$2001,MATCH(A568&amp;"ENTRADA",Movimientos!$R$5:$R$2001,0)),"-")</f>
        <v>-</v>
      </c>
      <c r="F568" s="3" t="str">
        <f>IFERROR(INDEX(Movimientos!$G$5:$G$2001,MATCH(A568&amp;"ENTRADA",Movimientos!$R$5:$R$2001,0)),"-")</f>
        <v>-</v>
      </c>
      <c r="G568" s="3" t="str">
        <f>IFERROR(INDEX(Movimientos!$L$5:$L$2001,MATCH(A568&amp;"ENTRADA",Movimientos!$R$5:$R$2001,0)),"-")</f>
        <v>-</v>
      </c>
      <c r="H568" s="19" t="str">
        <f>IFERROR(IF(INDEX(Movimientos!$M$5:$M$2001,MATCH(A568&amp;"ENTRADA",Movimientos!$R$5:$R$2001,0))=0,"S/D",INDEX(Movimientos!$M$5:$M$2001,MATCH(A568&amp;"ENTRADA",Movimientos!$R$5:$R$2001,0))),"S/D")</f>
        <v>S/D</v>
      </c>
      <c r="I568" s="16" t="str">
        <f t="shared" ca="1" si="18"/>
        <v>S/D</v>
      </c>
      <c r="J568" s="6">
        <f>IF(A568="","",SUMIFS(Movimientos!$K:$K,Movimientos!$H:$H,A568))</f>
        <v>0</v>
      </c>
      <c r="K568" s="14" t="str">
        <f t="shared" ca="1" si="19"/>
        <v>OK</v>
      </c>
    </row>
    <row r="569" spans="1:11">
      <c r="A569" s="18" t="s">
        <v>2642</v>
      </c>
      <c r="B569" s="3" t="str">
        <f>IFERROR(INDEX(Movimientos!$C$5:$C$2001,MATCH(A569&amp;"ENTRADA",Movimientos!$R$5:$R$2001,0)),"-")</f>
        <v>-</v>
      </c>
      <c r="C569" s="3" t="str">
        <f>IFERROR(INDEX(Movimientos!$D$5:$D$2001,MATCH(A569&amp;"ENTRADA",Movimientos!$R$5:$R$2001,0)),"-")</f>
        <v>-</v>
      </c>
      <c r="D569" s="3" t="str">
        <f>IFERROR(INDEX(Movimientos!$E$5:$E$2001,MATCH(A569&amp;"ENTRADA",Movimientos!$R$5:$R$2001,0)),"-")</f>
        <v>-</v>
      </c>
      <c r="E569" s="3" t="str">
        <f>IFERROR(INDEX(Movimientos!$F$5:$F$2001,MATCH(A569&amp;"ENTRADA",Movimientos!$R$5:$R$2001,0)),"-")</f>
        <v>-</v>
      </c>
      <c r="F569" s="3" t="str">
        <f>IFERROR(INDEX(Movimientos!$G$5:$G$2001,MATCH(A569&amp;"ENTRADA",Movimientos!$R$5:$R$2001,0)),"-")</f>
        <v>-</v>
      </c>
      <c r="G569" s="3" t="str">
        <f>IFERROR(INDEX(Movimientos!$L$5:$L$2001,MATCH(A569&amp;"ENTRADA",Movimientos!$R$5:$R$2001,0)),"-")</f>
        <v>-</v>
      </c>
      <c r="H569" s="19" t="str">
        <f>IFERROR(IF(INDEX(Movimientos!$M$5:$M$2001,MATCH(A569&amp;"ENTRADA",Movimientos!$R$5:$R$2001,0))=0,"S/D",INDEX(Movimientos!$M$5:$M$2001,MATCH(A569&amp;"ENTRADA",Movimientos!$R$5:$R$2001,0))),"S/D")</f>
        <v>S/D</v>
      </c>
      <c r="I569" s="16" t="str">
        <f t="shared" ca="1" si="18"/>
        <v>S/D</v>
      </c>
      <c r="J569" s="6">
        <f>IF(A569="","",SUMIFS(Movimientos!$K:$K,Movimientos!$H:$H,A569))</f>
        <v>0</v>
      </c>
      <c r="K569" s="14" t="str">
        <f t="shared" ca="1" si="19"/>
        <v>OK</v>
      </c>
    </row>
    <row r="570" spans="1:11">
      <c r="A570" s="18" t="s">
        <v>2643</v>
      </c>
      <c r="B570" s="3" t="str">
        <f>IFERROR(INDEX(Movimientos!$C$5:$C$2001,MATCH(A570&amp;"ENTRADA",Movimientos!$R$5:$R$2001,0)),"-")</f>
        <v>-</v>
      </c>
      <c r="C570" s="3" t="str">
        <f>IFERROR(INDEX(Movimientos!$D$5:$D$2001,MATCH(A570&amp;"ENTRADA",Movimientos!$R$5:$R$2001,0)),"-")</f>
        <v>-</v>
      </c>
      <c r="D570" s="3" t="str">
        <f>IFERROR(INDEX(Movimientos!$E$5:$E$2001,MATCH(A570&amp;"ENTRADA",Movimientos!$R$5:$R$2001,0)),"-")</f>
        <v>-</v>
      </c>
      <c r="E570" s="3" t="str">
        <f>IFERROR(INDEX(Movimientos!$F$5:$F$2001,MATCH(A570&amp;"ENTRADA",Movimientos!$R$5:$R$2001,0)),"-")</f>
        <v>-</v>
      </c>
      <c r="F570" s="3" t="str">
        <f>IFERROR(INDEX(Movimientos!$G$5:$G$2001,MATCH(A570&amp;"ENTRADA",Movimientos!$R$5:$R$2001,0)),"-")</f>
        <v>-</v>
      </c>
      <c r="G570" s="3" t="str">
        <f>IFERROR(INDEX(Movimientos!$L$5:$L$2001,MATCH(A570&amp;"ENTRADA",Movimientos!$R$5:$R$2001,0)),"-")</f>
        <v>-</v>
      </c>
      <c r="H570" s="19" t="str">
        <f>IFERROR(IF(INDEX(Movimientos!$M$5:$M$2001,MATCH(A570&amp;"ENTRADA",Movimientos!$R$5:$R$2001,0))=0,"S/D",INDEX(Movimientos!$M$5:$M$2001,MATCH(A570&amp;"ENTRADA",Movimientos!$R$5:$R$2001,0))),"S/D")</f>
        <v>S/D</v>
      </c>
      <c r="I570" s="16" t="str">
        <f t="shared" ca="1" si="18"/>
        <v>S/D</v>
      </c>
      <c r="J570" s="6">
        <f>IF(A570="","",SUMIFS(Movimientos!$K:$K,Movimientos!$H:$H,A570))</f>
        <v>0</v>
      </c>
      <c r="K570" s="14" t="str">
        <f t="shared" ca="1" si="19"/>
        <v>OK</v>
      </c>
    </row>
    <row r="571" spans="1:11">
      <c r="A571" s="18" t="s">
        <v>2644</v>
      </c>
      <c r="B571" s="3" t="str">
        <f>IFERROR(INDEX(Movimientos!$C$5:$C$2001,MATCH(A571&amp;"ENTRADA",Movimientos!$R$5:$R$2001,0)),"-")</f>
        <v>-</v>
      </c>
      <c r="C571" s="3" t="str">
        <f>IFERROR(INDEX(Movimientos!$D$5:$D$2001,MATCH(A571&amp;"ENTRADA",Movimientos!$R$5:$R$2001,0)),"-")</f>
        <v>-</v>
      </c>
      <c r="D571" s="3" t="str">
        <f>IFERROR(INDEX(Movimientos!$E$5:$E$2001,MATCH(A571&amp;"ENTRADA",Movimientos!$R$5:$R$2001,0)),"-")</f>
        <v>-</v>
      </c>
      <c r="E571" s="3" t="str">
        <f>IFERROR(INDEX(Movimientos!$F$5:$F$2001,MATCH(A571&amp;"ENTRADA",Movimientos!$R$5:$R$2001,0)),"-")</f>
        <v>-</v>
      </c>
      <c r="F571" s="3" t="str">
        <f>IFERROR(INDEX(Movimientos!$G$5:$G$2001,MATCH(A571&amp;"ENTRADA",Movimientos!$R$5:$R$2001,0)),"-")</f>
        <v>-</v>
      </c>
      <c r="G571" s="3" t="str">
        <f>IFERROR(INDEX(Movimientos!$L$5:$L$2001,MATCH(A571&amp;"ENTRADA",Movimientos!$R$5:$R$2001,0)),"-")</f>
        <v>-</v>
      </c>
      <c r="H571" s="19" t="str">
        <f>IFERROR(IF(INDEX(Movimientos!$M$5:$M$2001,MATCH(A571&amp;"ENTRADA",Movimientos!$R$5:$R$2001,0))=0,"S/D",INDEX(Movimientos!$M$5:$M$2001,MATCH(A571&amp;"ENTRADA",Movimientos!$R$5:$R$2001,0))),"S/D")</f>
        <v>S/D</v>
      </c>
      <c r="I571" s="16" t="str">
        <f t="shared" ca="1" si="18"/>
        <v>S/D</v>
      </c>
      <c r="J571" s="6">
        <f>IF(A571="","",SUMIFS(Movimientos!$K:$K,Movimientos!$H:$H,A571))</f>
        <v>0</v>
      </c>
      <c r="K571" s="14" t="str">
        <f t="shared" ca="1" si="19"/>
        <v>OK</v>
      </c>
    </row>
    <row r="572" spans="1:11">
      <c r="A572" s="18" t="s">
        <v>2645</v>
      </c>
      <c r="B572" s="3" t="str">
        <f>IFERROR(INDEX(Movimientos!$C$5:$C$2001,MATCH(A572&amp;"ENTRADA",Movimientos!$R$5:$R$2001,0)),"-")</f>
        <v>-</v>
      </c>
      <c r="C572" s="3" t="str">
        <f>IFERROR(INDEX(Movimientos!$D$5:$D$2001,MATCH(A572&amp;"ENTRADA",Movimientos!$R$5:$R$2001,0)),"-")</f>
        <v>-</v>
      </c>
      <c r="D572" s="3" t="str">
        <f>IFERROR(INDEX(Movimientos!$E$5:$E$2001,MATCH(A572&amp;"ENTRADA",Movimientos!$R$5:$R$2001,0)),"-")</f>
        <v>-</v>
      </c>
      <c r="E572" s="3" t="str">
        <f>IFERROR(INDEX(Movimientos!$F$5:$F$2001,MATCH(A572&amp;"ENTRADA",Movimientos!$R$5:$R$2001,0)),"-")</f>
        <v>-</v>
      </c>
      <c r="F572" s="3" t="str">
        <f>IFERROR(INDEX(Movimientos!$G$5:$G$2001,MATCH(A572&amp;"ENTRADA",Movimientos!$R$5:$R$2001,0)),"-")</f>
        <v>-</v>
      </c>
      <c r="G572" s="3" t="str">
        <f>IFERROR(INDEX(Movimientos!$L$5:$L$2001,MATCH(A572&amp;"ENTRADA",Movimientos!$R$5:$R$2001,0)),"-")</f>
        <v>-</v>
      </c>
      <c r="H572" s="19" t="str">
        <f>IFERROR(IF(INDEX(Movimientos!$M$5:$M$2001,MATCH(A572&amp;"ENTRADA",Movimientos!$R$5:$R$2001,0))=0,"S/D",INDEX(Movimientos!$M$5:$M$2001,MATCH(A572&amp;"ENTRADA",Movimientos!$R$5:$R$2001,0))),"S/D")</f>
        <v>S/D</v>
      </c>
      <c r="I572" s="16" t="str">
        <f t="shared" ca="1" si="18"/>
        <v>S/D</v>
      </c>
      <c r="J572" s="6">
        <f>IF(A572="","",SUMIFS(Movimientos!$K:$K,Movimientos!$H:$H,A572))</f>
        <v>0</v>
      </c>
      <c r="K572" s="14" t="str">
        <f t="shared" ca="1" si="19"/>
        <v>OK</v>
      </c>
    </row>
    <row r="573" spans="1:11">
      <c r="A573" s="18" t="s">
        <v>2646</v>
      </c>
      <c r="B573" s="3" t="str">
        <f>IFERROR(INDEX(Movimientos!$C$5:$C$2001,MATCH(A573&amp;"ENTRADA",Movimientos!$R$5:$R$2001,0)),"-")</f>
        <v>-</v>
      </c>
      <c r="C573" s="3" t="str">
        <f>IFERROR(INDEX(Movimientos!$D$5:$D$2001,MATCH(A573&amp;"ENTRADA",Movimientos!$R$5:$R$2001,0)),"-")</f>
        <v>-</v>
      </c>
      <c r="D573" s="3" t="str">
        <f>IFERROR(INDEX(Movimientos!$E$5:$E$2001,MATCH(A573&amp;"ENTRADA",Movimientos!$R$5:$R$2001,0)),"-")</f>
        <v>-</v>
      </c>
      <c r="E573" s="3" t="str">
        <f>IFERROR(INDEX(Movimientos!$F$5:$F$2001,MATCH(A573&amp;"ENTRADA",Movimientos!$R$5:$R$2001,0)),"-")</f>
        <v>-</v>
      </c>
      <c r="F573" s="3" t="str">
        <f>IFERROR(INDEX(Movimientos!$G$5:$G$2001,MATCH(A573&amp;"ENTRADA",Movimientos!$R$5:$R$2001,0)),"-")</f>
        <v>-</v>
      </c>
      <c r="G573" s="3" t="str">
        <f>IFERROR(INDEX(Movimientos!$L$5:$L$2001,MATCH(A573&amp;"ENTRADA",Movimientos!$R$5:$R$2001,0)),"-")</f>
        <v>-</v>
      </c>
      <c r="H573" s="19" t="str">
        <f>IFERROR(IF(INDEX(Movimientos!$M$5:$M$2001,MATCH(A573&amp;"ENTRADA",Movimientos!$R$5:$R$2001,0))=0,"S/D",INDEX(Movimientos!$M$5:$M$2001,MATCH(A573&amp;"ENTRADA",Movimientos!$R$5:$R$2001,0))),"S/D")</f>
        <v>S/D</v>
      </c>
      <c r="I573" s="16" t="str">
        <f t="shared" ca="1" si="18"/>
        <v>S/D</v>
      </c>
      <c r="J573" s="6">
        <f>IF(A573="","",SUMIFS(Movimientos!$K:$K,Movimientos!$H:$H,A573))</f>
        <v>0</v>
      </c>
      <c r="K573" s="14" t="str">
        <f t="shared" ca="1" si="19"/>
        <v>OK</v>
      </c>
    </row>
    <row r="574" spans="1:11">
      <c r="A574" s="18" t="s">
        <v>2647</v>
      </c>
      <c r="B574" s="3" t="str">
        <f>IFERROR(INDEX(Movimientos!$C$5:$C$2001,MATCH(A574&amp;"ENTRADA",Movimientos!$R$5:$R$2001,0)),"-")</f>
        <v>-</v>
      </c>
      <c r="C574" s="3" t="str">
        <f>IFERROR(INDEX(Movimientos!$D$5:$D$2001,MATCH(A574&amp;"ENTRADA",Movimientos!$R$5:$R$2001,0)),"-")</f>
        <v>-</v>
      </c>
      <c r="D574" s="3" t="str">
        <f>IFERROR(INDEX(Movimientos!$E$5:$E$2001,MATCH(A574&amp;"ENTRADA",Movimientos!$R$5:$R$2001,0)),"-")</f>
        <v>-</v>
      </c>
      <c r="E574" s="3" t="str">
        <f>IFERROR(INDEX(Movimientos!$F$5:$F$2001,MATCH(A574&amp;"ENTRADA",Movimientos!$R$5:$R$2001,0)),"-")</f>
        <v>-</v>
      </c>
      <c r="F574" s="3" t="str">
        <f>IFERROR(INDEX(Movimientos!$G$5:$G$2001,MATCH(A574&amp;"ENTRADA",Movimientos!$R$5:$R$2001,0)),"-")</f>
        <v>-</v>
      </c>
      <c r="G574" s="3" t="str">
        <f>IFERROR(INDEX(Movimientos!$L$5:$L$2001,MATCH(A574&amp;"ENTRADA",Movimientos!$R$5:$R$2001,0)),"-")</f>
        <v>-</v>
      </c>
      <c r="H574" s="19" t="str">
        <f>IFERROR(IF(INDEX(Movimientos!$M$5:$M$2001,MATCH(A574&amp;"ENTRADA",Movimientos!$R$5:$R$2001,0))=0,"S/D",INDEX(Movimientos!$M$5:$M$2001,MATCH(A574&amp;"ENTRADA",Movimientos!$R$5:$R$2001,0))),"S/D")</f>
        <v>S/D</v>
      </c>
      <c r="I574" s="16" t="str">
        <f t="shared" ca="1" si="18"/>
        <v>S/D</v>
      </c>
      <c r="J574" s="6">
        <f>IF(A574="","",SUMIFS(Movimientos!$K:$K,Movimientos!$H:$H,A574))</f>
        <v>0</v>
      </c>
      <c r="K574" s="14" t="str">
        <f t="shared" ca="1" si="19"/>
        <v>OK</v>
      </c>
    </row>
    <row r="575" spans="1:11">
      <c r="A575" s="18" t="s">
        <v>2648</v>
      </c>
      <c r="B575" s="3" t="str">
        <f>IFERROR(INDEX(Movimientos!$C$5:$C$2001,MATCH(A575&amp;"ENTRADA",Movimientos!$R$5:$R$2001,0)),"-")</f>
        <v>-</v>
      </c>
      <c r="C575" s="3" t="str">
        <f>IFERROR(INDEX(Movimientos!$D$5:$D$2001,MATCH(A575&amp;"ENTRADA",Movimientos!$R$5:$R$2001,0)),"-")</f>
        <v>-</v>
      </c>
      <c r="D575" s="3" t="str">
        <f>IFERROR(INDEX(Movimientos!$E$5:$E$2001,MATCH(A575&amp;"ENTRADA",Movimientos!$R$5:$R$2001,0)),"-")</f>
        <v>-</v>
      </c>
      <c r="E575" s="3" t="str">
        <f>IFERROR(INDEX(Movimientos!$F$5:$F$2001,MATCH(A575&amp;"ENTRADA",Movimientos!$R$5:$R$2001,0)),"-")</f>
        <v>-</v>
      </c>
      <c r="F575" s="3" t="str">
        <f>IFERROR(INDEX(Movimientos!$G$5:$G$2001,MATCH(A575&amp;"ENTRADA",Movimientos!$R$5:$R$2001,0)),"-")</f>
        <v>-</v>
      </c>
      <c r="G575" s="3" t="str">
        <f>IFERROR(INDEX(Movimientos!$L$5:$L$2001,MATCH(A575&amp;"ENTRADA",Movimientos!$R$5:$R$2001,0)),"-")</f>
        <v>-</v>
      </c>
      <c r="H575" s="19" t="str">
        <f>IFERROR(IF(INDEX(Movimientos!$M$5:$M$2001,MATCH(A575&amp;"ENTRADA",Movimientos!$R$5:$R$2001,0))=0,"S/D",INDEX(Movimientos!$M$5:$M$2001,MATCH(A575&amp;"ENTRADA",Movimientos!$R$5:$R$2001,0))),"S/D")</f>
        <v>S/D</v>
      </c>
      <c r="I575" s="16" t="str">
        <f t="shared" ca="1" si="18"/>
        <v>S/D</v>
      </c>
      <c r="J575" s="6">
        <f>IF(A575="","",SUMIFS(Movimientos!$K:$K,Movimientos!$H:$H,A575))</f>
        <v>0</v>
      </c>
      <c r="K575" s="14" t="str">
        <f t="shared" ca="1" si="19"/>
        <v>OK</v>
      </c>
    </row>
    <row r="576" spans="1:11">
      <c r="A576" s="18" t="s">
        <v>2649</v>
      </c>
      <c r="B576" s="3" t="str">
        <f>IFERROR(INDEX(Movimientos!$C$5:$C$2001,MATCH(A576&amp;"ENTRADA",Movimientos!$R$5:$R$2001,0)),"-")</f>
        <v>-</v>
      </c>
      <c r="C576" s="3" t="str">
        <f>IFERROR(INDEX(Movimientos!$D$5:$D$2001,MATCH(A576&amp;"ENTRADA",Movimientos!$R$5:$R$2001,0)),"-")</f>
        <v>-</v>
      </c>
      <c r="D576" s="3" t="str">
        <f>IFERROR(INDEX(Movimientos!$E$5:$E$2001,MATCH(A576&amp;"ENTRADA",Movimientos!$R$5:$R$2001,0)),"-")</f>
        <v>-</v>
      </c>
      <c r="E576" s="3" t="str">
        <f>IFERROR(INDEX(Movimientos!$F$5:$F$2001,MATCH(A576&amp;"ENTRADA",Movimientos!$R$5:$R$2001,0)),"-")</f>
        <v>-</v>
      </c>
      <c r="F576" s="3" t="str">
        <f>IFERROR(INDEX(Movimientos!$G$5:$G$2001,MATCH(A576&amp;"ENTRADA",Movimientos!$R$5:$R$2001,0)),"-")</f>
        <v>-</v>
      </c>
      <c r="G576" s="3" t="str">
        <f>IFERROR(INDEX(Movimientos!$L$5:$L$2001,MATCH(A576&amp;"ENTRADA",Movimientos!$R$5:$R$2001,0)),"-")</f>
        <v>-</v>
      </c>
      <c r="H576" s="19" t="str">
        <f>IFERROR(IF(INDEX(Movimientos!$M$5:$M$2001,MATCH(A576&amp;"ENTRADA",Movimientos!$R$5:$R$2001,0))=0,"S/D",INDEX(Movimientos!$M$5:$M$2001,MATCH(A576&amp;"ENTRADA",Movimientos!$R$5:$R$2001,0))),"S/D")</f>
        <v>S/D</v>
      </c>
      <c r="I576" s="16" t="str">
        <f t="shared" ca="1" si="18"/>
        <v>S/D</v>
      </c>
      <c r="J576" s="6">
        <f>IF(A576="","",SUMIFS(Movimientos!$K:$K,Movimientos!$H:$H,A576))</f>
        <v>0</v>
      </c>
      <c r="K576" s="14" t="str">
        <f t="shared" ca="1" si="19"/>
        <v>OK</v>
      </c>
    </row>
    <row r="577" spans="1:11">
      <c r="A577" s="18" t="s">
        <v>2650</v>
      </c>
      <c r="B577" s="3" t="str">
        <f>IFERROR(INDEX(Movimientos!$C$5:$C$2001,MATCH(A577&amp;"ENTRADA",Movimientos!$R$5:$R$2001,0)),"-")</f>
        <v>-</v>
      </c>
      <c r="C577" s="3" t="str">
        <f>IFERROR(INDEX(Movimientos!$D$5:$D$2001,MATCH(A577&amp;"ENTRADA",Movimientos!$R$5:$R$2001,0)),"-")</f>
        <v>-</v>
      </c>
      <c r="D577" s="3" t="str">
        <f>IFERROR(INDEX(Movimientos!$E$5:$E$2001,MATCH(A577&amp;"ENTRADA",Movimientos!$R$5:$R$2001,0)),"-")</f>
        <v>-</v>
      </c>
      <c r="E577" s="3" t="str">
        <f>IFERROR(INDEX(Movimientos!$F$5:$F$2001,MATCH(A577&amp;"ENTRADA",Movimientos!$R$5:$R$2001,0)),"-")</f>
        <v>-</v>
      </c>
      <c r="F577" s="3" t="str">
        <f>IFERROR(INDEX(Movimientos!$G$5:$G$2001,MATCH(A577&amp;"ENTRADA",Movimientos!$R$5:$R$2001,0)),"-")</f>
        <v>-</v>
      </c>
      <c r="G577" s="3" t="str">
        <f>IFERROR(INDEX(Movimientos!$L$5:$L$2001,MATCH(A577&amp;"ENTRADA",Movimientos!$R$5:$R$2001,0)),"-")</f>
        <v>-</v>
      </c>
      <c r="H577" s="19" t="str">
        <f>IFERROR(IF(INDEX(Movimientos!$M$5:$M$2001,MATCH(A577&amp;"ENTRADA",Movimientos!$R$5:$R$2001,0))=0,"S/D",INDEX(Movimientos!$M$5:$M$2001,MATCH(A577&amp;"ENTRADA",Movimientos!$R$5:$R$2001,0))),"S/D")</f>
        <v>S/D</v>
      </c>
      <c r="I577" s="16" t="str">
        <f t="shared" ca="1" si="18"/>
        <v>S/D</v>
      </c>
      <c r="J577" s="6">
        <f>IF(A577="","",SUMIFS(Movimientos!$K:$K,Movimientos!$H:$H,A577))</f>
        <v>0</v>
      </c>
      <c r="K577" s="14" t="str">
        <f t="shared" ca="1" si="19"/>
        <v>OK</v>
      </c>
    </row>
    <row r="578" spans="1:11">
      <c r="A578" s="18" t="s">
        <v>2651</v>
      </c>
      <c r="B578" s="3" t="str">
        <f>IFERROR(INDEX(Movimientos!$C$5:$C$2001,MATCH(A578&amp;"ENTRADA",Movimientos!$R$5:$R$2001,0)),"-")</f>
        <v>-</v>
      </c>
      <c r="C578" s="3" t="str">
        <f>IFERROR(INDEX(Movimientos!$D$5:$D$2001,MATCH(A578&amp;"ENTRADA",Movimientos!$R$5:$R$2001,0)),"-")</f>
        <v>-</v>
      </c>
      <c r="D578" s="3" t="str">
        <f>IFERROR(INDEX(Movimientos!$E$5:$E$2001,MATCH(A578&amp;"ENTRADA",Movimientos!$R$5:$R$2001,0)),"-")</f>
        <v>-</v>
      </c>
      <c r="E578" s="3" t="str">
        <f>IFERROR(INDEX(Movimientos!$F$5:$F$2001,MATCH(A578&amp;"ENTRADA",Movimientos!$R$5:$R$2001,0)),"-")</f>
        <v>-</v>
      </c>
      <c r="F578" s="3" t="str">
        <f>IFERROR(INDEX(Movimientos!$G$5:$G$2001,MATCH(A578&amp;"ENTRADA",Movimientos!$R$5:$R$2001,0)),"-")</f>
        <v>-</v>
      </c>
      <c r="G578" s="3" t="str">
        <f>IFERROR(INDEX(Movimientos!$L$5:$L$2001,MATCH(A578&amp;"ENTRADA",Movimientos!$R$5:$R$2001,0)),"-")</f>
        <v>-</v>
      </c>
      <c r="H578" s="19" t="str">
        <f>IFERROR(IF(INDEX(Movimientos!$M$5:$M$2001,MATCH(A578&amp;"ENTRADA",Movimientos!$R$5:$R$2001,0))=0,"S/D",INDEX(Movimientos!$M$5:$M$2001,MATCH(A578&amp;"ENTRADA",Movimientos!$R$5:$R$2001,0))),"S/D")</f>
        <v>S/D</v>
      </c>
      <c r="I578" s="16" t="str">
        <f t="shared" ca="1" si="18"/>
        <v>S/D</v>
      </c>
      <c r="J578" s="6">
        <f>IF(A578="","",SUMIFS(Movimientos!$K:$K,Movimientos!$H:$H,A578))</f>
        <v>0</v>
      </c>
      <c r="K578" s="14" t="str">
        <f t="shared" ca="1" si="19"/>
        <v>OK</v>
      </c>
    </row>
    <row r="579" spans="1:11">
      <c r="A579" s="18" t="s">
        <v>2652</v>
      </c>
      <c r="B579" s="3" t="str">
        <f>IFERROR(INDEX(Movimientos!$C$5:$C$2001,MATCH(A579&amp;"ENTRADA",Movimientos!$R$5:$R$2001,0)),"-")</f>
        <v>-</v>
      </c>
      <c r="C579" s="3" t="str">
        <f>IFERROR(INDEX(Movimientos!$D$5:$D$2001,MATCH(A579&amp;"ENTRADA",Movimientos!$R$5:$R$2001,0)),"-")</f>
        <v>-</v>
      </c>
      <c r="D579" s="3" t="str">
        <f>IFERROR(INDEX(Movimientos!$E$5:$E$2001,MATCH(A579&amp;"ENTRADA",Movimientos!$R$5:$R$2001,0)),"-")</f>
        <v>-</v>
      </c>
      <c r="E579" s="3" t="str">
        <f>IFERROR(INDEX(Movimientos!$F$5:$F$2001,MATCH(A579&amp;"ENTRADA",Movimientos!$R$5:$R$2001,0)),"-")</f>
        <v>-</v>
      </c>
      <c r="F579" s="3" t="str">
        <f>IFERROR(INDEX(Movimientos!$G$5:$G$2001,MATCH(A579&amp;"ENTRADA",Movimientos!$R$5:$R$2001,0)),"-")</f>
        <v>-</v>
      </c>
      <c r="G579" s="3" t="str">
        <f>IFERROR(INDEX(Movimientos!$L$5:$L$2001,MATCH(A579&amp;"ENTRADA",Movimientos!$R$5:$R$2001,0)),"-")</f>
        <v>-</v>
      </c>
      <c r="H579" s="19" t="str">
        <f>IFERROR(IF(INDEX(Movimientos!$M$5:$M$2001,MATCH(A579&amp;"ENTRADA",Movimientos!$R$5:$R$2001,0))=0,"S/D",INDEX(Movimientos!$M$5:$M$2001,MATCH(A579&amp;"ENTRADA",Movimientos!$R$5:$R$2001,0))),"S/D")</f>
        <v>S/D</v>
      </c>
      <c r="I579" s="16" t="str">
        <f t="shared" ca="1" si="18"/>
        <v>S/D</v>
      </c>
      <c r="J579" s="6">
        <f>IF(A579="","",SUMIFS(Movimientos!$K:$K,Movimientos!$H:$H,A579))</f>
        <v>0</v>
      </c>
      <c r="K579" s="14" t="str">
        <f t="shared" ca="1" si="19"/>
        <v>OK</v>
      </c>
    </row>
    <row r="580" spans="1:11">
      <c r="A580" s="18" t="s">
        <v>2653</v>
      </c>
      <c r="B580" s="3" t="str">
        <f>IFERROR(INDEX(Movimientos!$C$5:$C$2001,MATCH(A580&amp;"ENTRADA",Movimientos!$R$5:$R$2001,0)),"-")</f>
        <v>-</v>
      </c>
      <c r="C580" s="3" t="str">
        <f>IFERROR(INDEX(Movimientos!$D$5:$D$2001,MATCH(A580&amp;"ENTRADA",Movimientos!$R$5:$R$2001,0)),"-")</f>
        <v>-</v>
      </c>
      <c r="D580" s="3" t="str">
        <f>IFERROR(INDEX(Movimientos!$E$5:$E$2001,MATCH(A580&amp;"ENTRADA",Movimientos!$R$5:$R$2001,0)),"-")</f>
        <v>-</v>
      </c>
      <c r="E580" s="3" t="str">
        <f>IFERROR(INDEX(Movimientos!$F$5:$F$2001,MATCH(A580&amp;"ENTRADA",Movimientos!$R$5:$R$2001,0)),"-")</f>
        <v>-</v>
      </c>
      <c r="F580" s="3" t="str">
        <f>IFERROR(INDEX(Movimientos!$G$5:$G$2001,MATCH(A580&amp;"ENTRADA",Movimientos!$R$5:$R$2001,0)),"-")</f>
        <v>-</v>
      </c>
      <c r="G580" s="3" t="str">
        <f>IFERROR(INDEX(Movimientos!$L$5:$L$2001,MATCH(A580&amp;"ENTRADA",Movimientos!$R$5:$R$2001,0)),"-")</f>
        <v>-</v>
      </c>
      <c r="H580" s="19" t="str">
        <f>IFERROR(IF(INDEX(Movimientos!$M$5:$M$2001,MATCH(A580&amp;"ENTRADA",Movimientos!$R$5:$R$2001,0))=0,"S/D",INDEX(Movimientos!$M$5:$M$2001,MATCH(A580&amp;"ENTRADA",Movimientos!$R$5:$R$2001,0))),"S/D")</f>
        <v>S/D</v>
      </c>
      <c r="I580" s="16" t="str">
        <f t="shared" ca="1" si="18"/>
        <v>S/D</v>
      </c>
      <c r="J580" s="6">
        <f>IF(A580="","",SUMIFS(Movimientos!$K:$K,Movimientos!$H:$H,A580))</f>
        <v>0</v>
      </c>
      <c r="K580" s="14" t="str">
        <f t="shared" ca="1" si="19"/>
        <v>OK</v>
      </c>
    </row>
    <row r="581" spans="1:11">
      <c r="A581" s="18" t="s">
        <v>2654</v>
      </c>
      <c r="B581" s="3" t="str">
        <f>IFERROR(INDEX(Movimientos!$C$5:$C$2001,MATCH(A581&amp;"ENTRADA",Movimientos!$R$5:$R$2001,0)),"-")</f>
        <v>-</v>
      </c>
      <c r="C581" s="3" t="str">
        <f>IFERROR(INDEX(Movimientos!$D$5:$D$2001,MATCH(A581&amp;"ENTRADA",Movimientos!$R$5:$R$2001,0)),"-")</f>
        <v>-</v>
      </c>
      <c r="D581" s="3" t="str">
        <f>IFERROR(INDEX(Movimientos!$E$5:$E$2001,MATCH(A581&amp;"ENTRADA",Movimientos!$R$5:$R$2001,0)),"-")</f>
        <v>-</v>
      </c>
      <c r="E581" s="3" t="str">
        <f>IFERROR(INDEX(Movimientos!$F$5:$F$2001,MATCH(A581&amp;"ENTRADA",Movimientos!$R$5:$R$2001,0)),"-")</f>
        <v>-</v>
      </c>
      <c r="F581" s="3" t="str">
        <f>IFERROR(INDEX(Movimientos!$G$5:$G$2001,MATCH(A581&amp;"ENTRADA",Movimientos!$R$5:$R$2001,0)),"-")</f>
        <v>-</v>
      </c>
      <c r="G581" s="3" t="str">
        <f>IFERROR(INDEX(Movimientos!$L$5:$L$2001,MATCH(A581&amp;"ENTRADA",Movimientos!$R$5:$R$2001,0)),"-")</f>
        <v>-</v>
      </c>
      <c r="H581" s="19" t="str">
        <f>IFERROR(IF(INDEX(Movimientos!$M$5:$M$2001,MATCH(A581&amp;"ENTRADA",Movimientos!$R$5:$R$2001,0))=0,"S/D",INDEX(Movimientos!$M$5:$M$2001,MATCH(A581&amp;"ENTRADA",Movimientos!$R$5:$R$2001,0))),"S/D")</f>
        <v>S/D</v>
      </c>
      <c r="I581" s="16" t="str">
        <f t="shared" ca="1" si="18"/>
        <v>S/D</v>
      </c>
      <c r="J581" s="6">
        <f>IF(A581="","",SUMIFS(Movimientos!$K:$K,Movimientos!$H:$H,A581))</f>
        <v>0</v>
      </c>
      <c r="K581" s="14" t="str">
        <f t="shared" ca="1" si="19"/>
        <v>OK</v>
      </c>
    </row>
    <row r="582" spans="1:11">
      <c r="A582" s="18" t="s">
        <v>2655</v>
      </c>
      <c r="B582" s="3" t="str">
        <f>IFERROR(INDEX(Movimientos!$C$5:$C$2001,MATCH(A582&amp;"ENTRADA",Movimientos!$R$5:$R$2001,0)),"-")</f>
        <v>-</v>
      </c>
      <c r="C582" s="3" t="str">
        <f>IFERROR(INDEX(Movimientos!$D$5:$D$2001,MATCH(A582&amp;"ENTRADA",Movimientos!$R$5:$R$2001,0)),"-")</f>
        <v>-</v>
      </c>
      <c r="D582" s="3" t="str">
        <f>IFERROR(INDEX(Movimientos!$E$5:$E$2001,MATCH(A582&amp;"ENTRADA",Movimientos!$R$5:$R$2001,0)),"-")</f>
        <v>-</v>
      </c>
      <c r="E582" s="3" t="str">
        <f>IFERROR(INDEX(Movimientos!$F$5:$F$2001,MATCH(A582&amp;"ENTRADA",Movimientos!$R$5:$R$2001,0)),"-")</f>
        <v>-</v>
      </c>
      <c r="F582" s="3" t="str">
        <f>IFERROR(INDEX(Movimientos!$G$5:$G$2001,MATCH(A582&amp;"ENTRADA",Movimientos!$R$5:$R$2001,0)),"-")</f>
        <v>-</v>
      </c>
      <c r="G582" s="3" t="str">
        <f>IFERROR(INDEX(Movimientos!$L$5:$L$2001,MATCH(A582&amp;"ENTRADA",Movimientos!$R$5:$R$2001,0)),"-")</f>
        <v>-</v>
      </c>
      <c r="H582" s="19" t="str">
        <f>IFERROR(IF(INDEX(Movimientos!$M$5:$M$2001,MATCH(A582&amp;"ENTRADA",Movimientos!$R$5:$R$2001,0))=0,"S/D",INDEX(Movimientos!$M$5:$M$2001,MATCH(A582&amp;"ENTRADA",Movimientos!$R$5:$R$2001,0))),"S/D")</f>
        <v>S/D</v>
      </c>
      <c r="I582" s="16" t="str">
        <f t="shared" ca="1" si="18"/>
        <v>S/D</v>
      </c>
      <c r="J582" s="6">
        <f>IF(A582="","",SUMIFS(Movimientos!$K:$K,Movimientos!$H:$H,A582))</f>
        <v>0</v>
      </c>
      <c r="K582" s="14" t="str">
        <f t="shared" ca="1" si="19"/>
        <v>OK</v>
      </c>
    </row>
    <row r="583" spans="1:11">
      <c r="A583" s="18" t="s">
        <v>2656</v>
      </c>
      <c r="B583" s="3" t="str">
        <f>IFERROR(INDEX(Movimientos!$C$5:$C$2001,MATCH(A583&amp;"ENTRADA",Movimientos!$R$5:$R$2001,0)),"-")</f>
        <v>-</v>
      </c>
      <c r="C583" s="3" t="str">
        <f>IFERROR(INDEX(Movimientos!$D$5:$D$2001,MATCH(A583&amp;"ENTRADA",Movimientos!$R$5:$R$2001,0)),"-")</f>
        <v>-</v>
      </c>
      <c r="D583" s="3" t="str">
        <f>IFERROR(INDEX(Movimientos!$E$5:$E$2001,MATCH(A583&amp;"ENTRADA",Movimientos!$R$5:$R$2001,0)),"-")</f>
        <v>-</v>
      </c>
      <c r="E583" s="3" t="str">
        <f>IFERROR(INDEX(Movimientos!$F$5:$F$2001,MATCH(A583&amp;"ENTRADA",Movimientos!$R$5:$R$2001,0)),"-")</f>
        <v>-</v>
      </c>
      <c r="F583" s="3" t="str">
        <f>IFERROR(INDEX(Movimientos!$G$5:$G$2001,MATCH(A583&amp;"ENTRADA",Movimientos!$R$5:$R$2001,0)),"-")</f>
        <v>-</v>
      </c>
      <c r="G583" s="3" t="str">
        <f>IFERROR(INDEX(Movimientos!$L$5:$L$2001,MATCH(A583&amp;"ENTRADA",Movimientos!$R$5:$R$2001,0)),"-")</f>
        <v>-</v>
      </c>
      <c r="H583" s="19" t="str">
        <f>IFERROR(IF(INDEX(Movimientos!$M$5:$M$2001,MATCH(A583&amp;"ENTRADA",Movimientos!$R$5:$R$2001,0))=0,"S/D",INDEX(Movimientos!$M$5:$M$2001,MATCH(A583&amp;"ENTRADA",Movimientos!$R$5:$R$2001,0))),"S/D")</f>
        <v>S/D</v>
      </c>
      <c r="I583" s="16" t="str">
        <f t="shared" ca="1" si="18"/>
        <v>S/D</v>
      </c>
      <c r="J583" s="6">
        <f>IF(A583="","",SUMIFS(Movimientos!$K:$K,Movimientos!$H:$H,A583))</f>
        <v>0</v>
      </c>
      <c r="K583" s="14" t="str">
        <f t="shared" ca="1" si="19"/>
        <v>OK</v>
      </c>
    </row>
    <row r="584" spans="1:11">
      <c r="A584" s="18" t="s">
        <v>2657</v>
      </c>
      <c r="B584" s="3" t="str">
        <f>IFERROR(INDEX(Movimientos!$C$5:$C$2001,MATCH(A584&amp;"ENTRADA",Movimientos!$R$5:$R$2001,0)),"-")</f>
        <v>-</v>
      </c>
      <c r="C584" s="3" t="str">
        <f>IFERROR(INDEX(Movimientos!$D$5:$D$2001,MATCH(A584&amp;"ENTRADA",Movimientos!$R$5:$R$2001,0)),"-")</f>
        <v>-</v>
      </c>
      <c r="D584" s="3" t="str">
        <f>IFERROR(INDEX(Movimientos!$E$5:$E$2001,MATCH(A584&amp;"ENTRADA",Movimientos!$R$5:$R$2001,0)),"-")</f>
        <v>-</v>
      </c>
      <c r="E584" s="3" t="str">
        <f>IFERROR(INDEX(Movimientos!$F$5:$F$2001,MATCH(A584&amp;"ENTRADA",Movimientos!$R$5:$R$2001,0)),"-")</f>
        <v>-</v>
      </c>
      <c r="F584" s="3" t="str">
        <f>IFERROR(INDEX(Movimientos!$G$5:$G$2001,MATCH(A584&amp;"ENTRADA",Movimientos!$R$5:$R$2001,0)),"-")</f>
        <v>-</v>
      </c>
      <c r="G584" s="3" t="str">
        <f>IFERROR(INDEX(Movimientos!$L$5:$L$2001,MATCH(A584&amp;"ENTRADA",Movimientos!$R$5:$R$2001,0)),"-")</f>
        <v>-</v>
      </c>
      <c r="H584" s="19" t="str">
        <f>IFERROR(IF(INDEX(Movimientos!$M$5:$M$2001,MATCH(A584&amp;"ENTRADA",Movimientos!$R$5:$R$2001,0))=0,"S/D",INDEX(Movimientos!$M$5:$M$2001,MATCH(A584&amp;"ENTRADA",Movimientos!$R$5:$R$2001,0))),"S/D")</f>
        <v>S/D</v>
      </c>
      <c r="I584" s="16" t="str">
        <f t="shared" ca="1" si="18"/>
        <v>S/D</v>
      </c>
      <c r="J584" s="6">
        <f>IF(A584="","",SUMIFS(Movimientos!$K:$K,Movimientos!$H:$H,A584))</f>
        <v>0</v>
      </c>
      <c r="K584" s="14" t="str">
        <f t="shared" ca="1" si="19"/>
        <v>OK</v>
      </c>
    </row>
    <row r="585" spans="1:11">
      <c r="A585" s="18" t="s">
        <v>2658</v>
      </c>
      <c r="B585" s="3" t="str">
        <f>IFERROR(INDEX(Movimientos!$C$5:$C$2001,MATCH(A585&amp;"ENTRADA",Movimientos!$R$5:$R$2001,0)),"-")</f>
        <v>-</v>
      </c>
      <c r="C585" s="3" t="str">
        <f>IFERROR(INDEX(Movimientos!$D$5:$D$2001,MATCH(A585&amp;"ENTRADA",Movimientos!$R$5:$R$2001,0)),"-")</f>
        <v>-</v>
      </c>
      <c r="D585" s="3" t="str">
        <f>IFERROR(INDEX(Movimientos!$E$5:$E$2001,MATCH(A585&amp;"ENTRADA",Movimientos!$R$5:$R$2001,0)),"-")</f>
        <v>-</v>
      </c>
      <c r="E585" s="3" t="str">
        <f>IFERROR(INDEX(Movimientos!$F$5:$F$2001,MATCH(A585&amp;"ENTRADA",Movimientos!$R$5:$R$2001,0)),"-")</f>
        <v>-</v>
      </c>
      <c r="F585" s="3" t="str">
        <f>IFERROR(INDEX(Movimientos!$G$5:$G$2001,MATCH(A585&amp;"ENTRADA",Movimientos!$R$5:$R$2001,0)),"-")</f>
        <v>-</v>
      </c>
      <c r="G585" s="3" t="str">
        <f>IFERROR(INDEX(Movimientos!$L$5:$L$2001,MATCH(A585&amp;"ENTRADA",Movimientos!$R$5:$R$2001,0)),"-")</f>
        <v>-</v>
      </c>
      <c r="H585" s="19" t="str">
        <f>IFERROR(IF(INDEX(Movimientos!$M$5:$M$2001,MATCH(A585&amp;"ENTRADA",Movimientos!$R$5:$R$2001,0))=0,"S/D",INDEX(Movimientos!$M$5:$M$2001,MATCH(A585&amp;"ENTRADA",Movimientos!$R$5:$R$2001,0))),"S/D")</f>
        <v>S/D</v>
      </c>
      <c r="I585" s="16" t="str">
        <f t="shared" ca="1" si="18"/>
        <v>S/D</v>
      </c>
      <c r="J585" s="6">
        <f>IF(A585="","",SUMIFS(Movimientos!$K:$K,Movimientos!$H:$H,A585))</f>
        <v>0</v>
      </c>
      <c r="K585" s="14" t="str">
        <f t="shared" ca="1" si="19"/>
        <v>OK</v>
      </c>
    </row>
    <row r="586" spans="1:11">
      <c r="A586" s="18" t="s">
        <v>2659</v>
      </c>
      <c r="B586" s="3" t="str">
        <f>IFERROR(INDEX(Movimientos!$C$5:$C$2001,MATCH(A586&amp;"ENTRADA",Movimientos!$R$5:$R$2001,0)),"-")</f>
        <v>-</v>
      </c>
      <c r="C586" s="3" t="str">
        <f>IFERROR(INDEX(Movimientos!$D$5:$D$2001,MATCH(A586&amp;"ENTRADA",Movimientos!$R$5:$R$2001,0)),"-")</f>
        <v>-</v>
      </c>
      <c r="D586" s="3" t="str">
        <f>IFERROR(INDEX(Movimientos!$E$5:$E$2001,MATCH(A586&amp;"ENTRADA",Movimientos!$R$5:$R$2001,0)),"-")</f>
        <v>-</v>
      </c>
      <c r="E586" s="3" t="str">
        <f>IFERROR(INDEX(Movimientos!$F$5:$F$2001,MATCH(A586&amp;"ENTRADA",Movimientos!$R$5:$R$2001,0)),"-")</f>
        <v>-</v>
      </c>
      <c r="F586" s="3" t="str">
        <f>IFERROR(INDEX(Movimientos!$G$5:$G$2001,MATCH(A586&amp;"ENTRADA",Movimientos!$R$5:$R$2001,0)),"-")</f>
        <v>-</v>
      </c>
      <c r="G586" s="3" t="str">
        <f>IFERROR(INDEX(Movimientos!$L$5:$L$2001,MATCH(A586&amp;"ENTRADA",Movimientos!$R$5:$R$2001,0)),"-")</f>
        <v>-</v>
      </c>
      <c r="H586" s="19" t="str">
        <f>IFERROR(IF(INDEX(Movimientos!$M$5:$M$2001,MATCH(A586&amp;"ENTRADA",Movimientos!$R$5:$R$2001,0))=0,"S/D",INDEX(Movimientos!$M$5:$M$2001,MATCH(A586&amp;"ENTRADA",Movimientos!$R$5:$R$2001,0))),"S/D")</f>
        <v>S/D</v>
      </c>
      <c r="I586" s="16" t="str">
        <f t="shared" ca="1" si="18"/>
        <v>S/D</v>
      </c>
      <c r="J586" s="6">
        <f>IF(A586="","",SUMIFS(Movimientos!$K:$K,Movimientos!$H:$H,A586))</f>
        <v>0</v>
      </c>
      <c r="K586" s="14" t="str">
        <f t="shared" ca="1" si="19"/>
        <v>OK</v>
      </c>
    </row>
    <row r="587" spans="1:11">
      <c r="A587" s="18" t="s">
        <v>2660</v>
      </c>
      <c r="B587" s="3" t="str">
        <f>IFERROR(INDEX(Movimientos!$C$5:$C$2001,MATCH(A587&amp;"ENTRADA",Movimientos!$R$5:$R$2001,0)),"-")</f>
        <v>-</v>
      </c>
      <c r="C587" s="3" t="str">
        <f>IFERROR(INDEX(Movimientos!$D$5:$D$2001,MATCH(A587&amp;"ENTRADA",Movimientos!$R$5:$R$2001,0)),"-")</f>
        <v>-</v>
      </c>
      <c r="D587" s="3" t="str">
        <f>IFERROR(INDEX(Movimientos!$E$5:$E$2001,MATCH(A587&amp;"ENTRADA",Movimientos!$R$5:$R$2001,0)),"-")</f>
        <v>-</v>
      </c>
      <c r="E587" s="3" t="str">
        <f>IFERROR(INDEX(Movimientos!$F$5:$F$2001,MATCH(A587&amp;"ENTRADA",Movimientos!$R$5:$R$2001,0)),"-")</f>
        <v>-</v>
      </c>
      <c r="F587" s="3" t="str">
        <f>IFERROR(INDEX(Movimientos!$G$5:$G$2001,MATCH(A587&amp;"ENTRADA",Movimientos!$R$5:$R$2001,0)),"-")</f>
        <v>-</v>
      </c>
      <c r="G587" s="3" t="str">
        <f>IFERROR(INDEX(Movimientos!$L$5:$L$2001,MATCH(A587&amp;"ENTRADA",Movimientos!$R$5:$R$2001,0)),"-")</f>
        <v>-</v>
      </c>
      <c r="H587" s="19" t="str">
        <f>IFERROR(IF(INDEX(Movimientos!$M$5:$M$2001,MATCH(A587&amp;"ENTRADA",Movimientos!$R$5:$R$2001,0))=0,"S/D",INDEX(Movimientos!$M$5:$M$2001,MATCH(A587&amp;"ENTRADA",Movimientos!$R$5:$R$2001,0))),"S/D")</f>
        <v>S/D</v>
      </c>
      <c r="I587" s="16" t="str">
        <f t="shared" ref="I587:I650" ca="1" si="20">IF(OR(A587="",H587="S/D"),"S/D",H587-TODAY())</f>
        <v>S/D</v>
      </c>
      <c r="J587" s="6">
        <f>IF(A587="","",SUMIFS(Movimientos!$K:$K,Movimientos!$H:$H,A587))</f>
        <v>0</v>
      </c>
      <c r="K587" s="14" t="str">
        <f t="shared" ref="K587:K650" ca="1" si="21">IF(A587="","",IF(H587="S/D","OK",IF(H587&lt;TODAY(),"VENCIDO",IF(J587&lt;=0,"SIN STOCK",IF(I587&gt;=180,"OK","PRÓXIMO A VENCER")))))</f>
        <v>OK</v>
      </c>
    </row>
    <row r="588" spans="1:11">
      <c r="A588" s="18" t="s">
        <v>2661</v>
      </c>
      <c r="B588" s="3" t="str">
        <f>IFERROR(INDEX(Movimientos!$C$5:$C$2001,MATCH(A588&amp;"ENTRADA",Movimientos!$R$5:$R$2001,0)),"-")</f>
        <v>-</v>
      </c>
      <c r="C588" s="3" t="str">
        <f>IFERROR(INDEX(Movimientos!$D$5:$D$2001,MATCH(A588&amp;"ENTRADA",Movimientos!$R$5:$R$2001,0)),"-")</f>
        <v>-</v>
      </c>
      <c r="D588" s="3" t="str">
        <f>IFERROR(INDEX(Movimientos!$E$5:$E$2001,MATCH(A588&amp;"ENTRADA",Movimientos!$R$5:$R$2001,0)),"-")</f>
        <v>-</v>
      </c>
      <c r="E588" s="3" t="str">
        <f>IFERROR(INDEX(Movimientos!$F$5:$F$2001,MATCH(A588&amp;"ENTRADA",Movimientos!$R$5:$R$2001,0)),"-")</f>
        <v>-</v>
      </c>
      <c r="F588" s="3" t="str">
        <f>IFERROR(INDEX(Movimientos!$G$5:$G$2001,MATCH(A588&amp;"ENTRADA",Movimientos!$R$5:$R$2001,0)),"-")</f>
        <v>-</v>
      </c>
      <c r="G588" s="3" t="str">
        <f>IFERROR(INDEX(Movimientos!$L$5:$L$2001,MATCH(A588&amp;"ENTRADA",Movimientos!$R$5:$R$2001,0)),"-")</f>
        <v>-</v>
      </c>
      <c r="H588" s="19" t="str">
        <f>IFERROR(IF(INDEX(Movimientos!$M$5:$M$2001,MATCH(A588&amp;"ENTRADA",Movimientos!$R$5:$R$2001,0))=0,"S/D",INDEX(Movimientos!$M$5:$M$2001,MATCH(A588&amp;"ENTRADA",Movimientos!$R$5:$R$2001,0))),"S/D")</f>
        <v>S/D</v>
      </c>
      <c r="I588" s="16" t="str">
        <f t="shared" ca="1" si="20"/>
        <v>S/D</v>
      </c>
      <c r="J588" s="6">
        <f>IF(A588="","",SUMIFS(Movimientos!$K:$K,Movimientos!$H:$H,A588))</f>
        <v>0</v>
      </c>
      <c r="K588" s="14" t="str">
        <f t="shared" ca="1" si="21"/>
        <v>OK</v>
      </c>
    </row>
    <row r="589" spans="1:11">
      <c r="A589" s="18" t="s">
        <v>2662</v>
      </c>
      <c r="B589" s="3" t="str">
        <f>IFERROR(INDEX(Movimientos!$C$5:$C$2001,MATCH(A589&amp;"ENTRADA",Movimientos!$R$5:$R$2001,0)),"-")</f>
        <v>-</v>
      </c>
      <c r="C589" s="3" t="str">
        <f>IFERROR(INDEX(Movimientos!$D$5:$D$2001,MATCH(A589&amp;"ENTRADA",Movimientos!$R$5:$R$2001,0)),"-")</f>
        <v>-</v>
      </c>
      <c r="D589" s="3" t="str">
        <f>IFERROR(INDEX(Movimientos!$E$5:$E$2001,MATCH(A589&amp;"ENTRADA",Movimientos!$R$5:$R$2001,0)),"-")</f>
        <v>-</v>
      </c>
      <c r="E589" s="3" t="str">
        <f>IFERROR(INDEX(Movimientos!$F$5:$F$2001,MATCH(A589&amp;"ENTRADA",Movimientos!$R$5:$R$2001,0)),"-")</f>
        <v>-</v>
      </c>
      <c r="F589" s="3" t="str">
        <f>IFERROR(INDEX(Movimientos!$G$5:$G$2001,MATCH(A589&amp;"ENTRADA",Movimientos!$R$5:$R$2001,0)),"-")</f>
        <v>-</v>
      </c>
      <c r="G589" s="3" t="str">
        <f>IFERROR(INDEX(Movimientos!$L$5:$L$2001,MATCH(A589&amp;"ENTRADA",Movimientos!$R$5:$R$2001,0)),"-")</f>
        <v>-</v>
      </c>
      <c r="H589" s="19" t="str">
        <f>IFERROR(IF(INDEX(Movimientos!$M$5:$M$2001,MATCH(A589&amp;"ENTRADA",Movimientos!$R$5:$R$2001,0))=0,"S/D",INDEX(Movimientos!$M$5:$M$2001,MATCH(A589&amp;"ENTRADA",Movimientos!$R$5:$R$2001,0))),"S/D")</f>
        <v>S/D</v>
      </c>
      <c r="I589" s="16" t="str">
        <f t="shared" ca="1" si="20"/>
        <v>S/D</v>
      </c>
      <c r="J589" s="6">
        <f>IF(A589="","",SUMIFS(Movimientos!$K:$K,Movimientos!$H:$H,A589))</f>
        <v>0</v>
      </c>
      <c r="K589" s="14" t="str">
        <f t="shared" ca="1" si="21"/>
        <v>OK</v>
      </c>
    </row>
    <row r="590" spans="1:11">
      <c r="A590" s="18" t="s">
        <v>2663</v>
      </c>
      <c r="B590" s="3" t="str">
        <f>IFERROR(INDEX(Movimientos!$C$5:$C$2001,MATCH(A590&amp;"ENTRADA",Movimientos!$R$5:$R$2001,0)),"-")</f>
        <v>-</v>
      </c>
      <c r="C590" s="3" t="str">
        <f>IFERROR(INDEX(Movimientos!$D$5:$D$2001,MATCH(A590&amp;"ENTRADA",Movimientos!$R$5:$R$2001,0)),"-")</f>
        <v>-</v>
      </c>
      <c r="D590" s="3" t="str">
        <f>IFERROR(INDEX(Movimientos!$E$5:$E$2001,MATCH(A590&amp;"ENTRADA",Movimientos!$R$5:$R$2001,0)),"-")</f>
        <v>-</v>
      </c>
      <c r="E590" s="3" t="str">
        <f>IFERROR(INDEX(Movimientos!$F$5:$F$2001,MATCH(A590&amp;"ENTRADA",Movimientos!$R$5:$R$2001,0)),"-")</f>
        <v>-</v>
      </c>
      <c r="F590" s="3" t="str">
        <f>IFERROR(INDEX(Movimientos!$G$5:$G$2001,MATCH(A590&amp;"ENTRADA",Movimientos!$R$5:$R$2001,0)),"-")</f>
        <v>-</v>
      </c>
      <c r="G590" s="3" t="str">
        <f>IFERROR(INDEX(Movimientos!$L$5:$L$2001,MATCH(A590&amp;"ENTRADA",Movimientos!$R$5:$R$2001,0)),"-")</f>
        <v>-</v>
      </c>
      <c r="H590" s="19" t="str">
        <f>IFERROR(IF(INDEX(Movimientos!$M$5:$M$2001,MATCH(A590&amp;"ENTRADA",Movimientos!$R$5:$R$2001,0))=0,"S/D",INDEX(Movimientos!$M$5:$M$2001,MATCH(A590&amp;"ENTRADA",Movimientos!$R$5:$R$2001,0))),"S/D")</f>
        <v>S/D</v>
      </c>
      <c r="I590" s="16" t="str">
        <f t="shared" ca="1" si="20"/>
        <v>S/D</v>
      </c>
      <c r="J590" s="6">
        <f>IF(A590="","",SUMIFS(Movimientos!$K:$K,Movimientos!$H:$H,A590))</f>
        <v>0</v>
      </c>
      <c r="K590" s="14" t="str">
        <f t="shared" ca="1" si="21"/>
        <v>OK</v>
      </c>
    </row>
    <row r="591" spans="1:11">
      <c r="A591" s="18" t="s">
        <v>2664</v>
      </c>
      <c r="B591" s="3" t="str">
        <f>IFERROR(INDEX(Movimientos!$C$5:$C$2001,MATCH(A591&amp;"ENTRADA",Movimientos!$R$5:$R$2001,0)),"-")</f>
        <v>-</v>
      </c>
      <c r="C591" s="3" t="str">
        <f>IFERROR(INDEX(Movimientos!$D$5:$D$2001,MATCH(A591&amp;"ENTRADA",Movimientos!$R$5:$R$2001,0)),"-")</f>
        <v>-</v>
      </c>
      <c r="D591" s="3" t="str">
        <f>IFERROR(INDEX(Movimientos!$E$5:$E$2001,MATCH(A591&amp;"ENTRADA",Movimientos!$R$5:$R$2001,0)),"-")</f>
        <v>-</v>
      </c>
      <c r="E591" s="3" t="str">
        <f>IFERROR(INDEX(Movimientos!$F$5:$F$2001,MATCH(A591&amp;"ENTRADA",Movimientos!$R$5:$R$2001,0)),"-")</f>
        <v>-</v>
      </c>
      <c r="F591" s="3" t="str">
        <f>IFERROR(INDEX(Movimientos!$G$5:$G$2001,MATCH(A591&amp;"ENTRADA",Movimientos!$R$5:$R$2001,0)),"-")</f>
        <v>-</v>
      </c>
      <c r="G591" s="3" t="str">
        <f>IFERROR(INDEX(Movimientos!$L$5:$L$2001,MATCH(A591&amp;"ENTRADA",Movimientos!$R$5:$R$2001,0)),"-")</f>
        <v>-</v>
      </c>
      <c r="H591" s="19" t="str">
        <f>IFERROR(IF(INDEX(Movimientos!$M$5:$M$2001,MATCH(A591&amp;"ENTRADA",Movimientos!$R$5:$R$2001,0))=0,"S/D",INDEX(Movimientos!$M$5:$M$2001,MATCH(A591&amp;"ENTRADA",Movimientos!$R$5:$R$2001,0))),"S/D")</f>
        <v>S/D</v>
      </c>
      <c r="I591" s="16" t="str">
        <f t="shared" ca="1" si="20"/>
        <v>S/D</v>
      </c>
      <c r="J591" s="6">
        <f>IF(A591="","",SUMIFS(Movimientos!$K:$K,Movimientos!$H:$H,A591))</f>
        <v>0</v>
      </c>
      <c r="K591" s="14" t="str">
        <f t="shared" ca="1" si="21"/>
        <v>OK</v>
      </c>
    </row>
    <row r="592" spans="1:11">
      <c r="A592" s="18" t="s">
        <v>2665</v>
      </c>
      <c r="B592" s="3" t="str">
        <f>IFERROR(INDEX(Movimientos!$C$5:$C$2001,MATCH(A592&amp;"ENTRADA",Movimientos!$R$5:$R$2001,0)),"-")</f>
        <v>-</v>
      </c>
      <c r="C592" s="3" t="str">
        <f>IFERROR(INDEX(Movimientos!$D$5:$D$2001,MATCH(A592&amp;"ENTRADA",Movimientos!$R$5:$R$2001,0)),"-")</f>
        <v>-</v>
      </c>
      <c r="D592" s="3" t="str">
        <f>IFERROR(INDEX(Movimientos!$E$5:$E$2001,MATCH(A592&amp;"ENTRADA",Movimientos!$R$5:$R$2001,0)),"-")</f>
        <v>-</v>
      </c>
      <c r="E592" s="3" t="str">
        <f>IFERROR(INDEX(Movimientos!$F$5:$F$2001,MATCH(A592&amp;"ENTRADA",Movimientos!$R$5:$R$2001,0)),"-")</f>
        <v>-</v>
      </c>
      <c r="F592" s="3" t="str">
        <f>IFERROR(INDEX(Movimientos!$G$5:$G$2001,MATCH(A592&amp;"ENTRADA",Movimientos!$R$5:$R$2001,0)),"-")</f>
        <v>-</v>
      </c>
      <c r="G592" s="3" t="str">
        <f>IFERROR(INDEX(Movimientos!$L$5:$L$2001,MATCH(A592&amp;"ENTRADA",Movimientos!$R$5:$R$2001,0)),"-")</f>
        <v>-</v>
      </c>
      <c r="H592" s="19" t="str">
        <f>IFERROR(IF(INDEX(Movimientos!$M$5:$M$2001,MATCH(A592&amp;"ENTRADA",Movimientos!$R$5:$R$2001,0))=0,"S/D",INDEX(Movimientos!$M$5:$M$2001,MATCH(A592&amp;"ENTRADA",Movimientos!$R$5:$R$2001,0))),"S/D")</f>
        <v>S/D</v>
      </c>
      <c r="I592" s="16" t="str">
        <f t="shared" ca="1" si="20"/>
        <v>S/D</v>
      </c>
      <c r="J592" s="6">
        <f>IF(A592="","",SUMIFS(Movimientos!$K:$K,Movimientos!$H:$H,A592))</f>
        <v>0</v>
      </c>
      <c r="K592" s="14" t="str">
        <f t="shared" ca="1" si="21"/>
        <v>OK</v>
      </c>
    </row>
    <row r="593" spans="1:11">
      <c r="A593" s="18" t="s">
        <v>2666</v>
      </c>
      <c r="B593" s="3" t="str">
        <f>IFERROR(INDEX(Movimientos!$C$5:$C$2001,MATCH(A593&amp;"ENTRADA",Movimientos!$R$5:$R$2001,0)),"-")</f>
        <v>-</v>
      </c>
      <c r="C593" s="3" t="str">
        <f>IFERROR(INDEX(Movimientos!$D$5:$D$2001,MATCH(A593&amp;"ENTRADA",Movimientos!$R$5:$R$2001,0)),"-")</f>
        <v>-</v>
      </c>
      <c r="D593" s="3" t="str">
        <f>IFERROR(INDEX(Movimientos!$E$5:$E$2001,MATCH(A593&amp;"ENTRADA",Movimientos!$R$5:$R$2001,0)),"-")</f>
        <v>-</v>
      </c>
      <c r="E593" s="3" t="str">
        <f>IFERROR(INDEX(Movimientos!$F$5:$F$2001,MATCH(A593&amp;"ENTRADA",Movimientos!$R$5:$R$2001,0)),"-")</f>
        <v>-</v>
      </c>
      <c r="F593" s="3" t="str">
        <f>IFERROR(INDEX(Movimientos!$G$5:$G$2001,MATCH(A593&amp;"ENTRADA",Movimientos!$R$5:$R$2001,0)),"-")</f>
        <v>-</v>
      </c>
      <c r="G593" s="3" t="str">
        <f>IFERROR(INDEX(Movimientos!$L$5:$L$2001,MATCH(A593&amp;"ENTRADA",Movimientos!$R$5:$R$2001,0)),"-")</f>
        <v>-</v>
      </c>
      <c r="H593" s="19" t="str">
        <f>IFERROR(IF(INDEX(Movimientos!$M$5:$M$2001,MATCH(A593&amp;"ENTRADA",Movimientos!$R$5:$R$2001,0))=0,"S/D",INDEX(Movimientos!$M$5:$M$2001,MATCH(A593&amp;"ENTRADA",Movimientos!$R$5:$R$2001,0))),"S/D")</f>
        <v>S/D</v>
      </c>
      <c r="I593" s="16" t="str">
        <f t="shared" ca="1" si="20"/>
        <v>S/D</v>
      </c>
      <c r="J593" s="6">
        <f>IF(A593="","",SUMIFS(Movimientos!$K:$K,Movimientos!$H:$H,A593))</f>
        <v>0</v>
      </c>
      <c r="K593" s="14" t="str">
        <f t="shared" ca="1" si="21"/>
        <v>OK</v>
      </c>
    </row>
    <row r="594" spans="1:11">
      <c r="A594" s="18" t="s">
        <v>2667</v>
      </c>
      <c r="B594" s="3" t="str">
        <f>IFERROR(INDEX(Movimientos!$C$5:$C$2001,MATCH(A594&amp;"ENTRADA",Movimientos!$R$5:$R$2001,0)),"-")</f>
        <v>-</v>
      </c>
      <c r="C594" s="3" t="str">
        <f>IFERROR(INDEX(Movimientos!$D$5:$D$2001,MATCH(A594&amp;"ENTRADA",Movimientos!$R$5:$R$2001,0)),"-")</f>
        <v>-</v>
      </c>
      <c r="D594" s="3" t="str">
        <f>IFERROR(INDEX(Movimientos!$E$5:$E$2001,MATCH(A594&amp;"ENTRADA",Movimientos!$R$5:$R$2001,0)),"-")</f>
        <v>-</v>
      </c>
      <c r="E594" s="3" t="str">
        <f>IFERROR(INDEX(Movimientos!$F$5:$F$2001,MATCH(A594&amp;"ENTRADA",Movimientos!$R$5:$R$2001,0)),"-")</f>
        <v>-</v>
      </c>
      <c r="F594" s="3" t="str">
        <f>IFERROR(INDEX(Movimientos!$G$5:$G$2001,MATCH(A594&amp;"ENTRADA",Movimientos!$R$5:$R$2001,0)),"-")</f>
        <v>-</v>
      </c>
      <c r="G594" s="3" t="str">
        <f>IFERROR(INDEX(Movimientos!$L$5:$L$2001,MATCH(A594&amp;"ENTRADA",Movimientos!$R$5:$R$2001,0)),"-")</f>
        <v>-</v>
      </c>
      <c r="H594" s="19" t="str">
        <f>IFERROR(IF(INDEX(Movimientos!$M$5:$M$2001,MATCH(A594&amp;"ENTRADA",Movimientos!$R$5:$R$2001,0))=0,"S/D",INDEX(Movimientos!$M$5:$M$2001,MATCH(A594&amp;"ENTRADA",Movimientos!$R$5:$R$2001,0))),"S/D")</f>
        <v>S/D</v>
      </c>
      <c r="I594" s="16" t="str">
        <f t="shared" ca="1" si="20"/>
        <v>S/D</v>
      </c>
      <c r="J594" s="6">
        <f>IF(A594="","",SUMIFS(Movimientos!$K:$K,Movimientos!$H:$H,A594))</f>
        <v>0</v>
      </c>
      <c r="K594" s="14" t="str">
        <f t="shared" ca="1" si="21"/>
        <v>OK</v>
      </c>
    </row>
    <row r="595" spans="1:11">
      <c r="A595" s="18" t="s">
        <v>2668</v>
      </c>
      <c r="B595" s="3" t="str">
        <f>IFERROR(INDEX(Movimientos!$C$5:$C$2001,MATCH(A595&amp;"ENTRADA",Movimientos!$R$5:$R$2001,0)),"-")</f>
        <v>-</v>
      </c>
      <c r="C595" s="3" t="str">
        <f>IFERROR(INDEX(Movimientos!$D$5:$D$2001,MATCH(A595&amp;"ENTRADA",Movimientos!$R$5:$R$2001,0)),"-")</f>
        <v>-</v>
      </c>
      <c r="D595" s="3" t="str">
        <f>IFERROR(INDEX(Movimientos!$E$5:$E$2001,MATCH(A595&amp;"ENTRADA",Movimientos!$R$5:$R$2001,0)),"-")</f>
        <v>-</v>
      </c>
      <c r="E595" s="3" t="str">
        <f>IFERROR(INDEX(Movimientos!$F$5:$F$2001,MATCH(A595&amp;"ENTRADA",Movimientos!$R$5:$R$2001,0)),"-")</f>
        <v>-</v>
      </c>
      <c r="F595" s="3" t="str">
        <f>IFERROR(INDEX(Movimientos!$G$5:$G$2001,MATCH(A595&amp;"ENTRADA",Movimientos!$R$5:$R$2001,0)),"-")</f>
        <v>-</v>
      </c>
      <c r="G595" s="3" t="str">
        <f>IFERROR(INDEX(Movimientos!$L$5:$L$2001,MATCH(A595&amp;"ENTRADA",Movimientos!$R$5:$R$2001,0)),"-")</f>
        <v>-</v>
      </c>
      <c r="H595" s="19" t="str">
        <f>IFERROR(IF(INDEX(Movimientos!$M$5:$M$2001,MATCH(A595&amp;"ENTRADA",Movimientos!$R$5:$R$2001,0))=0,"S/D",INDEX(Movimientos!$M$5:$M$2001,MATCH(A595&amp;"ENTRADA",Movimientos!$R$5:$R$2001,0))),"S/D")</f>
        <v>S/D</v>
      </c>
      <c r="I595" s="16" t="str">
        <f t="shared" ca="1" si="20"/>
        <v>S/D</v>
      </c>
      <c r="J595" s="6">
        <f>IF(A595="","",SUMIFS(Movimientos!$K:$K,Movimientos!$H:$H,A595))</f>
        <v>0</v>
      </c>
      <c r="K595" s="14" t="str">
        <f t="shared" ca="1" si="21"/>
        <v>OK</v>
      </c>
    </row>
    <row r="596" spans="1:11">
      <c r="A596" s="18" t="s">
        <v>2669</v>
      </c>
      <c r="B596" s="3" t="str">
        <f>IFERROR(INDEX(Movimientos!$C$5:$C$2001,MATCH(A596&amp;"ENTRADA",Movimientos!$R$5:$R$2001,0)),"-")</f>
        <v>-</v>
      </c>
      <c r="C596" s="3" t="str">
        <f>IFERROR(INDEX(Movimientos!$D$5:$D$2001,MATCH(A596&amp;"ENTRADA",Movimientos!$R$5:$R$2001,0)),"-")</f>
        <v>-</v>
      </c>
      <c r="D596" s="3" t="str">
        <f>IFERROR(INDEX(Movimientos!$E$5:$E$2001,MATCH(A596&amp;"ENTRADA",Movimientos!$R$5:$R$2001,0)),"-")</f>
        <v>-</v>
      </c>
      <c r="E596" s="3" t="str">
        <f>IFERROR(INDEX(Movimientos!$F$5:$F$2001,MATCH(A596&amp;"ENTRADA",Movimientos!$R$5:$R$2001,0)),"-")</f>
        <v>-</v>
      </c>
      <c r="F596" s="3" t="str">
        <f>IFERROR(INDEX(Movimientos!$G$5:$G$2001,MATCH(A596&amp;"ENTRADA",Movimientos!$R$5:$R$2001,0)),"-")</f>
        <v>-</v>
      </c>
      <c r="G596" s="3" t="str">
        <f>IFERROR(INDEX(Movimientos!$L$5:$L$2001,MATCH(A596&amp;"ENTRADA",Movimientos!$R$5:$R$2001,0)),"-")</f>
        <v>-</v>
      </c>
      <c r="H596" s="19" t="str">
        <f>IFERROR(IF(INDEX(Movimientos!$M$5:$M$2001,MATCH(A596&amp;"ENTRADA",Movimientos!$R$5:$R$2001,0))=0,"S/D",INDEX(Movimientos!$M$5:$M$2001,MATCH(A596&amp;"ENTRADA",Movimientos!$R$5:$R$2001,0))),"S/D")</f>
        <v>S/D</v>
      </c>
      <c r="I596" s="16" t="str">
        <f t="shared" ca="1" si="20"/>
        <v>S/D</v>
      </c>
      <c r="J596" s="6">
        <f>IF(A596="","",SUMIFS(Movimientos!$K:$K,Movimientos!$H:$H,A596))</f>
        <v>0</v>
      </c>
      <c r="K596" s="14" t="str">
        <f t="shared" ca="1" si="21"/>
        <v>OK</v>
      </c>
    </row>
    <row r="597" spans="1:11">
      <c r="A597" s="18" t="s">
        <v>2670</v>
      </c>
      <c r="B597" s="3" t="str">
        <f>IFERROR(INDEX(Movimientos!$C$5:$C$2001,MATCH(A597&amp;"ENTRADA",Movimientos!$R$5:$R$2001,0)),"-")</f>
        <v>-</v>
      </c>
      <c r="C597" s="3" t="str">
        <f>IFERROR(INDEX(Movimientos!$D$5:$D$2001,MATCH(A597&amp;"ENTRADA",Movimientos!$R$5:$R$2001,0)),"-")</f>
        <v>-</v>
      </c>
      <c r="D597" s="3" t="str">
        <f>IFERROR(INDEX(Movimientos!$E$5:$E$2001,MATCH(A597&amp;"ENTRADA",Movimientos!$R$5:$R$2001,0)),"-")</f>
        <v>-</v>
      </c>
      <c r="E597" s="3" t="str">
        <f>IFERROR(INDEX(Movimientos!$F$5:$F$2001,MATCH(A597&amp;"ENTRADA",Movimientos!$R$5:$R$2001,0)),"-")</f>
        <v>-</v>
      </c>
      <c r="F597" s="3" t="str">
        <f>IFERROR(INDEX(Movimientos!$G$5:$G$2001,MATCH(A597&amp;"ENTRADA",Movimientos!$R$5:$R$2001,0)),"-")</f>
        <v>-</v>
      </c>
      <c r="G597" s="3" t="str">
        <f>IFERROR(INDEX(Movimientos!$L$5:$L$2001,MATCH(A597&amp;"ENTRADA",Movimientos!$R$5:$R$2001,0)),"-")</f>
        <v>-</v>
      </c>
      <c r="H597" s="19" t="str">
        <f>IFERROR(IF(INDEX(Movimientos!$M$5:$M$2001,MATCH(A597&amp;"ENTRADA",Movimientos!$R$5:$R$2001,0))=0,"S/D",INDEX(Movimientos!$M$5:$M$2001,MATCH(A597&amp;"ENTRADA",Movimientos!$R$5:$R$2001,0))),"S/D")</f>
        <v>S/D</v>
      </c>
      <c r="I597" s="16" t="str">
        <f t="shared" ca="1" si="20"/>
        <v>S/D</v>
      </c>
      <c r="J597" s="6">
        <f>IF(A597="","",SUMIFS(Movimientos!$K:$K,Movimientos!$H:$H,A597))</f>
        <v>0</v>
      </c>
      <c r="K597" s="14" t="str">
        <f t="shared" ca="1" si="21"/>
        <v>OK</v>
      </c>
    </row>
    <row r="598" spans="1:11">
      <c r="A598" s="18" t="s">
        <v>2671</v>
      </c>
      <c r="B598" s="3" t="str">
        <f>IFERROR(INDEX(Movimientos!$C$5:$C$2001,MATCH(A598&amp;"ENTRADA",Movimientos!$R$5:$R$2001,0)),"-")</f>
        <v>-</v>
      </c>
      <c r="C598" s="3" t="str">
        <f>IFERROR(INDEX(Movimientos!$D$5:$D$2001,MATCH(A598&amp;"ENTRADA",Movimientos!$R$5:$R$2001,0)),"-")</f>
        <v>-</v>
      </c>
      <c r="D598" s="3" t="str">
        <f>IFERROR(INDEX(Movimientos!$E$5:$E$2001,MATCH(A598&amp;"ENTRADA",Movimientos!$R$5:$R$2001,0)),"-")</f>
        <v>-</v>
      </c>
      <c r="E598" s="3" t="str">
        <f>IFERROR(INDEX(Movimientos!$F$5:$F$2001,MATCH(A598&amp;"ENTRADA",Movimientos!$R$5:$R$2001,0)),"-")</f>
        <v>-</v>
      </c>
      <c r="F598" s="3" t="str">
        <f>IFERROR(INDEX(Movimientos!$G$5:$G$2001,MATCH(A598&amp;"ENTRADA",Movimientos!$R$5:$R$2001,0)),"-")</f>
        <v>-</v>
      </c>
      <c r="G598" s="3" t="str">
        <f>IFERROR(INDEX(Movimientos!$L$5:$L$2001,MATCH(A598&amp;"ENTRADA",Movimientos!$R$5:$R$2001,0)),"-")</f>
        <v>-</v>
      </c>
      <c r="H598" s="19" t="str">
        <f>IFERROR(IF(INDEX(Movimientos!$M$5:$M$2001,MATCH(A598&amp;"ENTRADA",Movimientos!$R$5:$R$2001,0))=0,"S/D",INDEX(Movimientos!$M$5:$M$2001,MATCH(A598&amp;"ENTRADA",Movimientos!$R$5:$R$2001,0))),"S/D")</f>
        <v>S/D</v>
      </c>
      <c r="I598" s="16" t="str">
        <f t="shared" ca="1" si="20"/>
        <v>S/D</v>
      </c>
      <c r="J598" s="6">
        <f>IF(A598="","",SUMIFS(Movimientos!$K:$K,Movimientos!$H:$H,A598))</f>
        <v>0</v>
      </c>
      <c r="K598" s="14" t="str">
        <f t="shared" ca="1" si="21"/>
        <v>OK</v>
      </c>
    </row>
    <row r="599" spans="1:11">
      <c r="A599" s="18" t="s">
        <v>2672</v>
      </c>
      <c r="B599" s="3" t="str">
        <f>IFERROR(INDEX(Movimientos!$C$5:$C$2001,MATCH(A599&amp;"ENTRADA",Movimientos!$R$5:$R$2001,0)),"-")</f>
        <v>-</v>
      </c>
      <c r="C599" s="3" t="str">
        <f>IFERROR(INDEX(Movimientos!$D$5:$D$2001,MATCH(A599&amp;"ENTRADA",Movimientos!$R$5:$R$2001,0)),"-")</f>
        <v>-</v>
      </c>
      <c r="D599" s="3" t="str">
        <f>IFERROR(INDEX(Movimientos!$E$5:$E$2001,MATCH(A599&amp;"ENTRADA",Movimientos!$R$5:$R$2001,0)),"-")</f>
        <v>-</v>
      </c>
      <c r="E599" s="3" t="str">
        <f>IFERROR(INDEX(Movimientos!$F$5:$F$2001,MATCH(A599&amp;"ENTRADA",Movimientos!$R$5:$R$2001,0)),"-")</f>
        <v>-</v>
      </c>
      <c r="F599" s="3" t="str">
        <f>IFERROR(INDEX(Movimientos!$G$5:$G$2001,MATCH(A599&amp;"ENTRADA",Movimientos!$R$5:$R$2001,0)),"-")</f>
        <v>-</v>
      </c>
      <c r="G599" s="3" t="str">
        <f>IFERROR(INDEX(Movimientos!$L$5:$L$2001,MATCH(A599&amp;"ENTRADA",Movimientos!$R$5:$R$2001,0)),"-")</f>
        <v>-</v>
      </c>
      <c r="H599" s="19" t="str">
        <f>IFERROR(IF(INDEX(Movimientos!$M$5:$M$2001,MATCH(A599&amp;"ENTRADA",Movimientos!$R$5:$R$2001,0))=0,"S/D",INDEX(Movimientos!$M$5:$M$2001,MATCH(A599&amp;"ENTRADA",Movimientos!$R$5:$R$2001,0))),"S/D")</f>
        <v>S/D</v>
      </c>
      <c r="I599" s="16" t="str">
        <f t="shared" ca="1" si="20"/>
        <v>S/D</v>
      </c>
      <c r="J599" s="6">
        <f>IF(A599="","",SUMIFS(Movimientos!$K:$K,Movimientos!$H:$H,A599))</f>
        <v>0</v>
      </c>
      <c r="K599" s="14" t="str">
        <f t="shared" ca="1" si="21"/>
        <v>OK</v>
      </c>
    </row>
    <row r="600" spans="1:11">
      <c r="A600" s="18" t="s">
        <v>2673</v>
      </c>
      <c r="B600" s="3" t="str">
        <f>IFERROR(INDEX(Movimientos!$C$5:$C$2001,MATCH(A600&amp;"ENTRADA",Movimientos!$R$5:$R$2001,0)),"-")</f>
        <v>-</v>
      </c>
      <c r="C600" s="3" t="str">
        <f>IFERROR(INDEX(Movimientos!$D$5:$D$2001,MATCH(A600&amp;"ENTRADA",Movimientos!$R$5:$R$2001,0)),"-")</f>
        <v>-</v>
      </c>
      <c r="D600" s="3" t="str">
        <f>IFERROR(INDEX(Movimientos!$E$5:$E$2001,MATCH(A600&amp;"ENTRADA",Movimientos!$R$5:$R$2001,0)),"-")</f>
        <v>-</v>
      </c>
      <c r="E600" s="3" t="str">
        <f>IFERROR(INDEX(Movimientos!$F$5:$F$2001,MATCH(A600&amp;"ENTRADA",Movimientos!$R$5:$R$2001,0)),"-")</f>
        <v>-</v>
      </c>
      <c r="F600" s="3" t="str">
        <f>IFERROR(INDEX(Movimientos!$G$5:$G$2001,MATCH(A600&amp;"ENTRADA",Movimientos!$R$5:$R$2001,0)),"-")</f>
        <v>-</v>
      </c>
      <c r="G600" s="3" t="str">
        <f>IFERROR(INDEX(Movimientos!$L$5:$L$2001,MATCH(A600&amp;"ENTRADA",Movimientos!$R$5:$R$2001,0)),"-")</f>
        <v>-</v>
      </c>
      <c r="H600" s="19" t="str">
        <f>IFERROR(IF(INDEX(Movimientos!$M$5:$M$2001,MATCH(A600&amp;"ENTRADA",Movimientos!$R$5:$R$2001,0))=0,"S/D",INDEX(Movimientos!$M$5:$M$2001,MATCH(A600&amp;"ENTRADA",Movimientos!$R$5:$R$2001,0))),"S/D")</f>
        <v>S/D</v>
      </c>
      <c r="I600" s="16" t="str">
        <f t="shared" ca="1" si="20"/>
        <v>S/D</v>
      </c>
      <c r="J600" s="6">
        <f>IF(A600="","",SUMIFS(Movimientos!$K:$K,Movimientos!$H:$H,A600))</f>
        <v>0</v>
      </c>
      <c r="K600" s="14" t="str">
        <f t="shared" ca="1" si="21"/>
        <v>OK</v>
      </c>
    </row>
    <row r="601" spans="1:11">
      <c r="A601" s="18" t="s">
        <v>2674</v>
      </c>
      <c r="B601" s="3" t="str">
        <f>IFERROR(INDEX(Movimientos!$C$5:$C$2001,MATCH(A601&amp;"ENTRADA",Movimientos!$R$5:$R$2001,0)),"-")</f>
        <v>-</v>
      </c>
      <c r="C601" s="3" t="str">
        <f>IFERROR(INDEX(Movimientos!$D$5:$D$2001,MATCH(A601&amp;"ENTRADA",Movimientos!$R$5:$R$2001,0)),"-")</f>
        <v>-</v>
      </c>
      <c r="D601" s="3" t="str">
        <f>IFERROR(INDEX(Movimientos!$E$5:$E$2001,MATCH(A601&amp;"ENTRADA",Movimientos!$R$5:$R$2001,0)),"-")</f>
        <v>-</v>
      </c>
      <c r="E601" s="3" t="str">
        <f>IFERROR(INDEX(Movimientos!$F$5:$F$2001,MATCH(A601&amp;"ENTRADA",Movimientos!$R$5:$R$2001,0)),"-")</f>
        <v>-</v>
      </c>
      <c r="F601" s="3" t="str">
        <f>IFERROR(INDEX(Movimientos!$G$5:$G$2001,MATCH(A601&amp;"ENTRADA",Movimientos!$R$5:$R$2001,0)),"-")</f>
        <v>-</v>
      </c>
      <c r="G601" s="3" t="str">
        <f>IFERROR(INDEX(Movimientos!$L$5:$L$2001,MATCH(A601&amp;"ENTRADA",Movimientos!$R$5:$R$2001,0)),"-")</f>
        <v>-</v>
      </c>
      <c r="H601" s="19" t="str">
        <f>IFERROR(IF(INDEX(Movimientos!$M$5:$M$2001,MATCH(A601&amp;"ENTRADA",Movimientos!$R$5:$R$2001,0))=0,"S/D",INDEX(Movimientos!$M$5:$M$2001,MATCH(A601&amp;"ENTRADA",Movimientos!$R$5:$R$2001,0))),"S/D")</f>
        <v>S/D</v>
      </c>
      <c r="I601" s="16" t="str">
        <f t="shared" ca="1" si="20"/>
        <v>S/D</v>
      </c>
      <c r="J601" s="6">
        <f>IF(A601="","",SUMIFS(Movimientos!$K:$K,Movimientos!$H:$H,A601))</f>
        <v>0</v>
      </c>
      <c r="K601" s="14" t="str">
        <f t="shared" ca="1" si="21"/>
        <v>OK</v>
      </c>
    </row>
    <row r="602" spans="1:11">
      <c r="A602" s="18" t="s">
        <v>2675</v>
      </c>
      <c r="B602" s="3" t="str">
        <f>IFERROR(INDEX(Movimientos!$C$5:$C$2001,MATCH(A602&amp;"ENTRADA",Movimientos!$R$5:$R$2001,0)),"-")</f>
        <v>-</v>
      </c>
      <c r="C602" s="3" t="str">
        <f>IFERROR(INDEX(Movimientos!$D$5:$D$2001,MATCH(A602&amp;"ENTRADA",Movimientos!$R$5:$R$2001,0)),"-")</f>
        <v>-</v>
      </c>
      <c r="D602" s="3" t="str">
        <f>IFERROR(INDEX(Movimientos!$E$5:$E$2001,MATCH(A602&amp;"ENTRADA",Movimientos!$R$5:$R$2001,0)),"-")</f>
        <v>-</v>
      </c>
      <c r="E602" s="3" t="str">
        <f>IFERROR(INDEX(Movimientos!$F$5:$F$2001,MATCH(A602&amp;"ENTRADA",Movimientos!$R$5:$R$2001,0)),"-")</f>
        <v>-</v>
      </c>
      <c r="F602" s="3" t="str">
        <f>IFERROR(INDEX(Movimientos!$G$5:$G$2001,MATCH(A602&amp;"ENTRADA",Movimientos!$R$5:$R$2001,0)),"-")</f>
        <v>-</v>
      </c>
      <c r="G602" s="3" t="str">
        <f>IFERROR(INDEX(Movimientos!$L$5:$L$2001,MATCH(A602&amp;"ENTRADA",Movimientos!$R$5:$R$2001,0)),"-")</f>
        <v>-</v>
      </c>
      <c r="H602" s="19" t="str">
        <f>IFERROR(IF(INDEX(Movimientos!$M$5:$M$2001,MATCH(A602&amp;"ENTRADA",Movimientos!$R$5:$R$2001,0))=0,"S/D",INDEX(Movimientos!$M$5:$M$2001,MATCH(A602&amp;"ENTRADA",Movimientos!$R$5:$R$2001,0))),"S/D")</f>
        <v>S/D</v>
      </c>
      <c r="I602" s="16" t="str">
        <f t="shared" ca="1" si="20"/>
        <v>S/D</v>
      </c>
      <c r="J602" s="6">
        <f>IF(A602="","",SUMIFS(Movimientos!$K:$K,Movimientos!$H:$H,A602))</f>
        <v>0</v>
      </c>
      <c r="K602" s="14" t="str">
        <f t="shared" ca="1" si="21"/>
        <v>OK</v>
      </c>
    </row>
    <row r="603" spans="1:11">
      <c r="A603" s="18" t="s">
        <v>2676</v>
      </c>
      <c r="B603" s="3" t="str">
        <f>IFERROR(INDEX(Movimientos!$C$5:$C$2001,MATCH(A603&amp;"ENTRADA",Movimientos!$R$5:$R$2001,0)),"-")</f>
        <v>-</v>
      </c>
      <c r="C603" s="3" t="str">
        <f>IFERROR(INDEX(Movimientos!$D$5:$D$2001,MATCH(A603&amp;"ENTRADA",Movimientos!$R$5:$R$2001,0)),"-")</f>
        <v>-</v>
      </c>
      <c r="D603" s="3" t="str">
        <f>IFERROR(INDEX(Movimientos!$E$5:$E$2001,MATCH(A603&amp;"ENTRADA",Movimientos!$R$5:$R$2001,0)),"-")</f>
        <v>-</v>
      </c>
      <c r="E603" s="3" t="str">
        <f>IFERROR(INDEX(Movimientos!$F$5:$F$2001,MATCH(A603&amp;"ENTRADA",Movimientos!$R$5:$R$2001,0)),"-")</f>
        <v>-</v>
      </c>
      <c r="F603" s="3" t="str">
        <f>IFERROR(INDEX(Movimientos!$G$5:$G$2001,MATCH(A603&amp;"ENTRADA",Movimientos!$R$5:$R$2001,0)),"-")</f>
        <v>-</v>
      </c>
      <c r="G603" s="3" t="str">
        <f>IFERROR(INDEX(Movimientos!$L$5:$L$2001,MATCH(A603&amp;"ENTRADA",Movimientos!$R$5:$R$2001,0)),"-")</f>
        <v>-</v>
      </c>
      <c r="H603" s="19" t="str">
        <f>IFERROR(IF(INDEX(Movimientos!$M$5:$M$2001,MATCH(A603&amp;"ENTRADA",Movimientos!$R$5:$R$2001,0))=0,"S/D",INDEX(Movimientos!$M$5:$M$2001,MATCH(A603&amp;"ENTRADA",Movimientos!$R$5:$R$2001,0))),"S/D")</f>
        <v>S/D</v>
      </c>
      <c r="I603" s="16" t="str">
        <f t="shared" ca="1" si="20"/>
        <v>S/D</v>
      </c>
      <c r="J603" s="6">
        <f>IF(A603="","",SUMIFS(Movimientos!$K:$K,Movimientos!$H:$H,A603))</f>
        <v>0</v>
      </c>
      <c r="K603" s="14" t="str">
        <f t="shared" ca="1" si="21"/>
        <v>OK</v>
      </c>
    </row>
    <row r="604" spans="1:11">
      <c r="A604" s="18" t="s">
        <v>2677</v>
      </c>
      <c r="B604" s="3" t="str">
        <f>IFERROR(INDEX(Movimientos!$C$5:$C$2001,MATCH(A604&amp;"ENTRADA",Movimientos!$R$5:$R$2001,0)),"-")</f>
        <v>-</v>
      </c>
      <c r="C604" s="3" t="str">
        <f>IFERROR(INDEX(Movimientos!$D$5:$D$2001,MATCH(A604&amp;"ENTRADA",Movimientos!$R$5:$R$2001,0)),"-")</f>
        <v>-</v>
      </c>
      <c r="D604" s="3" t="str">
        <f>IFERROR(INDEX(Movimientos!$E$5:$E$2001,MATCH(A604&amp;"ENTRADA",Movimientos!$R$5:$R$2001,0)),"-")</f>
        <v>-</v>
      </c>
      <c r="E604" s="3" t="str">
        <f>IFERROR(INDEX(Movimientos!$F$5:$F$2001,MATCH(A604&amp;"ENTRADA",Movimientos!$R$5:$R$2001,0)),"-")</f>
        <v>-</v>
      </c>
      <c r="F604" s="3" t="str">
        <f>IFERROR(INDEX(Movimientos!$G$5:$G$2001,MATCH(A604&amp;"ENTRADA",Movimientos!$R$5:$R$2001,0)),"-")</f>
        <v>-</v>
      </c>
      <c r="G604" s="3" t="str">
        <f>IFERROR(INDEX(Movimientos!$L$5:$L$2001,MATCH(A604&amp;"ENTRADA",Movimientos!$R$5:$R$2001,0)),"-")</f>
        <v>-</v>
      </c>
      <c r="H604" s="19" t="str">
        <f>IFERROR(IF(INDEX(Movimientos!$M$5:$M$2001,MATCH(A604&amp;"ENTRADA",Movimientos!$R$5:$R$2001,0))=0,"S/D",INDEX(Movimientos!$M$5:$M$2001,MATCH(A604&amp;"ENTRADA",Movimientos!$R$5:$R$2001,0))),"S/D")</f>
        <v>S/D</v>
      </c>
      <c r="I604" s="16" t="str">
        <f t="shared" ca="1" si="20"/>
        <v>S/D</v>
      </c>
      <c r="J604" s="6">
        <f>IF(A604="","",SUMIFS(Movimientos!$K:$K,Movimientos!$H:$H,A604))</f>
        <v>0</v>
      </c>
      <c r="K604" s="14" t="str">
        <f t="shared" ca="1" si="21"/>
        <v>OK</v>
      </c>
    </row>
    <row r="605" spans="1:11">
      <c r="A605" s="18" t="s">
        <v>2678</v>
      </c>
      <c r="B605" s="3" t="str">
        <f>IFERROR(INDEX(Movimientos!$C$5:$C$2001,MATCH(A605&amp;"ENTRADA",Movimientos!$R$5:$R$2001,0)),"-")</f>
        <v>-</v>
      </c>
      <c r="C605" s="3" t="str">
        <f>IFERROR(INDEX(Movimientos!$D$5:$D$2001,MATCH(A605&amp;"ENTRADA",Movimientos!$R$5:$R$2001,0)),"-")</f>
        <v>-</v>
      </c>
      <c r="D605" s="3" t="str">
        <f>IFERROR(INDEX(Movimientos!$E$5:$E$2001,MATCH(A605&amp;"ENTRADA",Movimientos!$R$5:$R$2001,0)),"-")</f>
        <v>-</v>
      </c>
      <c r="E605" s="3" t="str">
        <f>IFERROR(INDEX(Movimientos!$F$5:$F$2001,MATCH(A605&amp;"ENTRADA",Movimientos!$R$5:$R$2001,0)),"-")</f>
        <v>-</v>
      </c>
      <c r="F605" s="3" t="str">
        <f>IFERROR(INDEX(Movimientos!$G$5:$G$2001,MATCH(A605&amp;"ENTRADA",Movimientos!$R$5:$R$2001,0)),"-")</f>
        <v>-</v>
      </c>
      <c r="G605" s="3" t="str">
        <f>IFERROR(INDEX(Movimientos!$L$5:$L$2001,MATCH(A605&amp;"ENTRADA",Movimientos!$R$5:$R$2001,0)),"-")</f>
        <v>-</v>
      </c>
      <c r="H605" s="19" t="str">
        <f>IFERROR(IF(INDEX(Movimientos!$M$5:$M$2001,MATCH(A605&amp;"ENTRADA",Movimientos!$R$5:$R$2001,0))=0,"S/D",INDEX(Movimientos!$M$5:$M$2001,MATCH(A605&amp;"ENTRADA",Movimientos!$R$5:$R$2001,0))),"S/D")</f>
        <v>S/D</v>
      </c>
      <c r="I605" s="16" t="str">
        <f t="shared" ca="1" si="20"/>
        <v>S/D</v>
      </c>
      <c r="J605" s="6">
        <f>IF(A605="","",SUMIFS(Movimientos!$K:$K,Movimientos!$H:$H,A605))</f>
        <v>0</v>
      </c>
      <c r="K605" s="14" t="str">
        <f t="shared" ca="1" si="21"/>
        <v>OK</v>
      </c>
    </row>
    <row r="606" spans="1:11">
      <c r="A606" s="18" t="s">
        <v>2679</v>
      </c>
      <c r="B606" s="3" t="str">
        <f>IFERROR(INDEX(Movimientos!$C$5:$C$2001,MATCH(A606&amp;"ENTRADA",Movimientos!$R$5:$R$2001,0)),"-")</f>
        <v>-</v>
      </c>
      <c r="C606" s="3" t="str">
        <f>IFERROR(INDEX(Movimientos!$D$5:$D$2001,MATCH(A606&amp;"ENTRADA",Movimientos!$R$5:$R$2001,0)),"-")</f>
        <v>-</v>
      </c>
      <c r="D606" s="3" t="str">
        <f>IFERROR(INDEX(Movimientos!$E$5:$E$2001,MATCH(A606&amp;"ENTRADA",Movimientos!$R$5:$R$2001,0)),"-")</f>
        <v>-</v>
      </c>
      <c r="E606" s="3" t="str">
        <f>IFERROR(INDEX(Movimientos!$F$5:$F$2001,MATCH(A606&amp;"ENTRADA",Movimientos!$R$5:$R$2001,0)),"-")</f>
        <v>-</v>
      </c>
      <c r="F606" s="3" t="str">
        <f>IFERROR(INDEX(Movimientos!$G$5:$G$2001,MATCH(A606&amp;"ENTRADA",Movimientos!$R$5:$R$2001,0)),"-")</f>
        <v>-</v>
      </c>
      <c r="G606" s="3" t="str">
        <f>IFERROR(INDEX(Movimientos!$L$5:$L$2001,MATCH(A606&amp;"ENTRADA",Movimientos!$R$5:$R$2001,0)),"-")</f>
        <v>-</v>
      </c>
      <c r="H606" s="19" t="str">
        <f>IFERROR(IF(INDEX(Movimientos!$M$5:$M$2001,MATCH(A606&amp;"ENTRADA",Movimientos!$R$5:$R$2001,0))=0,"S/D",INDEX(Movimientos!$M$5:$M$2001,MATCH(A606&amp;"ENTRADA",Movimientos!$R$5:$R$2001,0))),"S/D")</f>
        <v>S/D</v>
      </c>
      <c r="I606" s="16" t="str">
        <f t="shared" ca="1" si="20"/>
        <v>S/D</v>
      </c>
      <c r="J606" s="6">
        <f>IF(A606="","",SUMIFS(Movimientos!$K:$K,Movimientos!$H:$H,A606))</f>
        <v>0</v>
      </c>
      <c r="K606" s="14" t="str">
        <f t="shared" ca="1" si="21"/>
        <v>OK</v>
      </c>
    </row>
    <row r="607" spans="1:11">
      <c r="A607" s="18" t="s">
        <v>2680</v>
      </c>
      <c r="B607" s="3" t="str">
        <f>IFERROR(INDEX(Movimientos!$C$5:$C$2001,MATCH(A607&amp;"ENTRADA",Movimientos!$R$5:$R$2001,0)),"-")</f>
        <v>-</v>
      </c>
      <c r="C607" s="3" t="str">
        <f>IFERROR(INDEX(Movimientos!$D$5:$D$2001,MATCH(A607&amp;"ENTRADA",Movimientos!$R$5:$R$2001,0)),"-")</f>
        <v>-</v>
      </c>
      <c r="D607" s="3" t="str">
        <f>IFERROR(INDEX(Movimientos!$E$5:$E$2001,MATCH(A607&amp;"ENTRADA",Movimientos!$R$5:$R$2001,0)),"-")</f>
        <v>-</v>
      </c>
      <c r="E607" s="3" t="str">
        <f>IFERROR(INDEX(Movimientos!$F$5:$F$2001,MATCH(A607&amp;"ENTRADA",Movimientos!$R$5:$R$2001,0)),"-")</f>
        <v>-</v>
      </c>
      <c r="F607" s="3" t="str">
        <f>IFERROR(INDEX(Movimientos!$G$5:$G$2001,MATCH(A607&amp;"ENTRADA",Movimientos!$R$5:$R$2001,0)),"-")</f>
        <v>-</v>
      </c>
      <c r="G607" s="3" t="str">
        <f>IFERROR(INDEX(Movimientos!$L$5:$L$2001,MATCH(A607&amp;"ENTRADA",Movimientos!$R$5:$R$2001,0)),"-")</f>
        <v>-</v>
      </c>
      <c r="H607" s="19" t="str">
        <f>IFERROR(IF(INDEX(Movimientos!$M$5:$M$2001,MATCH(A607&amp;"ENTRADA",Movimientos!$R$5:$R$2001,0))=0,"S/D",INDEX(Movimientos!$M$5:$M$2001,MATCH(A607&amp;"ENTRADA",Movimientos!$R$5:$R$2001,0))),"S/D")</f>
        <v>S/D</v>
      </c>
      <c r="I607" s="16" t="str">
        <f t="shared" ca="1" si="20"/>
        <v>S/D</v>
      </c>
      <c r="J607" s="6">
        <f>IF(A607="","",SUMIFS(Movimientos!$K:$K,Movimientos!$H:$H,A607))</f>
        <v>0</v>
      </c>
      <c r="K607" s="14" t="str">
        <f t="shared" ca="1" si="21"/>
        <v>OK</v>
      </c>
    </row>
    <row r="608" spans="1:11">
      <c r="A608" s="18" t="s">
        <v>2681</v>
      </c>
      <c r="B608" s="3" t="str">
        <f>IFERROR(INDEX(Movimientos!$C$5:$C$2001,MATCH(A608&amp;"ENTRADA",Movimientos!$R$5:$R$2001,0)),"-")</f>
        <v>-</v>
      </c>
      <c r="C608" s="3" t="str">
        <f>IFERROR(INDEX(Movimientos!$D$5:$D$2001,MATCH(A608&amp;"ENTRADA",Movimientos!$R$5:$R$2001,0)),"-")</f>
        <v>-</v>
      </c>
      <c r="D608" s="3" t="str">
        <f>IFERROR(INDEX(Movimientos!$E$5:$E$2001,MATCH(A608&amp;"ENTRADA",Movimientos!$R$5:$R$2001,0)),"-")</f>
        <v>-</v>
      </c>
      <c r="E608" s="3" t="str">
        <f>IFERROR(INDEX(Movimientos!$F$5:$F$2001,MATCH(A608&amp;"ENTRADA",Movimientos!$R$5:$R$2001,0)),"-")</f>
        <v>-</v>
      </c>
      <c r="F608" s="3" t="str">
        <f>IFERROR(INDEX(Movimientos!$G$5:$G$2001,MATCH(A608&amp;"ENTRADA",Movimientos!$R$5:$R$2001,0)),"-")</f>
        <v>-</v>
      </c>
      <c r="G608" s="3" t="str">
        <f>IFERROR(INDEX(Movimientos!$L$5:$L$2001,MATCH(A608&amp;"ENTRADA",Movimientos!$R$5:$R$2001,0)),"-")</f>
        <v>-</v>
      </c>
      <c r="H608" s="19" t="str">
        <f>IFERROR(IF(INDEX(Movimientos!$M$5:$M$2001,MATCH(A608&amp;"ENTRADA",Movimientos!$R$5:$R$2001,0))=0,"S/D",INDEX(Movimientos!$M$5:$M$2001,MATCH(A608&amp;"ENTRADA",Movimientos!$R$5:$R$2001,0))),"S/D")</f>
        <v>S/D</v>
      </c>
      <c r="I608" s="16" t="str">
        <f t="shared" ca="1" si="20"/>
        <v>S/D</v>
      </c>
      <c r="J608" s="6">
        <f>IF(A608="","",SUMIFS(Movimientos!$K:$K,Movimientos!$H:$H,A608))</f>
        <v>0</v>
      </c>
      <c r="K608" s="14" t="str">
        <f t="shared" ca="1" si="21"/>
        <v>OK</v>
      </c>
    </row>
    <row r="609" spans="1:11">
      <c r="A609" s="18" t="s">
        <v>2682</v>
      </c>
      <c r="B609" s="3" t="str">
        <f>IFERROR(INDEX(Movimientos!$C$5:$C$2001,MATCH(A609&amp;"ENTRADA",Movimientos!$R$5:$R$2001,0)),"-")</f>
        <v>-</v>
      </c>
      <c r="C609" s="3" t="str">
        <f>IFERROR(INDEX(Movimientos!$D$5:$D$2001,MATCH(A609&amp;"ENTRADA",Movimientos!$R$5:$R$2001,0)),"-")</f>
        <v>-</v>
      </c>
      <c r="D609" s="3" t="str">
        <f>IFERROR(INDEX(Movimientos!$E$5:$E$2001,MATCH(A609&amp;"ENTRADA",Movimientos!$R$5:$R$2001,0)),"-")</f>
        <v>-</v>
      </c>
      <c r="E609" s="3" t="str">
        <f>IFERROR(INDEX(Movimientos!$F$5:$F$2001,MATCH(A609&amp;"ENTRADA",Movimientos!$R$5:$R$2001,0)),"-")</f>
        <v>-</v>
      </c>
      <c r="F609" s="3" t="str">
        <f>IFERROR(INDEX(Movimientos!$G$5:$G$2001,MATCH(A609&amp;"ENTRADA",Movimientos!$R$5:$R$2001,0)),"-")</f>
        <v>-</v>
      </c>
      <c r="G609" s="3" t="str">
        <f>IFERROR(INDEX(Movimientos!$L$5:$L$2001,MATCH(A609&amp;"ENTRADA",Movimientos!$R$5:$R$2001,0)),"-")</f>
        <v>-</v>
      </c>
      <c r="H609" s="19" t="str">
        <f>IFERROR(IF(INDEX(Movimientos!$M$5:$M$2001,MATCH(A609&amp;"ENTRADA",Movimientos!$R$5:$R$2001,0))=0,"S/D",INDEX(Movimientos!$M$5:$M$2001,MATCH(A609&amp;"ENTRADA",Movimientos!$R$5:$R$2001,0))),"S/D")</f>
        <v>S/D</v>
      </c>
      <c r="I609" s="16" t="str">
        <f t="shared" ca="1" si="20"/>
        <v>S/D</v>
      </c>
      <c r="J609" s="6">
        <f>IF(A609="","",SUMIFS(Movimientos!$K:$K,Movimientos!$H:$H,A609))</f>
        <v>0</v>
      </c>
      <c r="K609" s="14" t="str">
        <f t="shared" ca="1" si="21"/>
        <v>OK</v>
      </c>
    </row>
    <row r="610" spans="1:11">
      <c r="A610" s="18" t="s">
        <v>2683</v>
      </c>
      <c r="B610" s="3" t="str">
        <f>IFERROR(INDEX(Movimientos!$C$5:$C$2001,MATCH(A610&amp;"ENTRADA",Movimientos!$R$5:$R$2001,0)),"-")</f>
        <v>-</v>
      </c>
      <c r="C610" s="3" t="str">
        <f>IFERROR(INDEX(Movimientos!$D$5:$D$2001,MATCH(A610&amp;"ENTRADA",Movimientos!$R$5:$R$2001,0)),"-")</f>
        <v>-</v>
      </c>
      <c r="D610" s="3" t="str">
        <f>IFERROR(INDEX(Movimientos!$E$5:$E$2001,MATCH(A610&amp;"ENTRADA",Movimientos!$R$5:$R$2001,0)),"-")</f>
        <v>-</v>
      </c>
      <c r="E610" s="3" t="str">
        <f>IFERROR(INDEX(Movimientos!$F$5:$F$2001,MATCH(A610&amp;"ENTRADA",Movimientos!$R$5:$R$2001,0)),"-")</f>
        <v>-</v>
      </c>
      <c r="F610" s="3" t="str">
        <f>IFERROR(INDEX(Movimientos!$G$5:$G$2001,MATCH(A610&amp;"ENTRADA",Movimientos!$R$5:$R$2001,0)),"-")</f>
        <v>-</v>
      </c>
      <c r="G610" s="3" t="str">
        <f>IFERROR(INDEX(Movimientos!$L$5:$L$2001,MATCH(A610&amp;"ENTRADA",Movimientos!$R$5:$R$2001,0)),"-")</f>
        <v>-</v>
      </c>
      <c r="H610" s="19" t="str">
        <f>IFERROR(IF(INDEX(Movimientos!$M$5:$M$2001,MATCH(A610&amp;"ENTRADA",Movimientos!$R$5:$R$2001,0))=0,"S/D",INDEX(Movimientos!$M$5:$M$2001,MATCH(A610&amp;"ENTRADA",Movimientos!$R$5:$R$2001,0))),"S/D")</f>
        <v>S/D</v>
      </c>
      <c r="I610" s="16" t="str">
        <f t="shared" ca="1" si="20"/>
        <v>S/D</v>
      </c>
      <c r="J610" s="6">
        <f>IF(A610="","",SUMIFS(Movimientos!$K:$K,Movimientos!$H:$H,A610))</f>
        <v>0</v>
      </c>
      <c r="K610" s="14" t="str">
        <f t="shared" ca="1" si="21"/>
        <v>OK</v>
      </c>
    </row>
    <row r="611" spans="1:11">
      <c r="A611" s="18" t="s">
        <v>2684</v>
      </c>
      <c r="B611" s="3" t="str">
        <f>IFERROR(INDEX(Movimientos!$C$5:$C$2001,MATCH(A611&amp;"ENTRADA",Movimientos!$R$5:$R$2001,0)),"-")</f>
        <v>-</v>
      </c>
      <c r="C611" s="3" t="str">
        <f>IFERROR(INDEX(Movimientos!$D$5:$D$2001,MATCH(A611&amp;"ENTRADA",Movimientos!$R$5:$R$2001,0)),"-")</f>
        <v>-</v>
      </c>
      <c r="D611" s="3" t="str">
        <f>IFERROR(INDEX(Movimientos!$E$5:$E$2001,MATCH(A611&amp;"ENTRADA",Movimientos!$R$5:$R$2001,0)),"-")</f>
        <v>-</v>
      </c>
      <c r="E611" s="3" t="str">
        <f>IFERROR(INDEX(Movimientos!$F$5:$F$2001,MATCH(A611&amp;"ENTRADA",Movimientos!$R$5:$R$2001,0)),"-")</f>
        <v>-</v>
      </c>
      <c r="F611" s="3" t="str">
        <f>IFERROR(INDEX(Movimientos!$G$5:$G$2001,MATCH(A611&amp;"ENTRADA",Movimientos!$R$5:$R$2001,0)),"-")</f>
        <v>-</v>
      </c>
      <c r="G611" s="3" t="str">
        <f>IFERROR(INDEX(Movimientos!$L$5:$L$2001,MATCH(A611&amp;"ENTRADA",Movimientos!$R$5:$R$2001,0)),"-")</f>
        <v>-</v>
      </c>
      <c r="H611" s="19" t="str">
        <f>IFERROR(IF(INDEX(Movimientos!$M$5:$M$2001,MATCH(A611&amp;"ENTRADA",Movimientos!$R$5:$R$2001,0))=0,"S/D",INDEX(Movimientos!$M$5:$M$2001,MATCH(A611&amp;"ENTRADA",Movimientos!$R$5:$R$2001,0))),"S/D")</f>
        <v>S/D</v>
      </c>
      <c r="I611" s="16" t="str">
        <f t="shared" ca="1" si="20"/>
        <v>S/D</v>
      </c>
      <c r="J611" s="6">
        <f>IF(A611="","",SUMIFS(Movimientos!$K:$K,Movimientos!$H:$H,A611))</f>
        <v>0</v>
      </c>
      <c r="K611" s="14" t="str">
        <f t="shared" ca="1" si="21"/>
        <v>OK</v>
      </c>
    </row>
    <row r="612" spans="1:11">
      <c r="A612" s="18" t="s">
        <v>2685</v>
      </c>
      <c r="B612" s="3" t="str">
        <f>IFERROR(INDEX(Movimientos!$C$5:$C$2001,MATCH(A612&amp;"ENTRADA",Movimientos!$R$5:$R$2001,0)),"-")</f>
        <v>-</v>
      </c>
      <c r="C612" s="3" t="str">
        <f>IFERROR(INDEX(Movimientos!$D$5:$D$2001,MATCH(A612&amp;"ENTRADA",Movimientos!$R$5:$R$2001,0)),"-")</f>
        <v>-</v>
      </c>
      <c r="D612" s="3" t="str">
        <f>IFERROR(INDEX(Movimientos!$E$5:$E$2001,MATCH(A612&amp;"ENTRADA",Movimientos!$R$5:$R$2001,0)),"-")</f>
        <v>-</v>
      </c>
      <c r="E612" s="3" t="str">
        <f>IFERROR(INDEX(Movimientos!$F$5:$F$2001,MATCH(A612&amp;"ENTRADA",Movimientos!$R$5:$R$2001,0)),"-")</f>
        <v>-</v>
      </c>
      <c r="F612" s="3" t="str">
        <f>IFERROR(INDEX(Movimientos!$G$5:$G$2001,MATCH(A612&amp;"ENTRADA",Movimientos!$R$5:$R$2001,0)),"-")</f>
        <v>-</v>
      </c>
      <c r="G612" s="3" t="str">
        <f>IFERROR(INDEX(Movimientos!$L$5:$L$2001,MATCH(A612&amp;"ENTRADA",Movimientos!$R$5:$R$2001,0)),"-")</f>
        <v>-</v>
      </c>
      <c r="H612" s="19" t="str">
        <f>IFERROR(IF(INDEX(Movimientos!$M$5:$M$2001,MATCH(A612&amp;"ENTRADA",Movimientos!$R$5:$R$2001,0))=0,"S/D",INDEX(Movimientos!$M$5:$M$2001,MATCH(A612&amp;"ENTRADA",Movimientos!$R$5:$R$2001,0))),"S/D")</f>
        <v>S/D</v>
      </c>
      <c r="I612" s="16" t="str">
        <f t="shared" ca="1" si="20"/>
        <v>S/D</v>
      </c>
      <c r="J612" s="6">
        <f>IF(A612="","",SUMIFS(Movimientos!$K:$K,Movimientos!$H:$H,A612))</f>
        <v>0</v>
      </c>
      <c r="K612" s="14" t="str">
        <f t="shared" ca="1" si="21"/>
        <v>OK</v>
      </c>
    </row>
    <row r="613" spans="1:11">
      <c r="A613" s="18" t="s">
        <v>2686</v>
      </c>
      <c r="B613" s="3" t="str">
        <f>IFERROR(INDEX(Movimientos!$C$5:$C$2001,MATCH(A613&amp;"ENTRADA",Movimientos!$R$5:$R$2001,0)),"-")</f>
        <v>-</v>
      </c>
      <c r="C613" s="3" t="str">
        <f>IFERROR(INDEX(Movimientos!$D$5:$D$2001,MATCH(A613&amp;"ENTRADA",Movimientos!$R$5:$R$2001,0)),"-")</f>
        <v>-</v>
      </c>
      <c r="D613" s="3" t="str">
        <f>IFERROR(INDEX(Movimientos!$E$5:$E$2001,MATCH(A613&amp;"ENTRADA",Movimientos!$R$5:$R$2001,0)),"-")</f>
        <v>-</v>
      </c>
      <c r="E613" s="3" t="str">
        <f>IFERROR(INDEX(Movimientos!$F$5:$F$2001,MATCH(A613&amp;"ENTRADA",Movimientos!$R$5:$R$2001,0)),"-")</f>
        <v>-</v>
      </c>
      <c r="F613" s="3" t="str">
        <f>IFERROR(INDEX(Movimientos!$G$5:$G$2001,MATCH(A613&amp;"ENTRADA",Movimientos!$R$5:$R$2001,0)),"-")</f>
        <v>-</v>
      </c>
      <c r="G613" s="3" t="str">
        <f>IFERROR(INDEX(Movimientos!$L$5:$L$2001,MATCH(A613&amp;"ENTRADA",Movimientos!$R$5:$R$2001,0)),"-")</f>
        <v>-</v>
      </c>
      <c r="H613" s="19" t="str">
        <f>IFERROR(IF(INDEX(Movimientos!$M$5:$M$2001,MATCH(A613&amp;"ENTRADA",Movimientos!$R$5:$R$2001,0))=0,"S/D",INDEX(Movimientos!$M$5:$M$2001,MATCH(A613&amp;"ENTRADA",Movimientos!$R$5:$R$2001,0))),"S/D")</f>
        <v>S/D</v>
      </c>
      <c r="I613" s="16" t="str">
        <f t="shared" ca="1" si="20"/>
        <v>S/D</v>
      </c>
      <c r="J613" s="6">
        <f>IF(A613="","",SUMIFS(Movimientos!$K:$K,Movimientos!$H:$H,A613))</f>
        <v>0</v>
      </c>
      <c r="K613" s="14" t="str">
        <f t="shared" ca="1" si="21"/>
        <v>OK</v>
      </c>
    </row>
    <row r="614" spans="1:11">
      <c r="A614" s="18" t="s">
        <v>2687</v>
      </c>
      <c r="B614" s="3" t="str">
        <f>IFERROR(INDEX(Movimientos!$C$5:$C$2001,MATCH(A614&amp;"ENTRADA",Movimientos!$R$5:$R$2001,0)),"-")</f>
        <v>-</v>
      </c>
      <c r="C614" s="3" t="str">
        <f>IFERROR(INDEX(Movimientos!$D$5:$D$2001,MATCH(A614&amp;"ENTRADA",Movimientos!$R$5:$R$2001,0)),"-")</f>
        <v>-</v>
      </c>
      <c r="D614" s="3" t="str">
        <f>IFERROR(INDEX(Movimientos!$E$5:$E$2001,MATCH(A614&amp;"ENTRADA",Movimientos!$R$5:$R$2001,0)),"-")</f>
        <v>-</v>
      </c>
      <c r="E614" s="3" t="str">
        <f>IFERROR(INDEX(Movimientos!$F$5:$F$2001,MATCH(A614&amp;"ENTRADA",Movimientos!$R$5:$R$2001,0)),"-")</f>
        <v>-</v>
      </c>
      <c r="F614" s="3" t="str">
        <f>IFERROR(INDEX(Movimientos!$G$5:$G$2001,MATCH(A614&amp;"ENTRADA",Movimientos!$R$5:$R$2001,0)),"-")</f>
        <v>-</v>
      </c>
      <c r="G614" s="3" t="str">
        <f>IFERROR(INDEX(Movimientos!$L$5:$L$2001,MATCH(A614&amp;"ENTRADA",Movimientos!$R$5:$R$2001,0)),"-")</f>
        <v>-</v>
      </c>
      <c r="H614" s="19" t="str">
        <f>IFERROR(IF(INDEX(Movimientos!$M$5:$M$2001,MATCH(A614&amp;"ENTRADA",Movimientos!$R$5:$R$2001,0))=0,"S/D",INDEX(Movimientos!$M$5:$M$2001,MATCH(A614&amp;"ENTRADA",Movimientos!$R$5:$R$2001,0))),"S/D")</f>
        <v>S/D</v>
      </c>
      <c r="I614" s="16" t="str">
        <f t="shared" ca="1" si="20"/>
        <v>S/D</v>
      </c>
      <c r="J614" s="6">
        <f>IF(A614="","",SUMIFS(Movimientos!$K:$K,Movimientos!$H:$H,A614))</f>
        <v>0</v>
      </c>
      <c r="K614" s="14" t="str">
        <f t="shared" ca="1" si="21"/>
        <v>OK</v>
      </c>
    </row>
    <row r="615" spans="1:11">
      <c r="A615" s="18" t="s">
        <v>2688</v>
      </c>
      <c r="B615" s="3" t="str">
        <f>IFERROR(INDEX(Movimientos!$C$5:$C$2001,MATCH(A615&amp;"ENTRADA",Movimientos!$R$5:$R$2001,0)),"-")</f>
        <v>-</v>
      </c>
      <c r="C615" s="3" t="str">
        <f>IFERROR(INDEX(Movimientos!$D$5:$D$2001,MATCH(A615&amp;"ENTRADA",Movimientos!$R$5:$R$2001,0)),"-")</f>
        <v>-</v>
      </c>
      <c r="D615" s="3" t="str">
        <f>IFERROR(INDEX(Movimientos!$E$5:$E$2001,MATCH(A615&amp;"ENTRADA",Movimientos!$R$5:$R$2001,0)),"-")</f>
        <v>-</v>
      </c>
      <c r="E615" s="3" t="str">
        <f>IFERROR(INDEX(Movimientos!$F$5:$F$2001,MATCH(A615&amp;"ENTRADA",Movimientos!$R$5:$R$2001,0)),"-")</f>
        <v>-</v>
      </c>
      <c r="F615" s="3" t="str">
        <f>IFERROR(INDEX(Movimientos!$G$5:$G$2001,MATCH(A615&amp;"ENTRADA",Movimientos!$R$5:$R$2001,0)),"-")</f>
        <v>-</v>
      </c>
      <c r="G615" s="3" t="str">
        <f>IFERROR(INDEX(Movimientos!$L$5:$L$2001,MATCH(A615&amp;"ENTRADA",Movimientos!$R$5:$R$2001,0)),"-")</f>
        <v>-</v>
      </c>
      <c r="H615" s="19" t="str">
        <f>IFERROR(IF(INDEX(Movimientos!$M$5:$M$2001,MATCH(A615&amp;"ENTRADA",Movimientos!$R$5:$R$2001,0))=0,"S/D",INDEX(Movimientos!$M$5:$M$2001,MATCH(A615&amp;"ENTRADA",Movimientos!$R$5:$R$2001,0))),"S/D")</f>
        <v>S/D</v>
      </c>
      <c r="I615" s="16" t="str">
        <f t="shared" ca="1" si="20"/>
        <v>S/D</v>
      </c>
      <c r="J615" s="6">
        <f>IF(A615="","",SUMIFS(Movimientos!$K:$K,Movimientos!$H:$H,A615))</f>
        <v>0</v>
      </c>
      <c r="K615" s="14" t="str">
        <f t="shared" ca="1" si="21"/>
        <v>OK</v>
      </c>
    </row>
    <row r="616" spans="1:11">
      <c r="A616" s="18" t="s">
        <v>2689</v>
      </c>
      <c r="B616" s="3" t="str">
        <f>IFERROR(INDEX(Movimientos!$C$5:$C$2001,MATCH(A616&amp;"ENTRADA",Movimientos!$R$5:$R$2001,0)),"-")</f>
        <v>-</v>
      </c>
      <c r="C616" s="3" t="str">
        <f>IFERROR(INDEX(Movimientos!$D$5:$D$2001,MATCH(A616&amp;"ENTRADA",Movimientos!$R$5:$R$2001,0)),"-")</f>
        <v>-</v>
      </c>
      <c r="D616" s="3" t="str">
        <f>IFERROR(INDEX(Movimientos!$E$5:$E$2001,MATCH(A616&amp;"ENTRADA",Movimientos!$R$5:$R$2001,0)),"-")</f>
        <v>-</v>
      </c>
      <c r="E616" s="3" t="str">
        <f>IFERROR(INDEX(Movimientos!$F$5:$F$2001,MATCH(A616&amp;"ENTRADA",Movimientos!$R$5:$R$2001,0)),"-")</f>
        <v>-</v>
      </c>
      <c r="F616" s="3" t="str">
        <f>IFERROR(INDEX(Movimientos!$G$5:$G$2001,MATCH(A616&amp;"ENTRADA",Movimientos!$R$5:$R$2001,0)),"-")</f>
        <v>-</v>
      </c>
      <c r="G616" s="3" t="str">
        <f>IFERROR(INDEX(Movimientos!$L$5:$L$2001,MATCH(A616&amp;"ENTRADA",Movimientos!$R$5:$R$2001,0)),"-")</f>
        <v>-</v>
      </c>
      <c r="H616" s="19" t="str">
        <f>IFERROR(IF(INDEX(Movimientos!$M$5:$M$2001,MATCH(A616&amp;"ENTRADA",Movimientos!$R$5:$R$2001,0))=0,"S/D",INDEX(Movimientos!$M$5:$M$2001,MATCH(A616&amp;"ENTRADA",Movimientos!$R$5:$R$2001,0))),"S/D")</f>
        <v>S/D</v>
      </c>
      <c r="I616" s="16" t="str">
        <f t="shared" ca="1" si="20"/>
        <v>S/D</v>
      </c>
      <c r="J616" s="6">
        <f>IF(A616="","",SUMIFS(Movimientos!$K:$K,Movimientos!$H:$H,A616))</f>
        <v>0</v>
      </c>
      <c r="K616" s="14" t="str">
        <f t="shared" ca="1" si="21"/>
        <v>OK</v>
      </c>
    </row>
    <row r="617" spans="1:11">
      <c r="A617" s="18" t="s">
        <v>2690</v>
      </c>
      <c r="B617" s="3" t="str">
        <f>IFERROR(INDEX(Movimientos!$C$5:$C$2001,MATCH(A617&amp;"ENTRADA",Movimientos!$R$5:$R$2001,0)),"-")</f>
        <v>-</v>
      </c>
      <c r="C617" s="3" t="str">
        <f>IFERROR(INDEX(Movimientos!$D$5:$D$2001,MATCH(A617&amp;"ENTRADA",Movimientos!$R$5:$R$2001,0)),"-")</f>
        <v>-</v>
      </c>
      <c r="D617" s="3" t="str">
        <f>IFERROR(INDEX(Movimientos!$E$5:$E$2001,MATCH(A617&amp;"ENTRADA",Movimientos!$R$5:$R$2001,0)),"-")</f>
        <v>-</v>
      </c>
      <c r="E617" s="3" t="str">
        <f>IFERROR(INDEX(Movimientos!$F$5:$F$2001,MATCH(A617&amp;"ENTRADA",Movimientos!$R$5:$R$2001,0)),"-")</f>
        <v>-</v>
      </c>
      <c r="F617" s="3" t="str">
        <f>IFERROR(INDEX(Movimientos!$G$5:$G$2001,MATCH(A617&amp;"ENTRADA",Movimientos!$R$5:$R$2001,0)),"-")</f>
        <v>-</v>
      </c>
      <c r="G617" s="3" t="str">
        <f>IFERROR(INDEX(Movimientos!$L$5:$L$2001,MATCH(A617&amp;"ENTRADA",Movimientos!$R$5:$R$2001,0)),"-")</f>
        <v>-</v>
      </c>
      <c r="H617" s="19" t="str">
        <f>IFERROR(IF(INDEX(Movimientos!$M$5:$M$2001,MATCH(A617&amp;"ENTRADA",Movimientos!$R$5:$R$2001,0))=0,"S/D",INDEX(Movimientos!$M$5:$M$2001,MATCH(A617&amp;"ENTRADA",Movimientos!$R$5:$R$2001,0))),"S/D")</f>
        <v>S/D</v>
      </c>
      <c r="I617" s="16" t="str">
        <f t="shared" ca="1" si="20"/>
        <v>S/D</v>
      </c>
      <c r="J617" s="6">
        <f>IF(A617="","",SUMIFS(Movimientos!$K:$K,Movimientos!$H:$H,A617))</f>
        <v>0</v>
      </c>
      <c r="K617" s="14" t="str">
        <f t="shared" ca="1" si="21"/>
        <v>OK</v>
      </c>
    </row>
    <row r="618" spans="1:11">
      <c r="A618" s="18" t="s">
        <v>2691</v>
      </c>
      <c r="B618" s="3" t="str">
        <f>IFERROR(INDEX(Movimientos!$C$5:$C$2001,MATCH(A618&amp;"ENTRADA",Movimientos!$R$5:$R$2001,0)),"-")</f>
        <v>-</v>
      </c>
      <c r="C618" s="3" t="str">
        <f>IFERROR(INDEX(Movimientos!$D$5:$D$2001,MATCH(A618&amp;"ENTRADA",Movimientos!$R$5:$R$2001,0)),"-")</f>
        <v>-</v>
      </c>
      <c r="D618" s="3" t="str">
        <f>IFERROR(INDEX(Movimientos!$E$5:$E$2001,MATCH(A618&amp;"ENTRADA",Movimientos!$R$5:$R$2001,0)),"-")</f>
        <v>-</v>
      </c>
      <c r="E618" s="3" t="str">
        <f>IFERROR(INDEX(Movimientos!$F$5:$F$2001,MATCH(A618&amp;"ENTRADA",Movimientos!$R$5:$R$2001,0)),"-")</f>
        <v>-</v>
      </c>
      <c r="F618" s="3" t="str">
        <f>IFERROR(INDEX(Movimientos!$G$5:$G$2001,MATCH(A618&amp;"ENTRADA",Movimientos!$R$5:$R$2001,0)),"-")</f>
        <v>-</v>
      </c>
      <c r="G618" s="3" t="str">
        <f>IFERROR(INDEX(Movimientos!$L$5:$L$2001,MATCH(A618&amp;"ENTRADA",Movimientos!$R$5:$R$2001,0)),"-")</f>
        <v>-</v>
      </c>
      <c r="H618" s="19" t="str">
        <f>IFERROR(IF(INDEX(Movimientos!$M$5:$M$2001,MATCH(A618&amp;"ENTRADA",Movimientos!$R$5:$R$2001,0))=0,"S/D",INDEX(Movimientos!$M$5:$M$2001,MATCH(A618&amp;"ENTRADA",Movimientos!$R$5:$R$2001,0))),"S/D")</f>
        <v>S/D</v>
      </c>
      <c r="I618" s="16" t="str">
        <f t="shared" ca="1" si="20"/>
        <v>S/D</v>
      </c>
      <c r="J618" s="6">
        <f>IF(A618="","",SUMIFS(Movimientos!$K:$K,Movimientos!$H:$H,A618))</f>
        <v>0</v>
      </c>
      <c r="K618" s="14" t="str">
        <f t="shared" ca="1" si="21"/>
        <v>OK</v>
      </c>
    </row>
    <row r="619" spans="1:11">
      <c r="A619" s="18" t="s">
        <v>2692</v>
      </c>
      <c r="B619" s="3" t="str">
        <f>IFERROR(INDEX(Movimientos!$C$5:$C$2001,MATCH(A619&amp;"ENTRADA",Movimientos!$R$5:$R$2001,0)),"-")</f>
        <v>-</v>
      </c>
      <c r="C619" s="3" t="str">
        <f>IFERROR(INDEX(Movimientos!$D$5:$D$2001,MATCH(A619&amp;"ENTRADA",Movimientos!$R$5:$R$2001,0)),"-")</f>
        <v>-</v>
      </c>
      <c r="D619" s="3" t="str">
        <f>IFERROR(INDEX(Movimientos!$E$5:$E$2001,MATCH(A619&amp;"ENTRADA",Movimientos!$R$5:$R$2001,0)),"-")</f>
        <v>-</v>
      </c>
      <c r="E619" s="3" t="str">
        <f>IFERROR(INDEX(Movimientos!$F$5:$F$2001,MATCH(A619&amp;"ENTRADA",Movimientos!$R$5:$R$2001,0)),"-")</f>
        <v>-</v>
      </c>
      <c r="F619" s="3" t="str">
        <f>IFERROR(INDEX(Movimientos!$G$5:$G$2001,MATCH(A619&amp;"ENTRADA",Movimientos!$R$5:$R$2001,0)),"-")</f>
        <v>-</v>
      </c>
      <c r="G619" s="3" t="str">
        <f>IFERROR(INDEX(Movimientos!$L$5:$L$2001,MATCH(A619&amp;"ENTRADA",Movimientos!$R$5:$R$2001,0)),"-")</f>
        <v>-</v>
      </c>
      <c r="H619" s="19" t="str">
        <f>IFERROR(IF(INDEX(Movimientos!$M$5:$M$2001,MATCH(A619&amp;"ENTRADA",Movimientos!$R$5:$R$2001,0))=0,"S/D",INDEX(Movimientos!$M$5:$M$2001,MATCH(A619&amp;"ENTRADA",Movimientos!$R$5:$R$2001,0))),"S/D")</f>
        <v>S/D</v>
      </c>
      <c r="I619" s="16" t="str">
        <f t="shared" ca="1" si="20"/>
        <v>S/D</v>
      </c>
      <c r="J619" s="6">
        <f>IF(A619="","",SUMIFS(Movimientos!$K:$K,Movimientos!$H:$H,A619))</f>
        <v>0</v>
      </c>
      <c r="K619" s="14" t="str">
        <f t="shared" ca="1" si="21"/>
        <v>OK</v>
      </c>
    </row>
    <row r="620" spans="1:11">
      <c r="A620" s="18" t="s">
        <v>2693</v>
      </c>
      <c r="B620" s="3" t="str">
        <f>IFERROR(INDEX(Movimientos!$C$5:$C$2001,MATCH(A620&amp;"ENTRADA",Movimientos!$R$5:$R$2001,0)),"-")</f>
        <v>-</v>
      </c>
      <c r="C620" s="3" t="str">
        <f>IFERROR(INDEX(Movimientos!$D$5:$D$2001,MATCH(A620&amp;"ENTRADA",Movimientos!$R$5:$R$2001,0)),"-")</f>
        <v>-</v>
      </c>
      <c r="D620" s="3" t="str">
        <f>IFERROR(INDEX(Movimientos!$E$5:$E$2001,MATCH(A620&amp;"ENTRADA",Movimientos!$R$5:$R$2001,0)),"-")</f>
        <v>-</v>
      </c>
      <c r="E620" s="3" t="str">
        <f>IFERROR(INDEX(Movimientos!$F$5:$F$2001,MATCH(A620&amp;"ENTRADA",Movimientos!$R$5:$R$2001,0)),"-")</f>
        <v>-</v>
      </c>
      <c r="F620" s="3" t="str">
        <f>IFERROR(INDEX(Movimientos!$G$5:$G$2001,MATCH(A620&amp;"ENTRADA",Movimientos!$R$5:$R$2001,0)),"-")</f>
        <v>-</v>
      </c>
      <c r="G620" s="3" t="str">
        <f>IFERROR(INDEX(Movimientos!$L$5:$L$2001,MATCH(A620&amp;"ENTRADA",Movimientos!$R$5:$R$2001,0)),"-")</f>
        <v>-</v>
      </c>
      <c r="H620" s="19" t="str">
        <f>IFERROR(IF(INDEX(Movimientos!$M$5:$M$2001,MATCH(A620&amp;"ENTRADA",Movimientos!$R$5:$R$2001,0))=0,"S/D",INDEX(Movimientos!$M$5:$M$2001,MATCH(A620&amp;"ENTRADA",Movimientos!$R$5:$R$2001,0))),"S/D")</f>
        <v>S/D</v>
      </c>
      <c r="I620" s="16" t="str">
        <f t="shared" ca="1" si="20"/>
        <v>S/D</v>
      </c>
      <c r="J620" s="6">
        <f>IF(A620="","",SUMIFS(Movimientos!$K:$K,Movimientos!$H:$H,A620))</f>
        <v>0</v>
      </c>
      <c r="K620" s="14" t="str">
        <f t="shared" ca="1" si="21"/>
        <v>OK</v>
      </c>
    </row>
    <row r="621" spans="1:11">
      <c r="A621" s="18" t="s">
        <v>2694</v>
      </c>
      <c r="B621" s="3" t="str">
        <f>IFERROR(INDEX(Movimientos!$C$5:$C$2001,MATCH(A621&amp;"ENTRADA",Movimientos!$R$5:$R$2001,0)),"-")</f>
        <v>-</v>
      </c>
      <c r="C621" s="3" t="str">
        <f>IFERROR(INDEX(Movimientos!$D$5:$D$2001,MATCH(A621&amp;"ENTRADA",Movimientos!$R$5:$R$2001,0)),"-")</f>
        <v>-</v>
      </c>
      <c r="D621" s="3" t="str">
        <f>IFERROR(INDEX(Movimientos!$E$5:$E$2001,MATCH(A621&amp;"ENTRADA",Movimientos!$R$5:$R$2001,0)),"-")</f>
        <v>-</v>
      </c>
      <c r="E621" s="3" t="str">
        <f>IFERROR(INDEX(Movimientos!$F$5:$F$2001,MATCH(A621&amp;"ENTRADA",Movimientos!$R$5:$R$2001,0)),"-")</f>
        <v>-</v>
      </c>
      <c r="F621" s="3" t="str">
        <f>IFERROR(INDEX(Movimientos!$G$5:$G$2001,MATCH(A621&amp;"ENTRADA",Movimientos!$R$5:$R$2001,0)),"-")</f>
        <v>-</v>
      </c>
      <c r="G621" s="3" t="str">
        <f>IFERROR(INDEX(Movimientos!$L$5:$L$2001,MATCH(A621&amp;"ENTRADA",Movimientos!$R$5:$R$2001,0)),"-")</f>
        <v>-</v>
      </c>
      <c r="H621" s="19" t="str">
        <f>IFERROR(IF(INDEX(Movimientos!$M$5:$M$2001,MATCH(A621&amp;"ENTRADA",Movimientos!$R$5:$R$2001,0))=0,"S/D",INDEX(Movimientos!$M$5:$M$2001,MATCH(A621&amp;"ENTRADA",Movimientos!$R$5:$R$2001,0))),"S/D")</f>
        <v>S/D</v>
      </c>
      <c r="I621" s="16" t="str">
        <f t="shared" ca="1" si="20"/>
        <v>S/D</v>
      </c>
      <c r="J621" s="6">
        <f>IF(A621="","",SUMIFS(Movimientos!$K:$K,Movimientos!$H:$H,A621))</f>
        <v>0</v>
      </c>
      <c r="K621" s="14" t="str">
        <f t="shared" ca="1" si="21"/>
        <v>OK</v>
      </c>
    </row>
    <row r="622" spans="1:11">
      <c r="A622" s="18" t="s">
        <v>2695</v>
      </c>
      <c r="B622" s="3" t="str">
        <f>IFERROR(INDEX(Movimientos!$C$5:$C$2001,MATCH(A622&amp;"ENTRADA",Movimientos!$R$5:$R$2001,0)),"-")</f>
        <v>-</v>
      </c>
      <c r="C622" s="3" t="str">
        <f>IFERROR(INDEX(Movimientos!$D$5:$D$2001,MATCH(A622&amp;"ENTRADA",Movimientos!$R$5:$R$2001,0)),"-")</f>
        <v>-</v>
      </c>
      <c r="D622" s="3" t="str">
        <f>IFERROR(INDEX(Movimientos!$E$5:$E$2001,MATCH(A622&amp;"ENTRADA",Movimientos!$R$5:$R$2001,0)),"-")</f>
        <v>-</v>
      </c>
      <c r="E622" s="3" t="str">
        <f>IFERROR(INDEX(Movimientos!$F$5:$F$2001,MATCH(A622&amp;"ENTRADA",Movimientos!$R$5:$R$2001,0)),"-")</f>
        <v>-</v>
      </c>
      <c r="F622" s="3" t="str">
        <f>IFERROR(INDEX(Movimientos!$G$5:$G$2001,MATCH(A622&amp;"ENTRADA",Movimientos!$R$5:$R$2001,0)),"-")</f>
        <v>-</v>
      </c>
      <c r="G622" s="3" t="str">
        <f>IFERROR(INDEX(Movimientos!$L$5:$L$2001,MATCH(A622&amp;"ENTRADA",Movimientos!$R$5:$R$2001,0)),"-")</f>
        <v>-</v>
      </c>
      <c r="H622" s="19" t="str">
        <f>IFERROR(IF(INDEX(Movimientos!$M$5:$M$2001,MATCH(A622&amp;"ENTRADA",Movimientos!$R$5:$R$2001,0))=0,"S/D",INDEX(Movimientos!$M$5:$M$2001,MATCH(A622&amp;"ENTRADA",Movimientos!$R$5:$R$2001,0))),"S/D")</f>
        <v>S/D</v>
      </c>
      <c r="I622" s="16" t="str">
        <f t="shared" ca="1" si="20"/>
        <v>S/D</v>
      </c>
      <c r="J622" s="6">
        <f>IF(A622="","",SUMIFS(Movimientos!$K:$K,Movimientos!$H:$H,A622))</f>
        <v>0</v>
      </c>
      <c r="K622" s="14" t="str">
        <f t="shared" ca="1" si="21"/>
        <v>OK</v>
      </c>
    </row>
    <row r="623" spans="1:11">
      <c r="A623" s="18" t="s">
        <v>2696</v>
      </c>
      <c r="B623" s="3" t="str">
        <f>IFERROR(INDEX(Movimientos!$C$5:$C$2001,MATCH(A623&amp;"ENTRADA",Movimientos!$R$5:$R$2001,0)),"-")</f>
        <v>-</v>
      </c>
      <c r="C623" s="3" t="str">
        <f>IFERROR(INDEX(Movimientos!$D$5:$D$2001,MATCH(A623&amp;"ENTRADA",Movimientos!$R$5:$R$2001,0)),"-")</f>
        <v>-</v>
      </c>
      <c r="D623" s="3" t="str">
        <f>IFERROR(INDEX(Movimientos!$E$5:$E$2001,MATCH(A623&amp;"ENTRADA",Movimientos!$R$5:$R$2001,0)),"-")</f>
        <v>-</v>
      </c>
      <c r="E623" s="3" t="str">
        <f>IFERROR(INDEX(Movimientos!$F$5:$F$2001,MATCH(A623&amp;"ENTRADA",Movimientos!$R$5:$R$2001,0)),"-")</f>
        <v>-</v>
      </c>
      <c r="F623" s="3" t="str">
        <f>IFERROR(INDEX(Movimientos!$G$5:$G$2001,MATCH(A623&amp;"ENTRADA",Movimientos!$R$5:$R$2001,0)),"-")</f>
        <v>-</v>
      </c>
      <c r="G623" s="3" t="str">
        <f>IFERROR(INDEX(Movimientos!$L$5:$L$2001,MATCH(A623&amp;"ENTRADA",Movimientos!$R$5:$R$2001,0)),"-")</f>
        <v>-</v>
      </c>
      <c r="H623" s="19" t="str">
        <f>IFERROR(IF(INDEX(Movimientos!$M$5:$M$2001,MATCH(A623&amp;"ENTRADA",Movimientos!$R$5:$R$2001,0))=0,"S/D",INDEX(Movimientos!$M$5:$M$2001,MATCH(A623&amp;"ENTRADA",Movimientos!$R$5:$R$2001,0))),"S/D")</f>
        <v>S/D</v>
      </c>
      <c r="I623" s="16" t="str">
        <f t="shared" ca="1" si="20"/>
        <v>S/D</v>
      </c>
      <c r="J623" s="6">
        <f>IF(A623="","",SUMIFS(Movimientos!$K:$K,Movimientos!$H:$H,A623))</f>
        <v>0</v>
      </c>
      <c r="K623" s="14" t="str">
        <f t="shared" ca="1" si="21"/>
        <v>OK</v>
      </c>
    </row>
    <row r="624" spans="1:11">
      <c r="A624" s="18" t="s">
        <v>2697</v>
      </c>
      <c r="B624" s="3" t="str">
        <f>IFERROR(INDEX(Movimientos!$C$5:$C$2001,MATCH(A624&amp;"ENTRADA",Movimientos!$R$5:$R$2001,0)),"-")</f>
        <v>-</v>
      </c>
      <c r="C624" s="3" t="str">
        <f>IFERROR(INDEX(Movimientos!$D$5:$D$2001,MATCH(A624&amp;"ENTRADA",Movimientos!$R$5:$R$2001,0)),"-")</f>
        <v>-</v>
      </c>
      <c r="D624" s="3" t="str">
        <f>IFERROR(INDEX(Movimientos!$E$5:$E$2001,MATCH(A624&amp;"ENTRADA",Movimientos!$R$5:$R$2001,0)),"-")</f>
        <v>-</v>
      </c>
      <c r="E624" s="3" t="str">
        <f>IFERROR(INDEX(Movimientos!$F$5:$F$2001,MATCH(A624&amp;"ENTRADA",Movimientos!$R$5:$R$2001,0)),"-")</f>
        <v>-</v>
      </c>
      <c r="F624" s="3" t="str">
        <f>IFERROR(INDEX(Movimientos!$G$5:$G$2001,MATCH(A624&amp;"ENTRADA",Movimientos!$R$5:$R$2001,0)),"-")</f>
        <v>-</v>
      </c>
      <c r="G624" s="3" t="str">
        <f>IFERROR(INDEX(Movimientos!$L$5:$L$2001,MATCH(A624&amp;"ENTRADA",Movimientos!$R$5:$R$2001,0)),"-")</f>
        <v>-</v>
      </c>
      <c r="H624" s="19" t="str">
        <f>IFERROR(IF(INDEX(Movimientos!$M$5:$M$2001,MATCH(A624&amp;"ENTRADA",Movimientos!$R$5:$R$2001,0))=0,"S/D",INDEX(Movimientos!$M$5:$M$2001,MATCH(A624&amp;"ENTRADA",Movimientos!$R$5:$R$2001,0))),"S/D")</f>
        <v>S/D</v>
      </c>
      <c r="I624" s="16" t="str">
        <f t="shared" ca="1" si="20"/>
        <v>S/D</v>
      </c>
      <c r="J624" s="6">
        <f>IF(A624="","",SUMIFS(Movimientos!$K:$K,Movimientos!$H:$H,A624))</f>
        <v>0</v>
      </c>
      <c r="K624" s="14" t="str">
        <f t="shared" ca="1" si="21"/>
        <v>OK</v>
      </c>
    </row>
    <row r="625" spans="1:11">
      <c r="A625" s="18" t="s">
        <v>2698</v>
      </c>
      <c r="B625" s="3" t="str">
        <f>IFERROR(INDEX(Movimientos!$C$5:$C$2001,MATCH(A625&amp;"ENTRADA",Movimientos!$R$5:$R$2001,0)),"-")</f>
        <v>-</v>
      </c>
      <c r="C625" s="3" t="str">
        <f>IFERROR(INDEX(Movimientos!$D$5:$D$2001,MATCH(A625&amp;"ENTRADA",Movimientos!$R$5:$R$2001,0)),"-")</f>
        <v>-</v>
      </c>
      <c r="D625" s="3" t="str">
        <f>IFERROR(INDEX(Movimientos!$E$5:$E$2001,MATCH(A625&amp;"ENTRADA",Movimientos!$R$5:$R$2001,0)),"-")</f>
        <v>-</v>
      </c>
      <c r="E625" s="3" t="str">
        <f>IFERROR(INDEX(Movimientos!$F$5:$F$2001,MATCH(A625&amp;"ENTRADA",Movimientos!$R$5:$R$2001,0)),"-")</f>
        <v>-</v>
      </c>
      <c r="F625" s="3" t="str">
        <f>IFERROR(INDEX(Movimientos!$G$5:$G$2001,MATCH(A625&amp;"ENTRADA",Movimientos!$R$5:$R$2001,0)),"-")</f>
        <v>-</v>
      </c>
      <c r="G625" s="3" t="str">
        <f>IFERROR(INDEX(Movimientos!$L$5:$L$2001,MATCH(A625&amp;"ENTRADA",Movimientos!$R$5:$R$2001,0)),"-")</f>
        <v>-</v>
      </c>
      <c r="H625" s="19" t="str">
        <f>IFERROR(IF(INDEX(Movimientos!$M$5:$M$2001,MATCH(A625&amp;"ENTRADA",Movimientos!$R$5:$R$2001,0))=0,"S/D",INDEX(Movimientos!$M$5:$M$2001,MATCH(A625&amp;"ENTRADA",Movimientos!$R$5:$R$2001,0))),"S/D")</f>
        <v>S/D</v>
      </c>
      <c r="I625" s="16" t="str">
        <f t="shared" ca="1" si="20"/>
        <v>S/D</v>
      </c>
      <c r="J625" s="6">
        <f>IF(A625="","",SUMIFS(Movimientos!$K:$K,Movimientos!$H:$H,A625))</f>
        <v>0</v>
      </c>
      <c r="K625" s="14" t="str">
        <f t="shared" ca="1" si="21"/>
        <v>OK</v>
      </c>
    </row>
    <row r="626" spans="1:11">
      <c r="A626" s="18" t="s">
        <v>2699</v>
      </c>
      <c r="B626" s="3" t="str">
        <f>IFERROR(INDEX(Movimientos!$C$5:$C$2001,MATCH(A626&amp;"ENTRADA",Movimientos!$R$5:$R$2001,0)),"-")</f>
        <v>-</v>
      </c>
      <c r="C626" s="3" t="str">
        <f>IFERROR(INDEX(Movimientos!$D$5:$D$2001,MATCH(A626&amp;"ENTRADA",Movimientos!$R$5:$R$2001,0)),"-")</f>
        <v>-</v>
      </c>
      <c r="D626" s="3" t="str">
        <f>IFERROR(INDEX(Movimientos!$E$5:$E$2001,MATCH(A626&amp;"ENTRADA",Movimientos!$R$5:$R$2001,0)),"-")</f>
        <v>-</v>
      </c>
      <c r="E626" s="3" t="str">
        <f>IFERROR(INDEX(Movimientos!$F$5:$F$2001,MATCH(A626&amp;"ENTRADA",Movimientos!$R$5:$R$2001,0)),"-")</f>
        <v>-</v>
      </c>
      <c r="F626" s="3" t="str">
        <f>IFERROR(INDEX(Movimientos!$G$5:$G$2001,MATCH(A626&amp;"ENTRADA",Movimientos!$R$5:$R$2001,0)),"-")</f>
        <v>-</v>
      </c>
      <c r="G626" s="3" t="str">
        <f>IFERROR(INDEX(Movimientos!$L$5:$L$2001,MATCH(A626&amp;"ENTRADA",Movimientos!$R$5:$R$2001,0)),"-")</f>
        <v>-</v>
      </c>
      <c r="H626" s="19" t="str">
        <f>IFERROR(IF(INDEX(Movimientos!$M$5:$M$2001,MATCH(A626&amp;"ENTRADA",Movimientos!$R$5:$R$2001,0))=0,"S/D",INDEX(Movimientos!$M$5:$M$2001,MATCH(A626&amp;"ENTRADA",Movimientos!$R$5:$R$2001,0))),"S/D")</f>
        <v>S/D</v>
      </c>
      <c r="I626" s="16" t="str">
        <f t="shared" ca="1" si="20"/>
        <v>S/D</v>
      </c>
      <c r="J626" s="6">
        <f>IF(A626="","",SUMIFS(Movimientos!$K:$K,Movimientos!$H:$H,A626))</f>
        <v>0</v>
      </c>
      <c r="K626" s="14" t="str">
        <f t="shared" ca="1" si="21"/>
        <v>OK</v>
      </c>
    </row>
    <row r="627" spans="1:11">
      <c r="A627" s="18" t="s">
        <v>2700</v>
      </c>
      <c r="B627" s="3" t="str">
        <f>IFERROR(INDEX(Movimientos!$C$5:$C$2001,MATCH(A627&amp;"ENTRADA",Movimientos!$R$5:$R$2001,0)),"-")</f>
        <v>-</v>
      </c>
      <c r="C627" s="3" t="str">
        <f>IFERROR(INDEX(Movimientos!$D$5:$D$2001,MATCH(A627&amp;"ENTRADA",Movimientos!$R$5:$R$2001,0)),"-")</f>
        <v>-</v>
      </c>
      <c r="D627" s="3" t="str">
        <f>IFERROR(INDEX(Movimientos!$E$5:$E$2001,MATCH(A627&amp;"ENTRADA",Movimientos!$R$5:$R$2001,0)),"-")</f>
        <v>-</v>
      </c>
      <c r="E627" s="3" t="str">
        <f>IFERROR(INDEX(Movimientos!$F$5:$F$2001,MATCH(A627&amp;"ENTRADA",Movimientos!$R$5:$R$2001,0)),"-")</f>
        <v>-</v>
      </c>
      <c r="F627" s="3" t="str">
        <f>IFERROR(INDEX(Movimientos!$G$5:$G$2001,MATCH(A627&amp;"ENTRADA",Movimientos!$R$5:$R$2001,0)),"-")</f>
        <v>-</v>
      </c>
      <c r="G627" s="3" t="str">
        <f>IFERROR(INDEX(Movimientos!$L$5:$L$2001,MATCH(A627&amp;"ENTRADA",Movimientos!$R$5:$R$2001,0)),"-")</f>
        <v>-</v>
      </c>
      <c r="H627" s="19" t="str">
        <f>IFERROR(IF(INDEX(Movimientos!$M$5:$M$2001,MATCH(A627&amp;"ENTRADA",Movimientos!$R$5:$R$2001,0))=0,"S/D",INDEX(Movimientos!$M$5:$M$2001,MATCH(A627&amp;"ENTRADA",Movimientos!$R$5:$R$2001,0))),"S/D")</f>
        <v>S/D</v>
      </c>
      <c r="I627" s="16" t="str">
        <f t="shared" ca="1" si="20"/>
        <v>S/D</v>
      </c>
      <c r="J627" s="6">
        <f>IF(A627="","",SUMIFS(Movimientos!$K:$K,Movimientos!$H:$H,A627))</f>
        <v>0</v>
      </c>
      <c r="K627" s="14" t="str">
        <f t="shared" ca="1" si="21"/>
        <v>OK</v>
      </c>
    </row>
    <row r="628" spans="1:11">
      <c r="A628" s="18" t="s">
        <v>2701</v>
      </c>
      <c r="B628" s="3" t="str">
        <f>IFERROR(INDEX(Movimientos!$C$5:$C$2001,MATCH(A628&amp;"ENTRADA",Movimientos!$R$5:$R$2001,0)),"-")</f>
        <v>-</v>
      </c>
      <c r="C628" s="3" t="str">
        <f>IFERROR(INDEX(Movimientos!$D$5:$D$2001,MATCH(A628&amp;"ENTRADA",Movimientos!$R$5:$R$2001,0)),"-")</f>
        <v>-</v>
      </c>
      <c r="D628" s="3" t="str">
        <f>IFERROR(INDEX(Movimientos!$E$5:$E$2001,MATCH(A628&amp;"ENTRADA",Movimientos!$R$5:$R$2001,0)),"-")</f>
        <v>-</v>
      </c>
      <c r="E628" s="3" t="str">
        <f>IFERROR(INDEX(Movimientos!$F$5:$F$2001,MATCH(A628&amp;"ENTRADA",Movimientos!$R$5:$R$2001,0)),"-")</f>
        <v>-</v>
      </c>
      <c r="F628" s="3" t="str">
        <f>IFERROR(INDEX(Movimientos!$G$5:$G$2001,MATCH(A628&amp;"ENTRADA",Movimientos!$R$5:$R$2001,0)),"-")</f>
        <v>-</v>
      </c>
      <c r="G628" s="3" t="str">
        <f>IFERROR(INDEX(Movimientos!$L$5:$L$2001,MATCH(A628&amp;"ENTRADA",Movimientos!$R$5:$R$2001,0)),"-")</f>
        <v>-</v>
      </c>
      <c r="H628" s="19" t="str">
        <f>IFERROR(IF(INDEX(Movimientos!$M$5:$M$2001,MATCH(A628&amp;"ENTRADA",Movimientos!$R$5:$R$2001,0))=0,"S/D",INDEX(Movimientos!$M$5:$M$2001,MATCH(A628&amp;"ENTRADA",Movimientos!$R$5:$R$2001,0))),"S/D")</f>
        <v>S/D</v>
      </c>
      <c r="I628" s="16" t="str">
        <f t="shared" ca="1" si="20"/>
        <v>S/D</v>
      </c>
      <c r="J628" s="6">
        <f>IF(A628="","",SUMIFS(Movimientos!$K:$K,Movimientos!$H:$H,A628))</f>
        <v>0</v>
      </c>
      <c r="K628" s="14" t="str">
        <f t="shared" ca="1" si="21"/>
        <v>OK</v>
      </c>
    </row>
    <row r="629" spans="1:11">
      <c r="A629" s="18" t="s">
        <v>2702</v>
      </c>
      <c r="B629" s="3" t="str">
        <f>IFERROR(INDEX(Movimientos!$C$5:$C$2001,MATCH(A629&amp;"ENTRADA",Movimientos!$R$5:$R$2001,0)),"-")</f>
        <v>-</v>
      </c>
      <c r="C629" s="3" t="str">
        <f>IFERROR(INDEX(Movimientos!$D$5:$D$2001,MATCH(A629&amp;"ENTRADA",Movimientos!$R$5:$R$2001,0)),"-")</f>
        <v>-</v>
      </c>
      <c r="D629" s="3" t="str">
        <f>IFERROR(INDEX(Movimientos!$E$5:$E$2001,MATCH(A629&amp;"ENTRADA",Movimientos!$R$5:$R$2001,0)),"-")</f>
        <v>-</v>
      </c>
      <c r="E629" s="3" t="str">
        <f>IFERROR(INDEX(Movimientos!$F$5:$F$2001,MATCH(A629&amp;"ENTRADA",Movimientos!$R$5:$R$2001,0)),"-")</f>
        <v>-</v>
      </c>
      <c r="F629" s="3" t="str">
        <f>IFERROR(INDEX(Movimientos!$G$5:$G$2001,MATCH(A629&amp;"ENTRADA",Movimientos!$R$5:$R$2001,0)),"-")</f>
        <v>-</v>
      </c>
      <c r="G629" s="3" t="str">
        <f>IFERROR(INDEX(Movimientos!$L$5:$L$2001,MATCH(A629&amp;"ENTRADA",Movimientos!$R$5:$R$2001,0)),"-")</f>
        <v>-</v>
      </c>
      <c r="H629" s="19" t="str">
        <f>IFERROR(IF(INDEX(Movimientos!$M$5:$M$2001,MATCH(A629&amp;"ENTRADA",Movimientos!$R$5:$R$2001,0))=0,"S/D",INDEX(Movimientos!$M$5:$M$2001,MATCH(A629&amp;"ENTRADA",Movimientos!$R$5:$R$2001,0))),"S/D")</f>
        <v>S/D</v>
      </c>
      <c r="I629" s="16" t="str">
        <f t="shared" ca="1" si="20"/>
        <v>S/D</v>
      </c>
      <c r="J629" s="6">
        <f>IF(A629="","",SUMIFS(Movimientos!$K:$K,Movimientos!$H:$H,A629))</f>
        <v>0</v>
      </c>
      <c r="K629" s="14" t="str">
        <f t="shared" ca="1" si="21"/>
        <v>OK</v>
      </c>
    </row>
    <row r="630" spans="1:11">
      <c r="A630" s="18" t="s">
        <v>2703</v>
      </c>
      <c r="B630" s="3" t="str">
        <f>IFERROR(INDEX(Movimientos!$C$5:$C$2001,MATCH(A630&amp;"ENTRADA",Movimientos!$R$5:$R$2001,0)),"-")</f>
        <v>-</v>
      </c>
      <c r="C630" s="3" t="str">
        <f>IFERROR(INDEX(Movimientos!$D$5:$D$2001,MATCH(A630&amp;"ENTRADA",Movimientos!$R$5:$R$2001,0)),"-")</f>
        <v>-</v>
      </c>
      <c r="D630" s="3" t="str">
        <f>IFERROR(INDEX(Movimientos!$E$5:$E$2001,MATCH(A630&amp;"ENTRADA",Movimientos!$R$5:$R$2001,0)),"-")</f>
        <v>-</v>
      </c>
      <c r="E630" s="3" t="str">
        <f>IFERROR(INDEX(Movimientos!$F$5:$F$2001,MATCH(A630&amp;"ENTRADA",Movimientos!$R$5:$R$2001,0)),"-")</f>
        <v>-</v>
      </c>
      <c r="F630" s="3" t="str">
        <f>IFERROR(INDEX(Movimientos!$G$5:$G$2001,MATCH(A630&amp;"ENTRADA",Movimientos!$R$5:$R$2001,0)),"-")</f>
        <v>-</v>
      </c>
      <c r="G630" s="3" t="str">
        <f>IFERROR(INDEX(Movimientos!$L$5:$L$2001,MATCH(A630&amp;"ENTRADA",Movimientos!$R$5:$R$2001,0)),"-")</f>
        <v>-</v>
      </c>
      <c r="H630" s="19" t="str">
        <f>IFERROR(IF(INDEX(Movimientos!$M$5:$M$2001,MATCH(A630&amp;"ENTRADA",Movimientos!$R$5:$R$2001,0))=0,"S/D",INDEX(Movimientos!$M$5:$M$2001,MATCH(A630&amp;"ENTRADA",Movimientos!$R$5:$R$2001,0))),"S/D")</f>
        <v>S/D</v>
      </c>
      <c r="I630" s="16" t="str">
        <f t="shared" ca="1" si="20"/>
        <v>S/D</v>
      </c>
      <c r="J630" s="6">
        <f>IF(A630="","",SUMIFS(Movimientos!$K:$K,Movimientos!$H:$H,A630))</f>
        <v>0</v>
      </c>
      <c r="K630" s="14" t="str">
        <f t="shared" ca="1" si="21"/>
        <v>OK</v>
      </c>
    </row>
    <row r="631" spans="1:11">
      <c r="A631" s="18" t="s">
        <v>2704</v>
      </c>
      <c r="B631" s="3" t="str">
        <f>IFERROR(INDEX(Movimientos!$C$5:$C$2001,MATCH(A631&amp;"ENTRADA",Movimientos!$R$5:$R$2001,0)),"-")</f>
        <v>-</v>
      </c>
      <c r="C631" s="3" t="str">
        <f>IFERROR(INDEX(Movimientos!$D$5:$D$2001,MATCH(A631&amp;"ENTRADA",Movimientos!$R$5:$R$2001,0)),"-")</f>
        <v>-</v>
      </c>
      <c r="D631" s="3" t="str">
        <f>IFERROR(INDEX(Movimientos!$E$5:$E$2001,MATCH(A631&amp;"ENTRADA",Movimientos!$R$5:$R$2001,0)),"-")</f>
        <v>-</v>
      </c>
      <c r="E631" s="3" t="str">
        <f>IFERROR(INDEX(Movimientos!$F$5:$F$2001,MATCH(A631&amp;"ENTRADA",Movimientos!$R$5:$R$2001,0)),"-")</f>
        <v>-</v>
      </c>
      <c r="F631" s="3" t="str">
        <f>IFERROR(INDEX(Movimientos!$G$5:$G$2001,MATCH(A631&amp;"ENTRADA",Movimientos!$R$5:$R$2001,0)),"-")</f>
        <v>-</v>
      </c>
      <c r="G631" s="3" t="str">
        <f>IFERROR(INDEX(Movimientos!$L$5:$L$2001,MATCH(A631&amp;"ENTRADA",Movimientos!$R$5:$R$2001,0)),"-")</f>
        <v>-</v>
      </c>
      <c r="H631" s="19" t="str">
        <f>IFERROR(IF(INDEX(Movimientos!$M$5:$M$2001,MATCH(A631&amp;"ENTRADA",Movimientos!$R$5:$R$2001,0))=0,"S/D",INDEX(Movimientos!$M$5:$M$2001,MATCH(A631&amp;"ENTRADA",Movimientos!$R$5:$R$2001,0))),"S/D")</f>
        <v>S/D</v>
      </c>
      <c r="I631" s="16" t="str">
        <f t="shared" ca="1" si="20"/>
        <v>S/D</v>
      </c>
      <c r="J631" s="6">
        <f>IF(A631="","",SUMIFS(Movimientos!$K:$K,Movimientos!$H:$H,A631))</f>
        <v>0</v>
      </c>
      <c r="K631" s="14" t="str">
        <f t="shared" ca="1" si="21"/>
        <v>OK</v>
      </c>
    </row>
    <row r="632" spans="1:11">
      <c r="A632" s="18" t="s">
        <v>2705</v>
      </c>
      <c r="B632" s="3" t="str">
        <f>IFERROR(INDEX(Movimientos!$C$5:$C$2001,MATCH(A632&amp;"ENTRADA",Movimientos!$R$5:$R$2001,0)),"-")</f>
        <v>-</v>
      </c>
      <c r="C632" s="3" t="str">
        <f>IFERROR(INDEX(Movimientos!$D$5:$D$2001,MATCH(A632&amp;"ENTRADA",Movimientos!$R$5:$R$2001,0)),"-")</f>
        <v>-</v>
      </c>
      <c r="D632" s="3" t="str">
        <f>IFERROR(INDEX(Movimientos!$E$5:$E$2001,MATCH(A632&amp;"ENTRADA",Movimientos!$R$5:$R$2001,0)),"-")</f>
        <v>-</v>
      </c>
      <c r="E632" s="3" t="str">
        <f>IFERROR(INDEX(Movimientos!$F$5:$F$2001,MATCH(A632&amp;"ENTRADA",Movimientos!$R$5:$R$2001,0)),"-")</f>
        <v>-</v>
      </c>
      <c r="F632" s="3" t="str">
        <f>IFERROR(INDEX(Movimientos!$G$5:$G$2001,MATCH(A632&amp;"ENTRADA",Movimientos!$R$5:$R$2001,0)),"-")</f>
        <v>-</v>
      </c>
      <c r="G632" s="3" t="str">
        <f>IFERROR(INDEX(Movimientos!$L$5:$L$2001,MATCH(A632&amp;"ENTRADA",Movimientos!$R$5:$R$2001,0)),"-")</f>
        <v>-</v>
      </c>
      <c r="H632" s="19" t="str">
        <f>IFERROR(IF(INDEX(Movimientos!$M$5:$M$2001,MATCH(A632&amp;"ENTRADA",Movimientos!$R$5:$R$2001,0))=0,"S/D",INDEX(Movimientos!$M$5:$M$2001,MATCH(A632&amp;"ENTRADA",Movimientos!$R$5:$R$2001,0))),"S/D")</f>
        <v>S/D</v>
      </c>
      <c r="I632" s="16" t="str">
        <f t="shared" ca="1" si="20"/>
        <v>S/D</v>
      </c>
      <c r="J632" s="6">
        <f>IF(A632="","",SUMIFS(Movimientos!$K:$K,Movimientos!$H:$H,A632))</f>
        <v>0</v>
      </c>
      <c r="K632" s="14" t="str">
        <f t="shared" ca="1" si="21"/>
        <v>OK</v>
      </c>
    </row>
    <row r="633" spans="1:11">
      <c r="A633" s="18" t="s">
        <v>2706</v>
      </c>
      <c r="B633" s="3" t="str">
        <f>IFERROR(INDEX(Movimientos!$C$5:$C$2001,MATCH(A633&amp;"ENTRADA",Movimientos!$R$5:$R$2001,0)),"-")</f>
        <v>-</v>
      </c>
      <c r="C633" s="3" t="str">
        <f>IFERROR(INDEX(Movimientos!$D$5:$D$2001,MATCH(A633&amp;"ENTRADA",Movimientos!$R$5:$R$2001,0)),"-")</f>
        <v>-</v>
      </c>
      <c r="D633" s="3" t="str">
        <f>IFERROR(INDEX(Movimientos!$E$5:$E$2001,MATCH(A633&amp;"ENTRADA",Movimientos!$R$5:$R$2001,0)),"-")</f>
        <v>-</v>
      </c>
      <c r="E633" s="3" t="str">
        <f>IFERROR(INDEX(Movimientos!$F$5:$F$2001,MATCH(A633&amp;"ENTRADA",Movimientos!$R$5:$R$2001,0)),"-")</f>
        <v>-</v>
      </c>
      <c r="F633" s="3" t="str">
        <f>IFERROR(INDEX(Movimientos!$G$5:$G$2001,MATCH(A633&amp;"ENTRADA",Movimientos!$R$5:$R$2001,0)),"-")</f>
        <v>-</v>
      </c>
      <c r="G633" s="3" t="str">
        <f>IFERROR(INDEX(Movimientos!$L$5:$L$2001,MATCH(A633&amp;"ENTRADA",Movimientos!$R$5:$R$2001,0)),"-")</f>
        <v>-</v>
      </c>
      <c r="H633" s="19" t="str">
        <f>IFERROR(IF(INDEX(Movimientos!$M$5:$M$2001,MATCH(A633&amp;"ENTRADA",Movimientos!$R$5:$R$2001,0))=0,"S/D",INDEX(Movimientos!$M$5:$M$2001,MATCH(A633&amp;"ENTRADA",Movimientos!$R$5:$R$2001,0))),"S/D")</f>
        <v>S/D</v>
      </c>
      <c r="I633" s="16" t="str">
        <f t="shared" ca="1" si="20"/>
        <v>S/D</v>
      </c>
      <c r="J633" s="6">
        <f>IF(A633="","",SUMIFS(Movimientos!$K:$K,Movimientos!$H:$H,A633))</f>
        <v>0</v>
      </c>
      <c r="K633" s="14" t="str">
        <f t="shared" ca="1" si="21"/>
        <v>OK</v>
      </c>
    </row>
    <row r="634" spans="1:11">
      <c r="A634" s="18" t="s">
        <v>2707</v>
      </c>
      <c r="B634" s="3" t="str">
        <f>IFERROR(INDEX(Movimientos!$C$5:$C$2001,MATCH(A634&amp;"ENTRADA",Movimientos!$R$5:$R$2001,0)),"-")</f>
        <v>-</v>
      </c>
      <c r="C634" s="3" t="str">
        <f>IFERROR(INDEX(Movimientos!$D$5:$D$2001,MATCH(A634&amp;"ENTRADA",Movimientos!$R$5:$R$2001,0)),"-")</f>
        <v>-</v>
      </c>
      <c r="D634" s="3" t="str">
        <f>IFERROR(INDEX(Movimientos!$E$5:$E$2001,MATCH(A634&amp;"ENTRADA",Movimientos!$R$5:$R$2001,0)),"-")</f>
        <v>-</v>
      </c>
      <c r="E634" s="3" t="str">
        <f>IFERROR(INDEX(Movimientos!$F$5:$F$2001,MATCH(A634&amp;"ENTRADA",Movimientos!$R$5:$R$2001,0)),"-")</f>
        <v>-</v>
      </c>
      <c r="F634" s="3" t="str">
        <f>IFERROR(INDEX(Movimientos!$G$5:$G$2001,MATCH(A634&amp;"ENTRADA",Movimientos!$R$5:$R$2001,0)),"-")</f>
        <v>-</v>
      </c>
      <c r="G634" s="3" t="str">
        <f>IFERROR(INDEX(Movimientos!$L$5:$L$2001,MATCH(A634&amp;"ENTRADA",Movimientos!$R$5:$R$2001,0)),"-")</f>
        <v>-</v>
      </c>
      <c r="H634" s="19" t="str">
        <f>IFERROR(IF(INDEX(Movimientos!$M$5:$M$2001,MATCH(A634&amp;"ENTRADA",Movimientos!$R$5:$R$2001,0))=0,"S/D",INDEX(Movimientos!$M$5:$M$2001,MATCH(A634&amp;"ENTRADA",Movimientos!$R$5:$R$2001,0))),"S/D")</f>
        <v>S/D</v>
      </c>
      <c r="I634" s="16" t="str">
        <f t="shared" ca="1" si="20"/>
        <v>S/D</v>
      </c>
      <c r="J634" s="6">
        <f>IF(A634="","",SUMIFS(Movimientos!$K:$K,Movimientos!$H:$H,A634))</f>
        <v>0</v>
      </c>
      <c r="K634" s="14" t="str">
        <f t="shared" ca="1" si="21"/>
        <v>OK</v>
      </c>
    </row>
    <row r="635" spans="1:11">
      <c r="A635" s="18" t="s">
        <v>2708</v>
      </c>
      <c r="B635" s="3" t="str">
        <f>IFERROR(INDEX(Movimientos!$C$5:$C$2001,MATCH(A635&amp;"ENTRADA",Movimientos!$R$5:$R$2001,0)),"-")</f>
        <v>-</v>
      </c>
      <c r="C635" s="3" t="str">
        <f>IFERROR(INDEX(Movimientos!$D$5:$D$2001,MATCH(A635&amp;"ENTRADA",Movimientos!$R$5:$R$2001,0)),"-")</f>
        <v>-</v>
      </c>
      <c r="D635" s="3" t="str">
        <f>IFERROR(INDEX(Movimientos!$E$5:$E$2001,MATCH(A635&amp;"ENTRADA",Movimientos!$R$5:$R$2001,0)),"-")</f>
        <v>-</v>
      </c>
      <c r="E635" s="3" t="str">
        <f>IFERROR(INDEX(Movimientos!$F$5:$F$2001,MATCH(A635&amp;"ENTRADA",Movimientos!$R$5:$R$2001,0)),"-")</f>
        <v>-</v>
      </c>
      <c r="F635" s="3" t="str">
        <f>IFERROR(INDEX(Movimientos!$G$5:$G$2001,MATCH(A635&amp;"ENTRADA",Movimientos!$R$5:$R$2001,0)),"-")</f>
        <v>-</v>
      </c>
      <c r="G635" s="3" t="str">
        <f>IFERROR(INDEX(Movimientos!$L$5:$L$2001,MATCH(A635&amp;"ENTRADA",Movimientos!$R$5:$R$2001,0)),"-")</f>
        <v>-</v>
      </c>
      <c r="H635" s="19" t="str">
        <f>IFERROR(IF(INDEX(Movimientos!$M$5:$M$2001,MATCH(A635&amp;"ENTRADA",Movimientos!$R$5:$R$2001,0))=0,"S/D",INDEX(Movimientos!$M$5:$M$2001,MATCH(A635&amp;"ENTRADA",Movimientos!$R$5:$R$2001,0))),"S/D")</f>
        <v>S/D</v>
      </c>
      <c r="I635" s="16" t="str">
        <f t="shared" ca="1" si="20"/>
        <v>S/D</v>
      </c>
      <c r="J635" s="6">
        <f>IF(A635="","",SUMIFS(Movimientos!$K:$K,Movimientos!$H:$H,A635))</f>
        <v>0</v>
      </c>
      <c r="K635" s="14" t="str">
        <f t="shared" ca="1" si="21"/>
        <v>OK</v>
      </c>
    </row>
    <row r="636" spans="1:11">
      <c r="A636" s="18" t="s">
        <v>2709</v>
      </c>
      <c r="B636" s="3" t="str">
        <f>IFERROR(INDEX(Movimientos!$C$5:$C$2001,MATCH(A636&amp;"ENTRADA",Movimientos!$R$5:$R$2001,0)),"-")</f>
        <v>-</v>
      </c>
      <c r="C636" s="3" t="str">
        <f>IFERROR(INDEX(Movimientos!$D$5:$D$2001,MATCH(A636&amp;"ENTRADA",Movimientos!$R$5:$R$2001,0)),"-")</f>
        <v>-</v>
      </c>
      <c r="D636" s="3" t="str">
        <f>IFERROR(INDEX(Movimientos!$E$5:$E$2001,MATCH(A636&amp;"ENTRADA",Movimientos!$R$5:$R$2001,0)),"-")</f>
        <v>-</v>
      </c>
      <c r="E636" s="3" t="str">
        <f>IFERROR(INDEX(Movimientos!$F$5:$F$2001,MATCH(A636&amp;"ENTRADA",Movimientos!$R$5:$R$2001,0)),"-")</f>
        <v>-</v>
      </c>
      <c r="F636" s="3" t="str">
        <f>IFERROR(INDEX(Movimientos!$G$5:$G$2001,MATCH(A636&amp;"ENTRADA",Movimientos!$R$5:$R$2001,0)),"-")</f>
        <v>-</v>
      </c>
      <c r="G636" s="3" t="str">
        <f>IFERROR(INDEX(Movimientos!$L$5:$L$2001,MATCH(A636&amp;"ENTRADA",Movimientos!$R$5:$R$2001,0)),"-")</f>
        <v>-</v>
      </c>
      <c r="H636" s="19" t="str">
        <f>IFERROR(IF(INDEX(Movimientos!$M$5:$M$2001,MATCH(A636&amp;"ENTRADA",Movimientos!$R$5:$R$2001,0))=0,"S/D",INDEX(Movimientos!$M$5:$M$2001,MATCH(A636&amp;"ENTRADA",Movimientos!$R$5:$R$2001,0))),"S/D")</f>
        <v>S/D</v>
      </c>
      <c r="I636" s="16" t="str">
        <f t="shared" ca="1" si="20"/>
        <v>S/D</v>
      </c>
      <c r="J636" s="6">
        <f>IF(A636="","",SUMIFS(Movimientos!$K:$K,Movimientos!$H:$H,A636))</f>
        <v>0</v>
      </c>
      <c r="K636" s="14" t="str">
        <f t="shared" ca="1" si="21"/>
        <v>OK</v>
      </c>
    </row>
    <row r="637" spans="1:11">
      <c r="A637" s="18" t="s">
        <v>2710</v>
      </c>
      <c r="B637" s="3" t="str">
        <f>IFERROR(INDEX(Movimientos!$C$5:$C$2001,MATCH(A637&amp;"ENTRADA",Movimientos!$R$5:$R$2001,0)),"-")</f>
        <v>-</v>
      </c>
      <c r="C637" s="3" t="str">
        <f>IFERROR(INDEX(Movimientos!$D$5:$D$2001,MATCH(A637&amp;"ENTRADA",Movimientos!$R$5:$R$2001,0)),"-")</f>
        <v>-</v>
      </c>
      <c r="D637" s="3" t="str">
        <f>IFERROR(INDEX(Movimientos!$E$5:$E$2001,MATCH(A637&amp;"ENTRADA",Movimientos!$R$5:$R$2001,0)),"-")</f>
        <v>-</v>
      </c>
      <c r="E637" s="3" t="str">
        <f>IFERROR(INDEX(Movimientos!$F$5:$F$2001,MATCH(A637&amp;"ENTRADA",Movimientos!$R$5:$R$2001,0)),"-")</f>
        <v>-</v>
      </c>
      <c r="F637" s="3" t="str">
        <f>IFERROR(INDEX(Movimientos!$G$5:$G$2001,MATCH(A637&amp;"ENTRADA",Movimientos!$R$5:$R$2001,0)),"-")</f>
        <v>-</v>
      </c>
      <c r="G637" s="3" t="str">
        <f>IFERROR(INDEX(Movimientos!$L$5:$L$2001,MATCH(A637&amp;"ENTRADA",Movimientos!$R$5:$R$2001,0)),"-")</f>
        <v>-</v>
      </c>
      <c r="H637" s="19" t="str">
        <f>IFERROR(IF(INDEX(Movimientos!$M$5:$M$2001,MATCH(A637&amp;"ENTRADA",Movimientos!$R$5:$R$2001,0))=0,"S/D",INDEX(Movimientos!$M$5:$M$2001,MATCH(A637&amp;"ENTRADA",Movimientos!$R$5:$R$2001,0))),"S/D")</f>
        <v>S/D</v>
      </c>
      <c r="I637" s="16" t="str">
        <f t="shared" ca="1" si="20"/>
        <v>S/D</v>
      </c>
      <c r="J637" s="6">
        <f>IF(A637="","",SUMIFS(Movimientos!$K:$K,Movimientos!$H:$H,A637))</f>
        <v>0</v>
      </c>
      <c r="K637" s="14" t="str">
        <f t="shared" ca="1" si="21"/>
        <v>OK</v>
      </c>
    </row>
    <row r="638" spans="1:11">
      <c r="A638" s="18" t="s">
        <v>2711</v>
      </c>
      <c r="B638" s="3" t="str">
        <f>IFERROR(INDEX(Movimientos!$C$5:$C$2001,MATCH(A638&amp;"ENTRADA",Movimientos!$R$5:$R$2001,0)),"-")</f>
        <v>-</v>
      </c>
      <c r="C638" s="3" t="str">
        <f>IFERROR(INDEX(Movimientos!$D$5:$D$2001,MATCH(A638&amp;"ENTRADA",Movimientos!$R$5:$R$2001,0)),"-")</f>
        <v>-</v>
      </c>
      <c r="D638" s="3" t="str">
        <f>IFERROR(INDEX(Movimientos!$E$5:$E$2001,MATCH(A638&amp;"ENTRADA",Movimientos!$R$5:$R$2001,0)),"-")</f>
        <v>-</v>
      </c>
      <c r="E638" s="3" t="str">
        <f>IFERROR(INDEX(Movimientos!$F$5:$F$2001,MATCH(A638&amp;"ENTRADA",Movimientos!$R$5:$R$2001,0)),"-")</f>
        <v>-</v>
      </c>
      <c r="F638" s="3" t="str">
        <f>IFERROR(INDEX(Movimientos!$G$5:$G$2001,MATCH(A638&amp;"ENTRADA",Movimientos!$R$5:$R$2001,0)),"-")</f>
        <v>-</v>
      </c>
      <c r="G638" s="3" t="str">
        <f>IFERROR(INDEX(Movimientos!$L$5:$L$2001,MATCH(A638&amp;"ENTRADA",Movimientos!$R$5:$R$2001,0)),"-")</f>
        <v>-</v>
      </c>
      <c r="H638" s="19" t="str">
        <f>IFERROR(IF(INDEX(Movimientos!$M$5:$M$2001,MATCH(A638&amp;"ENTRADA",Movimientos!$R$5:$R$2001,0))=0,"S/D",INDEX(Movimientos!$M$5:$M$2001,MATCH(A638&amp;"ENTRADA",Movimientos!$R$5:$R$2001,0))),"S/D")</f>
        <v>S/D</v>
      </c>
      <c r="I638" s="16" t="str">
        <f t="shared" ca="1" si="20"/>
        <v>S/D</v>
      </c>
      <c r="J638" s="6">
        <f>IF(A638="","",SUMIFS(Movimientos!$K:$K,Movimientos!$H:$H,A638))</f>
        <v>0</v>
      </c>
      <c r="K638" s="14" t="str">
        <f t="shared" ca="1" si="21"/>
        <v>OK</v>
      </c>
    </row>
    <row r="639" spans="1:11">
      <c r="A639" s="18" t="s">
        <v>2712</v>
      </c>
      <c r="B639" s="3" t="str">
        <f>IFERROR(INDEX(Movimientos!$C$5:$C$2001,MATCH(A639&amp;"ENTRADA",Movimientos!$R$5:$R$2001,0)),"-")</f>
        <v>-</v>
      </c>
      <c r="C639" s="3" t="str">
        <f>IFERROR(INDEX(Movimientos!$D$5:$D$2001,MATCH(A639&amp;"ENTRADA",Movimientos!$R$5:$R$2001,0)),"-")</f>
        <v>-</v>
      </c>
      <c r="D639" s="3" t="str">
        <f>IFERROR(INDEX(Movimientos!$E$5:$E$2001,MATCH(A639&amp;"ENTRADA",Movimientos!$R$5:$R$2001,0)),"-")</f>
        <v>-</v>
      </c>
      <c r="E639" s="3" t="str">
        <f>IFERROR(INDEX(Movimientos!$F$5:$F$2001,MATCH(A639&amp;"ENTRADA",Movimientos!$R$5:$R$2001,0)),"-")</f>
        <v>-</v>
      </c>
      <c r="F639" s="3" t="str">
        <f>IFERROR(INDEX(Movimientos!$G$5:$G$2001,MATCH(A639&amp;"ENTRADA",Movimientos!$R$5:$R$2001,0)),"-")</f>
        <v>-</v>
      </c>
      <c r="G639" s="3" t="str">
        <f>IFERROR(INDEX(Movimientos!$L$5:$L$2001,MATCH(A639&amp;"ENTRADA",Movimientos!$R$5:$R$2001,0)),"-")</f>
        <v>-</v>
      </c>
      <c r="H639" s="19" t="str">
        <f>IFERROR(IF(INDEX(Movimientos!$M$5:$M$2001,MATCH(A639&amp;"ENTRADA",Movimientos!$R$5:$R$2001,0))=0,"S/D",INDEX(Movimientos!$M$5:$M$2001,MATCH(A639&amp;"ENTRADA",Movimientos!$R$5:$R$2001,0))),"S/D")</f>
        <v>S/D</v>
      </c>
      <c r="I639" s="16" t="str">
        <f t="shared" ca="1" si="20"/>
        <v>S/D</v>
      </c>
      <c r="J639" s="6">
        <f>IF(A639="","",SUMIFS(Movimientos!$K:$K,Movimientos!$H:$H,A639))</f>
        <v>0</v>
      </c>
      <c r="K639" s="14" t="str">
        <f t="shared" ca="1" si="21"/>
        <v>OK</v>
      </c>
    </row>
    <row r="640" spans="1:11">
      <c r="A640" s="18" t="s">
        <v>2713</v>
      </c>
      <c r="B640" s="3" t="str">
        <f>IFERROR(INDEX(Movimientos!$C$5:$C$2001,MATCH(A640&amp;"ENTRADA",Movimientos!$R$5:$R$2001,0)),"-")</f>
        <v>-</v>
      </c>
      <c r="C640" s="3" t="str">
        <f>IFERROR(INDEX(Movimientos!$D$5:$D$2001,MATCH(A640&amp;"ENTRADA",Movimientos!$R$5:$R$2001,0)),"-")</f>
        <v>-</v>
      </c>
      <c r="D640" s="3" t="str">
        <f>IFERROR(INDEX(Movimientos!$E$5:$E$2001,MATCH(A640&amp;"ENTRADA",Movimientos!$R$5:$R$2001,0)),"-")</f>
        <v>-</v>
      </c>
      <c r="E640" s="3" t="str">
        <f>IFERROR(INDEX(Movimientos!$F$5:$F$2001,MATCH(A640&amp;"ENTRADA",Movimientos!$R$5:$R$2001,0)),"-")</f>
        <v>-</v>
      </c>
      <c r="F640" s="3" t="str">
        <f>IFERROR(INDEX(Movimientos!$G$5:$G$2001,MATCH(A640&amp;"ENTRADA",Movimientos!$R$5:$R$2001,0)),"-")</f>
        <v>-</v>
      </c>
      <c r="G640" s="3" t="str">
        <f>IFERROR(INDEX(Movimientos!$L$5:$L$2001,MATCH(A640&amp;"ENTRADA",Movimientos!$R$5:$R$2001,0)),"-")</f>
        <v>-</v>
      </c>
      <c r="H640" s="19" t="str">
        <f>IFERROR(IF(INDEX(Movimientos!$M$5:$M$2001,MATCH(A640&amp;"ENTRADA",Movimientos!$R$5:$R$2001,0))=0,"S/D",INDEX(Movimientos!$M$5:$M$2001,MATCH(A640&amp;"ENTRADA",Movimientos!$R$5:$R$2001,0))),"S/D")</f>
        <v>S/D</v>
      </c>
      <c r="I640" s="16" t="str">
        <f t="shared" ca="1" si="20"/>
        <v>S/D</v>
      </c>
      <c r="J640" s="6">
        <f>IF(A640="","",SUMIFS(Movimientos!$K:$K,Movimientos!$H:$H,A640))</f>
        <v>0</v>
      </c>
      <c r="K640" s="14" t="str">
        <f t="shared" ca="1" si="21"/>
        <v>OK</v>
      </c>
    </row>
    <row r="641" spans="1:11">
      <c r="A641" s="18" t="s">
        <v>2714</v>
      </c>
      <c r="B641" s="3" t="str">
        <f>IFERROR(INDEX(Movimientos!$C$5:$C$2001,MATCH(A641&amp;"ENTRADA",Movimientos!$R$5:$R$2001,0)),"-")</f>
        <v>-</v>
      </c>
      <c r="C641" s="3" t="str">
        <f>IFERROR(INDEX(Movimientos!$D$5:$D$2001,MATCH(A641&amp;"ENTRADA",Movimientos!$R$5:$R$2001,0)),"-")</f>
        <v>-</v>
      </c>
      <c r="D641" s="3" t="str">
        <f>IFERROR(INDEX(Movimientos!$E$5:$E$2001,MATCH(A641&amp;"ENTRADA",Movimientos!$R$5:$R$2001,0)),"-")</f>
        <v>-</v>
      </c>
      <c r="E641" s="3" t="str">
        <f>IFERROR(INDEX(Movimientos!$F$5:$F$2001,MATCH(A641&amp;"ENTRADA",Movimientos!$R$5:$R$2001,0)),"-")</f>
        <v>-</v>
      </c>
      <c r="F641" s="3" t="str">
        <f>IFERROR(INDEX(Movimientos!$G$5:$G$2001,MATCH(A641&amp;"ENTRADA",Movimientos!$R$5:$R$2001,0)),"-")</f>
        <v>-</v>
      </c>
      <c r="G641" s="3" t="str">
        <f>IFERROR(INDEX(Movimientos!$L$5:$L$2001,MATCH(A641&amp;"ENTRADA",Movimientos!$R$5:$R$2001,0)),"-")</f>
        <v>-</v>
      </c>
      <c r="H641" s="19" t="str">
        <f>IFERROR(IF(INDEX(Movimientos!$M$5:$M$2001,MATCH(A641&amp;"ENTRADA",Movimientos!$R$5:$R$2001,0))=0,"S/D",INDEX(Movimientos!$M$5:$M$2001,MATCH(A641&amp;"ENTRADA",Movimientos!$R$5:$R$2001,0))),"S/D")</f>
        <v>S/D</v>
      </c>
      <c r="I641" s="16" t="str">
        <f t="shared" ca="1" si="20"/>
        <v>S/D</v>
      </c>
      <c r="J641" s="6">
        <f>IF(A641="","",SUMIFS(Movimientos!$K:$K,Movimientos!$H:$H,A641))</f>
        <v>0</v>
      </c>
      <c r="K641" s="14" t="str">
        <f t="shared" ca="1" si="21"/>
        <v>OK</v>
      </c>
    </row>
    <row r="642" spans="1:11">
      <c r="A642" s="18" t="s">
        <v>2715</v>
      </c>
      <c r="B642" s="3" t="str">
        <f>IFERROR(INDEX(Movimientos!$C$5:$C$2001,MATCH(A642&amp;"ENTRADA",Movimientos!$R$5:$R$2001,0)),"-")</f>
        <v>-</v>
      </c>
      <c r="C642" s="3" t="str">
        <f>IFERROR(INDEX(Movimientos!$D$5:$D$2001,MATCH(A642&amp;"ENTRADA",Movimientos!$R$5:$R$2001,0)),"-")</f>
        <v>-</v>
      </c>
      <c r="D642" s="3" t="str">
        <f>IFERROR(INDEX(Movimientos!$E$5:$E$2001,MATCH(A642&amp;"ENTRADA",Movimientos!$R$5:$R$2001,0)),"-")</f>
        <v>-</v>
      </c>
      <c r="E642" s="3" t="str">
        <f>IFERROR(INDEX(Movimientos!$F$5:$F$2001,MATCH(A642&amp;"ENTRADA",Movimientos!$R$5:$R$2001,0)),"-")</f>
        <v>-</v>
      </c>
      <c r="F642" s="3" t="str">
        <f>IFERROR(INDEX(Movimientos!$G$5:$G$2001,MATCH(A642&amp;"ENTRADA",Movimientos!$R$5:$R$2001,0)),"-")</f>
        <v>-</v>
      </c>
      <c r="G642" s="3" t="str">
        <f>IFERROR(INDEX(Movimientos!$L$5:$L$2001,MATCH(A642&amp;"ENTRADA",Movimientos!$R$5:$R$2001,0)),"-")</f>
        <v>-</v>
      </c>
      <c r="H642" s="19" t="str">
        <f>IFERROR(IF(INDEX(Movimientos!$M$5:$M$2001,MATCH(A642&amp;"ENTRADA",Movimientos!$R$5:$R$2001,0))=0,"S/D",INDEX(Movimientos!$M$5:$M$2001,MATCH(A642&amp;"ENTRADA",Movimientos!$R$5:$R$2001,0))),"S/D")</f>
        <v>S/D</v>
      </c>
      <c r="I642" s="16" t="str">
        <f t="shared" ca="1" si="20"/>
        <v>S/D</v>
      </c>
      <c r="J642" s="6">
        <f>IF(A642="","",SUMIFS(Movimientos!$K:$K,Movimientos!$H:$H,A642))</f>
        <v>0</v>
      </c>
      <c r="K642" s="14" t="str">
        <f t="shared" ca="1" si="21"/>
        <v>OK</v>
      </c>
    </row>
    <row r="643" spans="1:11">
      <c r="A643" s="18" t="s">
        <v>2716</v>
      </c>
      <c r="B643" s="3" t="str">
        <f>IFERROR(INDEX(Movimientos!$C$5:$C$2001,MATCH(A643&amp;"ENTRADA",Movimientos!$R$5:$R$2001,0)),"-")</f>
        <v>-</v>
      </c>
      <c r="C643" s="3" t="str">
        <f>IFERROR(INDEX(Movimientos!$D$5:$D$2001,MATCH(A643&amp;"ENTRADA",Movimientos!$R$5:$R$2001,0)),"-")</f>
        <v>-</v>
      </c>
      <c r="D643" s="3" t="str">
        <f>IFERROR(INDEX(Movimientos!$E$5:$E$2001,MATCH(A643&amp;"ENTRADA",Movimientos!$R$5:$R$2001,0)),"-")</f>
        <v>-</v>
      </c>
      <c r="E643" s="3" t="str">
        <f>IFERROR(INDEX(Movimientos!$F$5:$F$2001,MATCH(A643&amp;"ENTRADA",Movimientos!$R$5:$R$2001,0)),"-")</f>
        <v>-</v>
      </c>
      <c r="F643" s="3" t="str">
        <f>IFERROR(INDEX(Movimientos!$G$5:$G$2001,MATCH(A643&amp;"ENTRADA",Movimientos!$R$5:$R$2001,0)),"-")</f>
        <v>-</v>
      </c>
      <c r="G643" s="3" t="str">
        <f>IFERROR(INDEX(Movimientos!$L$5:$L$2001,MATCH(A643&amp;"ENTRADA",Movimientos!$R$5:$R$2001,0)),"-")</f>
        <v>-</v>
      </c>
      <c r="H643" s="19" t="str">
        <f>IFERROR(IF(INDEX(Movimientos!$M$5:$M$2001,MATCH(A643&amp;"ENTRADA",Movimientos!$R$5:$R$2001,0))=0,"S/D",INDEX(Movimientos!$M$5:$M$2001,MATCH(A643&amp;"ENTRADA",Movimientos!$R$5:$R$2001,0))),"S/D")</f>
        <v>S/D</v>
      </c>
      <c r="I643" s="16" t="str">
        <f t="shared" ca="1" si="20"/>
        <v>S/D</v>
      </c>
      <c r="J643" s="6">
        <f>IF(A643="","",SUMIFS(Movimientos!$K:$K,Movimientos!$H:$H,A643))</f>
        <v>0</v>
      </c>
      <c r="K643" s="14" t="str">
        <f t="shared" ca="1" si="21"/>
        <v>OK</v>
      </c>
    </row>
    <row r="644" spans="1:11">
      <c r="A644" s="18" t="s">
        <v>2717</v>
      </c>
      <c r="B644" s="3" t="str">
        <f>IFERROR(INDEX(Movimientos!$C$5:$C$2001,MATCH(A644&amp;"ENTRADA",Movimientos!$R$5:$R$2001,0)),"-")</f>
        <v>-</v>
      </c>
      <c r="C644" s="3" t="str">
        <f>IFERROR(INDEX(Movimientos!$D$5:$D$2001,MATCH(A644&amp;"ENTRADA",Movimientos!$R$5:$R$2001,0)),"-")</f>
        <v>-</v>
      </c>
      <c r="D644" s="3" t="str">
        <f>IFERROR(INDEX(Movimientos!$E$5:$E$2001,MATCH(A644&amp;"ENTRADA",Movimientos!$R$5:$R$2001,0)),"-")</f>
        <v>-</v>
      </c>
      <c r="E644" s="3" t="str">
        <f>IFERROR(INDEX(Movimientos!$F$5:$F$2001,MATCH(A644&amp;"ENTRADA",Movimientos!$R$5:$R$2001,0)),"-")</f>
        <v>-</v>
      </c>
      <c r="F644" s="3" t="str">
        <f>IFERROR(INDEX(Movimientos!$G$5:$G$2001,MATCH(A644&amp;"ENTRADA",Movimientos!$R$5:$R$2001,0)),"-")</f>
        <v>-</v>
      </c>
      <c r="G644" s="3" t="str">
        <f>IFERROR(INDEX(Movimientos!$L$5:$L$2001,MATCH(A644&amp;"ENTRADA",Movimientos!$R$5:$R$2001,0)),"-")</f>
        <v>-</v>
      </c>
      <c r="H644" s="19" t="str">
        <f>IFERROR(IF(INDEX(Movimientos!$M$5:$M$2001,MATCH(A644&amp;"ENTRADA",Movimientos!$R$5:$R$2001,0))=0,"S/D",INDEX(Movimientos!$M$5:$M$2001,MATCH(A644&amp;"ENTRADA",Movimientos!$R$5:$R$2001,0))),"S/D")</f>
        <v>S/D</v>
      </c>
      <c r="I644" s="16" t="str">
        <f t="shared" ca="1" si="20"/>
        <v>S/D</v>
      </c>
      <c r="J644" s="6">
        <f>IF(A644="","",SUMIFS(Movimientos!$K:$K,Movimientos!$H:$H,A644))</f>
        <v>0</v>
      </c>
      <c r="K644" s="14" t="str">
        <f t="shared" ca="1" si="21"/>
        <v>OK</v>
      </c>
    </row>
    <row r="645" spans="1:11">
      <c r="A645" s="18" t="s">
        <v>2718</v>
      </c>
      <c r="B645" s="3" t="str">
        <f>IFERROR(INDEX(Movimientos!$C$5:$C$2001,MATCH(A645&amp;"ENTRADA",Movimientos!$R$5:$R$2001,0)),"-")</f>
        <v>-</v>
      </c>
      <c r="C645" s="3" t="str">
        <f>IFERROR(INDEX(Movimientos!$D$5:$D$2001,MATCH(A645&amp;"ENTRADA",Movimientos!$R$5:$R$2001,0)),"-")</f>
        <v>-</v>
      </c>
      <c r="D645" s="3" t="str">
        <f>IFERROR(INDEX(Movimientos!$E$5:$E$2001,MATCH(A645&amp;"ENTRADA",Movimientos!$R$5:$R$2001,0)),"-")</f>
        <v>-</v>
      </c>
      <c r="E645" s="3" t="str">
        <f>IFERROR(INDEX(Movimientos!$F$5:$F$2001,MATCH(A645&amp;"ENTRADA",Movimientos!$R$5:$R$2001,0)),"-")</f>
        <v>-</v>
      </c>
      <c r="F645" s="3" t="str">
        <f>IFERROR(INDEX(Movimientos!$G$5:$G$2001,MATCH(A645&amp;"ENTRADA",Movimientos!$R$5:$R$2001,0)),"-")</f>
        <v>-</v>
      </c>
      <c r="G645" s="3" t="str">
        <f>IFERROR(INDEX(Movimientos!$L$5:$L$2001,MATCH(A645&amp;"ENTRADA",Movimientos!$R$5:$R$2001,0)),"-")</f>
        <v>-</v>
      </c>
      <c r="H645" s="19" t="str">
        <f>IFERROR(IF(INDEX(Movimientos!$M$5:$M$2001,MATCH(A645&amp;"ENTRADA",Movimientos!$R$5:$R$2001,0))=0,"S/D",INDEX(Movimientos!$M$5:$M$2001,MATCH(A645&amp;"ENTRADA",Movimientos!$R$5:$R$2001,0))),"S/D")</f>
        <v>S/D</v>
      </c>
      <c r="I645" s="16" t="str">
        <f t="shared" ca="1" si="20"/>
        <v>S/D</v>
      </c>
      <c r="J645" s="6">
        <f>IF(A645="","",SUMIFS(Movimientos!$K:$K,Movimientos!$H:$H,A645))</f>
        <v>0</v>
      </c>
      <c r="K645" s="14" t="str">
        <f t="shared" ca="1" si="21"/>
        <v>OK</v>
      </c>
    </row>
    <row r="646" spans="1:11">
      <c r="A646" s="18" t="s">
        <v>2719</v>
      </c>
      <c r="B646" s="3" t="str">
        <f>IFERROR(INDEX(Movimientos!$C$5:$C$2001,MATCH(A646&amp;"ENTRADA",Movimientos!$R$5:$R$2001,0)),"-")</f>
        <v>-</v>
      </c>
      <c r="C646" s="3" t="str">
        <f>IFERROR(INDEX(Movimientos!$D$5:$D$2001,MATCH(A646&amp;"ENTRADA",Movimientos!$R$5:$R$2001,0)),"-")</f>
        <v>-</v>
      </c>
      <c r="D646" s="3" t="str">
        <f>IFERROR(INDEX(Movimientos!$E$5:$E$2001,MATCH(A646&amp;"ENTRADA",Movimientos!$R$5:$R$2001,0)),"-")</f>
        <v>-</v>
      </c>
      <c r="E646" s="3" t="str">
        <f>IFERROR(INDEX(Movimientos!$F$5:$F$2001,MATCH(A646&amp;"ENTRADA",Movimientos!$R$5:$R$2001,0)),"-")</f>
        <v>-</v>
      </c>
      <c r="F646" s="3" t="str">
        <f>IFERROR(INDEX(Movimientos!$G$5:$G$2001,MATCH(A646&amp;"ENTRADA",Movimientos!$R$5:$R$2001,0)),"-")</f>
        <v>-</v>
      </c>
      <c r="G646" s="3" t="str">
        <f>IFERROR(INDEX(Movimientos!$L$5:$L$2001,MATCH(A646&amp;"ENTRADA",Movimientos!$R$5:$R$2001,0)),"-")</f>
        <v>-</v>
      </c>
      <c r="H646" s="19" t="str">
        <f>IFERROR(IF(INDEX(Movimientos!$M$5:$M$2001,MATCH(A646&amp;"ENTRADA",Movimientos!$R$5:$R$2001,0))=0,"S/D",INDEX(Movimientos!$M$5:$M$2001,MATCH(A646&amp;"ENTRADA",Movimientos!$R$5:$R$2001,0))),"S/D")</f>
        <v>S/D</v>
      </c>
      <c r="I646" s="16" t="str">
        <f t="shared" ca="1" si="20"/>
        <v>S/D</v>
      </c>
      <c r="J646" s="6">
        <f>IF(A646="","",SUMIFS(Movimientos!$K:$K,Movimientos!$H:$H,A646))</f>
        <v>0</v>
      </c>
      <c r="K646" s="14" t="str">
        <f t="shared" ca="1" si="21"/>
        <v>OK</v>
      </c>
    </row>
    <row r="647" spans="1:11">
      <c r="A647" s="18" t="s">
        <v>2720</v>
      </c>
      <c r="B647" s="3" t="str">
        <f>IFERROR(INDEX(Movimientos!$C$5:$C$2001,MATCH(A647&amp;"ENTRADA",Movimientos!$R$5:$R$2001,0)),"-")</f>
        <v>-</v>
      </c>
      <c r="C647" s="3" t="str">
        <f>IFERROR(INDEX(Movimientos!$D$5:$D$2001,MATCH(A647&amp;"ENTRADA",Movimientos!$R$5:$R$2001,0)),"-")</f>
        <v>-</v>
      </c>
      <c r="D647" s="3" t="str">
        <f>IFERROR(INDEX(Movimientos!$E$5:$E$2001,MATCH(A647&amp;"ENTRADA",Movimientos!$R$5:$R$2001,0)),"-")</f>
        <v>-</v>
      </c>
      <c r="E647" s="3" t="str">
        <f>IFERROR(INDEX(Movimientos!$F$5:$F$2001,MATCH(A647&amp;"ENTRADA",Movimientos!$R$5:$R$2001,0)),"-")</f>
        <v>-</v>
      </c>
      <c r="F647" s="3" t="str">
        <f>IFERROR(INDEX(Movimientos!$G$5:$G$2001,MATCH(A647&amp;"ENTRADA",Movimientos!$R$5:$R$2001,0)),"-")</f>
        <v>-</v>
      </c>
      <c r="G647" s="3" t="str">
        <f>IFERROR(INDEX(Movimientos!$L$5:$L$2001,MATCH(A647&amp;"ENTRADA",Movimientos!$R$5:$R$2001,0)),"-")</f>
        <v>-</v>
      </c>
      <c r="H647" s="19" t="str">
        <f>IFERROR(IF(INDEX(Movimientos!$M$5:$M$2001,MATCH(A647&amp;"ENTRADA",Movimientos!$R$5:$R$2001,0))=0,"S/D",INDEX(Movimientos!$M$5:$M$2001,MATCH(A647&amp;"ENTRADA",Movimientos!$R$5:$R$2001,0))),"S/D")</f>
        <v>S/D</v>
      </c>
      <c r="I647" s="16" t="str">
        <f t="shared" ca="1" si="20"/>
        <v>S/D</v>
      </c>
      <c r="J647" s="6">
        <f>IF(A647="","",SUMIFS(Movimientos!$K:$K,Movimientos!$H:$H,A647))</f>
        <v>0</v>
      </c>
      <c r="K647" s="14" t="str">
        <f t="shared" ca="1" si="21"/>
        <v>OK</v>
      </c>
    </row>
    <row r="648" spans="1:11">
      <c r="A648" s="18" t="s">
        <v>2721</v>
      </c>
      <c r="B648" s="3" t="str">
        <f>IFERROR(INDEX(Movimientos!$C$5:$C$2001,MATCH(A648&amp;"ENTRADA",Movimientos!$R$5:$R$2001,0)),"-")</f>
        <v>-</v>
      </c>
      <c r="C648" s="3" t="str">
        <f>IFERROR(INDEX(Movimientos!$D$5:$D$2001,MATCH(A648&amp;"ENTRADA",Movimientos!$R$5:$R$2001,0)),"-")</f>
        <v>-</v>
      </c>
      <c r="D648" s="3" t="str">
        <f>IFERROR(INDEX(Movimientos!$E$5:$E$2001,MATCH(A648&amp;"ENTRADA",Movimientos!$R$5:$R$2001,0)),"-")</f>
        <v>-</v>
      </c>
      <c r="E648" s="3" t="str">
        <f>IFERROR(INDEX(Movimientos!$F$5:$F$2001,MATCH(A648&amp;"ENTRADA",Movimientos!$R$5:$R$2001,0)),"-")</f>
        <v>-</v>
      </c>
      <c r="F648" s="3" t="str">
        <f>IFERROR(INDEX(Movimientos!$G$5:$G$2001,MATCH(A648&amp;"ENTRADA",Movimientos!$R$5:$R$2001,0)),"-")</f>
        <v>-</v>
      </c>
      <c r="G648" s="3" t="str">
        <f>IFERROR(INDEX(Movimientos!$L$5:$L$2001,MATCH(A648&amp;"ENTRADA",Movimientos!$R$5:$R$2001,0)),"-")</f>
        <v>-</v>
      </c>
      <c r="H648" s="19" t="str">
        <f>IFERROR(IF(INDEX(Movimientos!$M$5:$M$2001,MATCH(A648&amp;"ENTRADA",Movimientos!$R$5:$R$2001,0))=0,"S/D",INDEX(Movimientos!$M$5:$M$2001,MATCH(A648&amp;"ENTRADA",Movimientos!$R$5:$R$2001,0))),"S/D")</f>
        <v>S/D</v>
      </c>
      <c r="I648" s="16" t="str">
        <f t="shared" ca="1" si="20"/>
        <v>S/D</v>
      </c>
      <c r="J648" s="6">
        <f>IF(A648="","",SUMIFS(Movimientos!$K:$K,Movimientos!$H:$H,A648))</f>
        <v>0</v>
      </c>
      <c r="K648" s="14" t="str">
        <f t="shared" ca="1" si="21"/>
        <v>OK</v>
      </c>
    </row>
    <row r="649" spans="1:11">
      <c r="A649" s="18" t="s">
        <v>2722</v>
      </c>
      <c r="B649" s="3" t="str">
        <f>IFERROR(INDEX(Movimientos!$C$5:$C$2001,MATCH(A649&amp;"ENTRADA",Movimientos!$R$5:$R$2001,0)),"-")</f>
        <v>-</v>
      </c>
      <c r="C649" s="3" t="str">
        <f>IFERROR(INDEX(Movimientos!$D$5:$D$2001,MATCH(A649&amp;"ENTRADA",Movimientos!$R$5:$R$2001,0)),"-")</f>
        <v>-</v>
      </c>
      <c r="D649" s="3" t="str">
        <f>IFERROR(INDEX(Movimientos!$E$5:$E$2001,MATCH(A649&amp;"ENTRADA",Movimientos!$R$5:$R$2001,0)),"-")</f>
        <v>-</v>
      </c>
      <c r="E649" s="3" t="str">
        <f>IFERROR(INDEX(Movimientos!$F$5:$F$2001,MATCH(A649&amp;"ENTRADA",Movimientos!$R$5:$R$2001,0)),"-")</f>
        <v>-</v>
      </c>
      <c r="F649" s="3" t="str">
        <f>IFERROR(INDEX(Movimientos!$G$5:$G$2001,MATCH(A649&amp;"ENTRADA",Movimientos!$R$5:$R$2001,0)),"-")</f>
        <v>-</v>
      </c>
      <c r="G649" s="3" t="str">
        <f>IFERROR(INDEX(Movimientos!$L$5:$L$2001,MATCH(A649&amp;"ENTRADA",Movimientos!$R$5:$R$2001,0)),"-")</f>
        <v>-</v>
      </c>
      <c r="H649" s="19" t="str">
        <f>IFERROR(IF(INDEX(Movimientos!$M$5:$M$2001,MATCH(A649&amp;"ENTRADA",Movimientos!$R$5:$R$2001,0))=0,"S/D",INDEX(Movimientos!$M$5:$M$2001,MATCH(A649&amp;"ENTRADA",Movimientos!$R$5:$R$2001,0))),"S/D")</f>
        <v>S/D</v>
      </c>
      <c r="I649" s="16" t="str">
        <f t="shared" ca="1" si="20"/>
        <v>S/D</v>
      </c>
      <c r="J649" s="6">
        <f>IF(A649="","",SUMIFS(Movimientos!$K:$K,Movimientos!$H:$H,A649))</f>
        <v>0</v>
      </c>
      <c r="K649" s="14" t="str">
        <f t="shared" ca="1" si="21"/>
        <v>OK</v>
      </c>
    </row>
    <row r="650" spans="1:11">
      <c r="A650" s="18" t="s">
        <v>2723</v>
      </c>
      <c r="B650" s="3" t="str">
        <f>IFERROR(INDEX(Movimientos!$C$5:$C$2001,MATCH(A650&amp;"ENTRADA",Movimientos!$R$5:$R$2001,0)),"-")</f>
        <v>-</v>
      </c>
      <c r="C650" s="3" t="str">
        <f>IFERROR(INDEX(Movimientos!$D$5:$D$2001,MATCH(A650&amp;"ENTRADA",Movimientos!$R$5:$R$2001,0)),"-")</f>
        <v>-</v>
      </c>
      <c r="D650" s="3" t="str">
        <f>IFERROR(INDEX(Movimientos!$E$5:$E$2001,MATCH(A650&amp;"ENTRADA",Movimientos!$R$5:$R$2001,0)),"-")</f>
        <v>-</v>
      </c>
      <c r="E650" s="3" t="str">
        <f>IFERROR(INDEX(Movimientos!$F$5:$F$2001,MATCH(A650&amp;"ENTRADA",Movimientos!$R$5:$R$2001,0)),"-")</f>
        <v>-</v>
      </c>
      <c r="F650" s="3" t="str">
        <f>IFERROR(INDEX(Movimientos!$G$5:$G$2001,MATCH(A650&amp;"ENTRADA",Movimientos!$R$5:$R$2001,0)),"-")</f>
        <v>-</v>
      </c>
      <c r="G650" s="3" t="str">
        <f>IFERROR(INDEX(Movimientos!$L$5:$L$2001,MATCH(A650&amp;"ENTRADA",Movimientos!$R$5:$R$2001,0)),"-")</f>
        <v>-</v>
      </c>
      <c r="H650" s="19" t="str">
        <f>IFERROR(IF(INDEX(Movimientos!$M$5:$M$2001,MATCH(A650&amp;"ENTRADA",Movimientos!$R$5:$R$2001,0))=0,"S/D",INDEX(Movimientos!$M$5:$M$2001,MATCH(A650&amp;"ENTRADA",Movimientos!$R$5:$R$2001,0))),"S/D")</f>
        <v>S/D</v>
      </c>
      <c r="I650" s="16" t="str">
        <f t="shared" ca="1" si="20"/>
        <v>S/D</v>
      </c>
      <c r="J650" s="6">
        <f>IF(A650="","",SUMIFS(Movimientos!$K:$K,Movimientos!$H:$H,A650))</f>
        <v>0</v>
      </c>
      <c r="K650" s="14" t="str">
        <f t="shared" ca="1" si="21"/>
        <v>OK</v>
      </c>
    </row>
    <row r="651" spans="1:11">
      <c r="A651" s="18" t="s">
        <v>2724</v>
      </c>
      <c r="B651" s="3" t="str">
        <f>IFERROR(INDEX(Movimientos!$C$5:$C$2001,MATCH(A651&amp;"ENTRADA",Movimientos!$R$5:$R$2001,0)),"-")</f>
        <v>-</v>
      </c>
      <c r="C651" s="3" t="str">
        <f>IFERROR(INDEX(Movimientos!$D$5:$D$2001,MATCH(A651&amp;"ENTRADA",Movimientos!$R$5:$R$2001,0)),"-")</f>
        <v>-</v>
      </c>
      <c r="D651" s="3" t="str">
        <f>IFERROR(INDEX(Movimientos!$E$5:$E$2001,MATCH(A651&amp;"ENTRADA",Movimientos!$R$5:$R$2001,0)),"-")</f>
        <v>-</v>
      </c>
      <c r="E651" s="3" t="str">
        <f>IFERROR(INDEX(Movimientos!$F$5:$F$2001,MATCH(A651&amp;"ENTRADA",Movimientos!$R$5:$R$2001,0)),"-")</f>
        <v>-</v>
      </c>
      <c r="F651" s="3" t="str">
        <f>IFERROR(INDEX(Movimientos!$G$5:$G$2001,MATCH(A651&amp;"ENTRADA",Movimientos!$R$5:$R$2001,0)),"-")</f>
        <v>-</v>
      </c>
      <c r="G651" s="3" t="str">
        <f>IFERROR(INDEX(Movimientos!$L$5:$L$2001,MATCH(A651&amp;"ENTRADA",Movimientos!$R$5:$R$2001,0)),"-")</f>
        <v>-</v>
      </c>
      <c r="H651" s="19" t="str">
        <f>IFERROR(IF(INDEX(Movimientos!$M$5:$M$2001,MATCH(A651&amp;"ENTRADA",Movimientos!$R$5:$R$2001,0))=0,"S/D",INDEX(Movimientos!$M$5:$M$2001,MATCH(A651&amp;"ENTRADA",Movimientos!$R$5:$R$2001,0))),"S/D")</f>
        <v>S/D</v>
      </c>
      <c r="I651" s="16" t="str">
        <f t="shared" ref="I651:I714" ca="1" si="22">IF(OR(A651="",H651="S/D"),"S/D",H651-TODAY())</f>
        <v>S/D</v>
      </c>
      <c r="J651" s="6">
        <f>IF(A651="","",SUMIFS(Movimientos!$K:$K,Movimientos!$H:$H,A651))</f>
        <v>0</v>
      </c>
      <c r="K651" s="14" t="str">
        <f t="shared" ref="K651:K714" ca="1" si="23">IF(A651="","",IF(H651="S/D","OK",IF(H651&lt;TODAY(),"VENCIDO",IF(J651&lt;=0,"SIN STOCK",IF(I651&gt;=180,"OK","PRÓXIMO A VENCER")))))</f>
        <v>OK</v>
      </c>
    </row>
    <row r="652" spans="1:11">
      <c r="A652" s="18" t="s">
        <v>2725</v>
      </c>
      <c r="B652" s="3" t="str">
        <f>IFERROR(INDEX(Movimientos!$C$5:$C$2001,MATCH(A652&amp;"ENTRADA",Movimientos!$R$5:$R$2001,0)),"-")</f>
        <v>-</v>
      </c>
      <c r="C652" s="3" t="str">
        <f>IFERROR(INDEX(Movimientos!$D$5:$D$2001,MATCH(A652&amp;"ENTRADA",Movimientos!$R$5:$R$2001,0)),"-")</f>
        <v>-</v>
      </c>
      <c r="D652" s="3" t="str">
        <f>IFERROR(INDEX(Movimientos!$E$5:$E$2001,MATCH(A652&amp;"ENTRADA",Movimientos!$R$5:$R$2001,0)),"-")</f>
        <v>-</v>
      </c>
      <c r="E652" s="3" t="str">
        <f>IFERROR(INDEX(Movimientos!$F$5:$F$2001,MATCH(A652&amp;"ENTRADA",Movimientos!$R$5:$R$2001,0)),"-")</f>
        <v>-</v>
      </c>
      <c r="F652" s="3" t="str">
        <f>IFERROR(INDEX(Movimientos!$G$5:$G$2001,MATCH(A652&amp;"ENTRADA",Movimientos!$R$5:$R$2001,0)),"-")</f>
        <v>-</v>
      </c>
      <c r="G652" s="3" t="str">
        <f>IFERROR(INDEX(Movimientos!$L$5:$L$2001,MATCH(A652&amp;"ENTRADA",Movimientos!$R$5:$R$2001,0)),"-")</f>
        <v>-</v>
      </c>
      <c r="H652" s="19" t="str">
        <f>IFERROR(IF(INDEX(Movimientos!$M$5:$M$2001,MATCH(A652&amp;"ENTRADA",Movimientos!$R$5:$R$2001,0))=0,"S/D",INDEX(Movimientos!$M$5:$M$2001,MATCH(A652&amp;"ENTRADA",Movimientos!$R$5:$R$2001,0))),"S/D")</f>
        <v>S/D</v>
      </c>
      <c r="I652" s="16" t="str">
        <f t="shared" ca="1" si="22"/>
        <v>S/D</v>
      </c>
      <c r="J652" s="6">
        <f>IF(A652="","",SUMIFS(Movimientos!$K:$K,Movimientos!$H:$H,A652))</f>
        <v>0</v>
      </c>
      <c r="K652" s="14" t="str">
        <f t="shared" ca="1" si="23"/>
        <v>OK</v>
      </c>
    </row>
    <row r="653" spans="1:11">
      <c r="A653" s="18" t="s">
        <v>2726</v>
      </c>
      <c r="B653" s="3" t="str">
        <f>IFERROR(INDEX(Movimientos!$C$5:$C$2001,MATCH(A653&amp;"ENTRADA",Movimientos!$R$5:$R$2001,0)),"-")</f>
        <v>-</v>
      </c>
      <c r="C653" s="3" t="str">
        <f>IFERROR(INDEX(Movimientos!$D$5:$D$2001,MATCH(A653&amp;"ENTRADA",Movimientos!$R$5:$R$2001,0)),"-")</f>
        <v>-</v>
      </c>
      <c r="D653" s="3" t="str">
        <f>IFERROR(INDEX(Movimientos!$E$5:$E$2001,MATCH(A653&amp;"ENTRADA",Movimientos!$R$5:$R$2001,0)),"-")</f>
        <v>-</v>
      </c>
      <c r="E653" s="3" t="str">
        <f>IFERROR(INDEX(Movimientos!$F$5:$F$2001,MATCH(A653&amp;"ENTRADA",Movimientos!$R$5:$R$2001,0)),"-")</f>
        <v>-</v>
      </c>
      <c r="F653" s="3" t="str">
        <f>IFERROR(INDEX(Movimientos!$G$5:$G$2001,MATCH(A653&amp;"ENTRADA",Movimientos!$R$5:$R$2001,0)),"-")</f>
        <v>-</v>
      </c>
      <c r="G653" s="3" t="str">
        <f>IFERROR(INDEX(Movimientos!$L$5:$L$2001,MATCH(A653&amp;"ENTRADA",Movimientos!$R$5:$R$2001,0)),"-")</f>
        <v>-</v>
      </c>
      <c r="H653" s="19" t="str">
        <f>IFERROR(IF(INDEX(Movimientos!$M$5:$M$2001,MATCH(A653&amp;"ENTRADA",Movimientos!$R$5:$R$2001,0))=0,"S/D",INDEX(Movimientos!$M$5:$M$2001,MATCH(A653&amp;"ENTRADA",Movimientos!$R$5:$R$2001,0))),"S/D")</f>
        <v>S/D</v>
      </c>
      <c r="I653" s="16" t="str">
        <f t="shared" ca="1" si="22"/>
        <v>S/D</v>
      </c>
      <c r="J653" s="6">
        <f>IF(A653="","",SUMIFS(Movimientos!$K:$K,Movimientos!$H:$H,A653))</f>
        <v>0</v>
      </c>
      <c r="K653" s="14" t="str">
        <f t="shared" ca="1" si="23"/>
        <v>OK</v>
      </c>
    </row>
    <row r="654" spans="1:11">
      <c r="A654" s="18" t="s">
        <v>2727</v>
      </c>
      <c r="B654" s="3" t="str">
        <f>IFERROR(INDEX(Movimientos!$C$5:$C$2001,MATCH(A654&amp;"ENTRADA",Movimientos!$R$5:$R$2001,0)),"-")</f>
        <v>-</v>
      </c>
      <c r="C654" s="3" t="str">
        <f>IFERROR(INDEX(Movimientos!$D$5:$D$2001,MATCH(A654&amp;"ENTRADA",Movimientos!$R$5:$R$2001,0)),"-")</f>
        <v>-</v>
      </c>
      <c r="D654" s="3" t="str">
        <f>IFERROR(INDEX(Movimientos!$E$5:$E$2001,MATCH(A654&amp;"ENTRADA",Movimientos!$R$5:$R$2001,0)),"-")</f>
        <v>-</v>
      </c>
      <c r="E654" s="3" t="str">
        <f>IFERROR(INDEX(Movimientos!$F$5:$F$2001,MATCH(A654&amp;"ENTRADA",Movimientos!$R$5:$R$2001,0)),"-")</f>
        <v>-</v>
      </c>
      <c r="F654" s="3" t="str">
        <f>IFERROR(INDEX(Movimientos!$G$5:$G$2001,MATCH(A654&amp;"ENTRADA",Movimientos!$R$5:$R$2001,0)),"-")</f>
        <v>-</v>
      </c>
      <c r="G654" s="3" t="str">
        <f>IFERROR(INDEX(Movimientos!$L$5:$L$2001,MATCH(A654&amp;"ENTRADA",Movimientos!$R$5:$R$2001,0)),"-")</f>
        <v>-</v>
      </c>
      <c r="H654" s="19" t="str">
        <f>IFERROR(IF(INDEX(Movimientos!$M$5:$M$2001,MATCH(A654&amp;"ENTRADA",Movimientos!$R$5:$R$2001,0))=0,"S/D",INDEX(Movimientos!$M$5:$M$2001,MATCH(A654&amp;"ENTRADA",Movimientos!$R$5:$R$2001,0))),"S/D")</f>
        <v>S/D</v>
      </c>
      <c r="I654" s="16" t="str">
        <f t="shared" ca="1" si="22"/>
        <v>S/D</v>
      </c>
      <c r="J654" s="6">
        <f>IF(A654="","",SUMIFS(Movimientos!$K:$K,Movimientos!$H:$H,A654))</f>
        <v>0</v>
      </c>
      <c r="K654" s="14" t="str">
        <f t="shared" ca="1" si="23"/>
        <v>OK</v>
      </c>
    </row>
    <row r="655" spans="1:11">
      <c r="A655" s="18" t="s">
        <v>2728</v>
      </c>
      <c r="B655" s="3" t="str">
        <f>IFERROR(INDEX(Movimientos!$C$5:$C$2001,MATCH(A655&amp;"ENTRADA",Movimientos!$R$5:$R$2001,0)),"-")</f>
        <v>-</v>
      </c>
      <c r="C655" s="3" t="str">
        <f>IFERROR(INDEX(Movimientos!$D$5:$D$2001,MATCH(A655&amp;"ENTRADA",Movimientos!$R$5:$R$2001,0)),"-")</f>
        <v>-</v>
      </c>
      <c r="D655" s="3" t="str">
        <f>IFERROR(INDEX(Movimientos!$E$5:$E$2001,MATCH(A655&amp;"ENTRADA",Movimientos!$R$5:$R$2001,0)),"-")</f>
        <v>-</v>
      </c>
      <c r="E655" s="3" t="str">
        <f>IFERROR(INDEX(Movimientos!$F$5:$F$2001,MATCH(A655&amp;"ENTRADA",Movimientos!$R$5:$R$2001,0)),"-")</f>
        <v>-</v>
      </c>
      <c r="F655" s="3" t="str">
        <f>IFERROR(INDEX(Movimientos!$G$5:$G$2001,MATCH(A655&amp;"ENTRADA",Movimientos!$R$5:$R$2001,0)),"-")</f>
        <v>-</v>
      </c>
      <c r="G655" s="3" t="str">
        <f>IFERROR(INDEX(Movimientos!$L$5:$L$2001,MATCH(A655&amp;"ENTRADA",Movimientos!$R$5:$R$2001,0)),"-")</f>
        <v>-</v>
      </c>
      <c r="H655" s="19" t="str">
        <f>IFERROR(IF(INDEX(Movimientos!$M$5:$M$2001,MATCH(A655&amp;"ENTRADA",Movimientos!$R$5:$R$2001,0))=0,"S/D",INDEX(Movimientos!$M$5:$M$2001,MATCH(A655&amp;"ENTRADA",Movimientos!$R$5:$R$2001,0))),"S/D")</f>
        <v>S/D</v>
      </c>
      <c r="I655" s="16" t="str">
        <f t="shared" ca="1" si="22"/>
        <v>S/D</v>
      </c>
      <c r="J655" s="6">
        <f>IF(A655="","",SUMIFS(Movimientos!$K:$K,Movimientos!$H:$H,A655))</f>
        <v>0</v>
      </c>
      <c r="K655" s="14" t="str">
        <f t="shared" ca="1" si="23"/>
        <v>OK</v>
      </c>
    </row>
    <row r="656" spans="1:11">
      <c r="A656" s="18" t="s">
        <v>2729</v>
      </c>
      <c r="B656" s="3" t="str">
        <f>IFERROR(INDEX(Movimientos!$C$5:$C$2001,MATCH(A656&amp;"ENTRADA",Movimientos!$R$5:$R$2001,0)),"-")</f>
        <v>-</v>
      </c>
      <c r="C656" s="3" t="str">
        <f>IFERROR(INDEX(Movimientos!$D$5:$D$2001,MATCH(A656&amp;"ENTRADA",Movimientos!$R$5:$R$2001,0)),"-")</f>
        <v>-</v>
      </c>
      <c r="D656" s="3" t="str">
        <f>IFERROR(INDEX(Movimientos!$E$5:$E$2001,MATCH(A656&amp;"ENTRADA",Movimientos!$R$5:$R$2001,0)),"-")</f>
        <v>-</v>
      </c>
      <c r="E656" s="3" t="str">
        <f>IFERROR(INDEX(Movimientos!$F$5:$F$2001,MATCH(A656&amp;"ENTRADA",Movimientos!$R$5:$R$2001,0)),"-")</f>
        <v>-</v>
      </c>
      <c r="F656" s="3" t="str">
        <f>IFERROR(INDEX(Movimientos!$G$5:$G$2001,MATCH(A656&amp;"ENTRADA",Movimientos!$R$5:$R$2001,0)),"-")</f>
        <v>-</v>
      </c>
      <c r="G656" s="3" t="str">
        <f>IFERROR(INDEX(Movimientos!$L$5:$L$2001,MATCH(A656&amp;"ENTRADA",Movimientos!$R$5:$R$2001,0)),"-")</f>
        <v>-</v>
      </c>
      <c r="H656" s="19" t="str">
        <f>IFERROR(IF(INDEX(Movimientos!$M$5:$M$2001,MATCH(A656&amp;"ENTRADA",Movimientos!$R$5:$R$2001,0))=0,"S/D",INDEX(Movimientos!$M$5:$M$2001,MATCH(A656&amp;"ENTRADA",Movimientos!$R$5:$R$2001,0))),"S/D")</f>
        <v>S/D</v>
      </c>
      <c r="I656" s="16" t="str">
        <f t="shared" ca="1" si="22"/>
        <v>S/D</v>
      </c>
      <c r="J656" s="6">
        <f>IF(A656="","",SUMIFS(Movimientos!$K:$K,Movimientos!$H:$H,A656))</f>
        <v>0</v>
      </c>
      <c r="K656" s="14" t="str">
        <f t="shared" ca="1" si="23"/>
        <v>OK</v>
      </c>
    </row>
    <row r="657" spans="1:11">
      <c r="A657" s="18" t="s">
        <v>2730</v>
      </c>
      <c r="B657" s="3" t="str">
        <f>IFERROR(INDEX(Movimientos!$C$5:$C$2001,MATCH(A657&amp;"ENTRADA",Movimientos!$R$5:$R$2001,0)),"-")</f>
        <v>-</v>
      </c>
      <c r="C657" s="3" t="str">
        <f>IFERROR(INDEX(Movimientos!$D$5:$D$2001,MATCH(A657&amp;"ENTRADA",Movimientos!$R$5:$R$2001,0)),"-")</f>
        <v>-</v>
      </c>
      <c r="D657" s="3" t="str">
        <f>IFERROR(INDEX(Movimientos!$E$5:$E$2001,MATCH(A657&amp;"ENTRADA",Movimientos!$R$5:$R$2001,0)),"-")</f>
        <v>-</v>
      </c>
      <c r="E657" s="3" t="str">
        <f>IFERROR(INDEX(Movimientos!$F$5:$F$2001,MATCH(A657&amp;"ENTRADA",Movimientos!$R$5:$R$2001,0)),"-")</f>
        <v>-</v>
      </c>
      <c r="F657" s="3" t="str">
        <f>IFERROR(INDEX(Movimientos!$G$5:$G$2001,MATCH(A657&amp;"ENTRADA",Movimientos!$R$5:$R$2001,0)),"-")</f>
        <v>-</v>
      </c>
      <c r="G657" s="3" t="str">
        <f>IFERROR(INDEX(Movimientos!$L$5:$L$2001,MATCH(A657&amp;"ENTRADA",Movimientos!$R$5:$R$2001,0)),"-")</f>
        <v>-</v>
      </c>
      <c r="H657" s="19" t="str">
        <f>IFERROR(IF(INDEX(Movimientos!$M$5:$M$2001,MATCH(A657&amp;"ENTRADA",Movimientos!$R$5:$R$2001,0))=0,"S/D",INDEX(Movimientos!$M$5:$M$2001,MATCH(A657&amp;"ENTRADA",Movimientos!$R$5:$R$2001,0))),"S/D")</f>
        <v>S/D</v>
      </c>
      <c r="I657" s="16" t="str">
        <f t="shared" ca="1" si="22"/>
        <v>S/D</v>
      </c>
      <c r="J657" s="6">
        <f>IF(A657="","",SUMIFS(Movimientos!$K:$K,Movimientos!$H:$H,A657))</f>
        <v>0</v>
      </c>
      <c r="K657" s="14" t="str">
        <f t="shared" ca="1" si="23"/>
        <v>OK</v>
      </c>
    </row>
    <row r="658" spans="1:11">
      <c r="A658" s="18" t="s">
        <v>2731</v>
      </c>
      <c r="B658" s="3" t="str">
        <f>IFERROR(INDEX(Movimientos!$C$5:$C$2001,MATCH(A658&amp;"ENTRADA",Movimientos!$R$5:$R$2001,0)),"-")</f>
        <v>-</v>
      </c>
      <c r="C658" s="3" t="str">
        <f>IFERROR(INDEX(Movimientos!$D$5:$D$2001,MATCH(A658&amp;"ENTRADA",Movimientos!$R$5:$R$2001,0)),"-")</f>
        <v>-</v>
      </c>
      <c r="D658" s="3" t="str">
        <f>IFERROR(INDEX(Movimientos!$E$5:$E$2001,MATCH(A658&amp;"ENTRADA",Movimientos!$R$5:$R$2001,0)),"-")</f>
        <v>-</v>
      </c>
      <c r="E658" s="3" t="str">
        <f>IFERROR(INDEX(Movimientos!$F$5:$F$2001,MATCH(A658&amp;"ENTRADA",Movimientos!$R$5:$R$2001,0)),"-")</f>
        <v>-</v>
      </c>
      <c r="F658" s="3" t="str">
        <f>IFERROR(INDEX(Movimientos!$G$5:$G$2001,MATCH(A658&amp;"ENTRADA",Movimientos!$R$5:$R$2001,0)),"-")</f>
        <v>-</v>
      </c>
      <c r="G658" s="3" t="str">
        <f>IFERROR(INDEX(Movimientos!$L$5:$L$2001,MATCH(A658&amp;"ENTRADA",Movimientos!$R$5:$R$2001,0)),"-")</f>
        <v>-</v>
      </c>
      <c r="H658" s="19" t="str">
        <f>IFERROR(IF(INDEX(Movimientos!$M$5:$M$2001,MATCH(A658&amp;"ENTRADA",Movimientos!$R$5:$R$2001,0))=0,"S/D",INDEX(Movimientos!$M$5:$M$2001,MATCH(A658&amp;"ENTRADA",Movimientos!$R$5:$R$2001,0))),"S/D")</f>
        <v>S/D</v>
      </c>
      <c r="I658" s="16" t="str">
        <f t="shared" ca="1" si="22"/>
        <v>S/D</v>
      </c>
      <c r="J658" s="6">
        <f>IF(A658="","",SUMIFS(Movimientos!$K:$K,Movimientos!$H:$H,A658))</f>
        <v>0</v>
      </c>
      <c r="K658" s="14" t="str">
        <f t="shared" ca="1" si="23"/>
        <v>OK</v>
      </c>
    </row>
    <row r="659" spans="1:11">
      <c r="A659" s="18" t="s">
        <v>2732</v>
      </c>
      <c r="B659" s="3" t="str">
        <f>IFERROR(INDEX(Movimientos!$C$5:$C$2001,MATCH(A659&amp;"ENTRADA",Movimientos!$R$5:$R$2001,0)),"-")</f>
        <v>-</v>
      </c>
      <c r="C659" s="3" t="str">
        <f>IFERROR(INDEX(Movimientos!$D$5:$D$2001,MATCH(A659&amp;"ENTRADA",Movimientos!$R$5:$R$2001,0)),"-")</f>
        <v>-</v>
      </c>
      <c r="D659" s="3" t="str">
        <f>IFERROR(INDEX(Movimientos!$E$5:$E$2001,MATCH(A659&amp;"ENTRADA",Movimientos!$R$5:$R$2001,0)),"-")</f>
        <v>-</v>
      </c>
      <c r="E659" s="3" t="str">
        <f>IFERROR(INDEX(Movimientos!$F$5:$F$2001,MATCH(A659&amp;"ENTRADA",Movimientos!$R$5:$R$2001,0)),"-")</f>
        <v>-</v>
      </c>
      <c r="F659" s="3" t="str">
        <f>IFERROR(INDEX(Movimientos!$G$5:$G$2001,MATCH(A659&amp;"ENTRADA",Movimientos!$R$5:$R$2001,0)),"-")</f>
        <v>-</v>
      </c>
      <c r="G659" s="3" t="str">
        <f>IFERROR(INDEX(Movimientos!$L$5:$L$2001,MATCH(A659&amp;"ENTRADA",Movimientos!$R$5:$R$2001,0)),"-")</f>
        <v>-</v>
      </c>
      <c r="H659" s="19" t="str">
        <f>IFERROR(IF(INDEX(Movimientos!$M$5:$M$2001,MATCH(A659&amp;"ENTRADA",Movimientos!$R$5:$R$2001,0))=0,"S/D",INDEX(Movimientos!$M$5:$M$2001,MATCH(A659&amp;"ENTRADA",Movimientos!$R$5:$R$2001,0))),"S/D")</f>
        <v>S/D</v>
      </c>
      <c r="I659" s="16" t="str">
        <f t="shared" ca="1" si="22"/>
        <v>S/D</v>
      </c>
      <c r="J659" s="6">
        <f>IF(A659="","",SUMIFS(Movimientos!$K:$K,Movimientos!$H:$H,A659))</f>
        <v>0</v>
      </c>
      <c r="K659" s="14" t="str">
        <f t="shared" ca="1" si="23"/>
        <v>OK</v>
      </c>
    </row>
    <row r="660" spans="1:11">
      <c r="A660" s="18" t="s">
        <v>2733</v>
      </c>
      <c r="B660" s="3" t="str">
        <f>IFERROR(INDEX(Movimientos!$C$5:$C$2001,MATCH(A660&amp;"ENTRADA",Movimientos!$R$5:$R$2001,0)),"-")</f>
        <v>-</v>
      </c>
      <c r="C660" s="3" t="str">
        <f>IFERROR(INDEX(Movimientos!$D$5:$D$2001,MATCH(A660&amp;"ENTRADA",Movimientos!$R$5:$R$2001,0)),"-")</f>
        <v>-</v>
      </c>
      <c r="D660" s="3" t="str">
        <f>IFERROR(INDEX(Movimientos!$E$5:$E$2001,MATCH(A660&amp;"ENTRADA",Movimientos!$R$5:$R$2001,0)),"-")</f>
        <v>-</v>
      </c>
      <c r="E660" s="3" t="str">
        <f>IFERROR(INDEX(Movimientos!$F$5:$F$2001,MATCH(A660&amp;"ENTRADA",Movimientos!$R$5:$R$2001,0)),"-")</f>
        <v>-</v>
      </c>
      <c r="F660" s="3" t="str">
        <f>IFERROR(INDEX(Movimientos!$G$5:$G$2001,MATCH(A660&amp;"ENTRADA",Movimientos!$R$5:$R$2001,0)),"-")</f>
        <v>-</v>
      </c>
      <c r="G660" s="3" t="str">
        <f>IFERROR(INDEX(Movimientos!$L$5:$L$2001,MATCH(A660&amp;"ENTRADA",Movimientos!$R$5:$R$2001,0)),"-")</f>
        <v>-</v>
      </c>
      <c r="H660" s="19" t="str">
        <f>IFERROR(IF(INDEX(Movimientos!$M$5:$M$2001,MATCH(A660&amp;"ENTRADA",Movimientos!$R$5:$R$2001,0))=0,"S/D",INDEX(Movimientos!$M$5:$M$2001,MATCH(A660&amp;"ENTRADA",Movimientos!$R$5:$R$2001,0))),"S/D")</f>
        <v>S/D</v>
      </c>
      <c r="I660" s="16" t="str">
        <f t="shared" ca="1" si="22"/>
        <v>S/D</v>
      </c>
      <c r="J660" s="6">
        <f>IF(A660="","",SUMIFS(Movimientos!$K:$K,Movimientos!$H:$H,A660))</f>
        <v>0</v>
      </c>
      <c r="K660" s="14" t="str">
        <f t="shared" ca="1" si="23"/>
        <v>OK</v>
      </c>
    </row>
    <row r="661" spans="1:11">
      <c r="A661" s="18" t="s">
        <v>2734</v>
      </c>
      <c r="B661" s="3" t="str">
        <f>IFERROR(INDEX(Movimientos!$C$5:$C$2001,MATCH(A661&amp;"ENTRADA",Movimientos!$R$5:$R$2001,0)),"-")</f>
        <v>-</v>
      </c>
      <c r="C661" s="3" t="str">
        <f>IFERROR(INDEX(Movimientos!$D$5:$D$2001,MATCH(A661&amp;"ENTRADA",Movimientos!$R$5:$R$2001,0)),"-")</f>
        <v>-</v>
      </c>
      <c r="D661" s="3" t="str">
        <f>IFERROR(INDEX(Movimientos!$E$5:$E$2001,MATCH(A661&amp;"ENTRADA",Movimientos!$R$5:$R$2001,0)),"-")</f>
        <v>-</v>
      </c>
      <c r="E661" s="3" t="str">
        <f>IFERROR(INDEX(Movimientos!$F$5:$F$2001,MATCH(A661&amp;"ENTRADA",Movimientos!$R$5:$R$2001,0)),"-")</f>
        <v>-</v>
      </c>
      <c r="F661" s="3" t="str">
        <f>IFERROR(INDEX(Movimientos!$G$5:$G$2001,MATCH(A661&amp;"ENTRADA",Movimientos!$R$5:$R$2001,0)),"-")</f>
        <v>-</v>
      </c>
      <c r="G661" s="3" t="str">
        <f>IFERROR(INDEX(Movimientos!$L$5:$L$2001,MATCH(A661&amp;"ENTRADA",Movimientos!$R$5:$R$2001,0)),"-")</f>
        <v>-</v>
      </c>
      <c r="H661" s="19" t="str">
        <f>IFERROR(IF(INDEX(Movimientos!$M$5:$M$2001,MATCH(A661&amp;"ENTRADA",Movimientos!$R$5:$R$2001,0))=0,"S/D",INDEX(Movimientos!$M$5:$M$2001,MATCH(A661&amp;"ENTRADA",Movimientos!$R$5:$R$2001,0))),"S/D")</f>
        <v>S/D</v>
      </c>
      <c r="I661" s="16" t="str">
        <f t="shared" ca="1" si="22"/>
        <v>S/D</v>
      </c>
      <c r="J661" s="6">
        <f>IF(A661="","",SUMIFS(Movimientos!$K:$K,Movimientos!$H:$H,A661))</f>
        <v>0</v>
      </c>
      <c r="K661" s="14" t="str">
        <f t="shared" ca="1" si="23"/>
        <v>OK</v>
      </c>
    </row>
    <row r="662" spans="1:11">
      <c r="A662" s="18" t="s">
        <v>2735</v>
      </c>
      <c r="B662" s="3" t="str">
        <f>IFERROR(INDEX(Movimientos!$C$5:$C$2001,MATCH(A662&amp;"ENTRADA",Movimientos!$R$5:$R$2001,0)),"-")</f>
        <v>-</v>
      </c>
      <c r="C662" s="3" t="str">
        <f>IFERROR(INDEX(Movimientos!$D$5:$D$2001,MATCH(A662&amp;"ENTRADA",Movimientos!$R$5:$R$2001,0)),"-")</f>
        <v>-</v>
      </c>
      <c r="D662" s="3" t="str">
        <f>IFERROR(INDEX(Movimientos!$E$5:$E$2001,MATCH(A662&amp;"ENTRADA",Movimientos!$R$5:$R$2001,0)),"-")</f>
        <v>-</v>
      </c>
      <c r="E662" s="3" t="str">
        <f>IFERROR(INDEX(Movimientos!$F$5:$F$2001,MATCH(A662&amp;"ENTRADA",Movimientos!$R$5:$R$2001,0)),"-")</f>
        <v>-</v>
      </c>
      <c r="F662" s="3" t="str">
        <f>IFERROR(INDEX(Movimientos!$G$5:$G$2001,MATCH(A662&amp;"ENTRADA",Movimientos!$R$5:$R$2001,0)),"-")</f>
        <v>-</v>
      </c>
      <c r="G662" s="3" t="str">
        <f>IFERROR(INDEX(Movimientos!$L$5:$L$2001,MATCH(A662&amp;"ENTRADA",Movimientos!$R$5:$R$2001,0)),"-")</f>
        <v>-</v>
      </c>
      <c r="H662" s="19" t="str">
        <f>IFERROR(IF(INDEX(Movimientos!$M$5:$M$2001,MATCH(A662&amp;"ENTRADA",Movimientos!$R$5:$R$2001,0))=0,"S/D",INDEX(Movimientos!$M$5:$M$2001,MATCH(A662&amp;"ENTRADA",Movimientos!$R$5:$R$2001,0))),"S/D")</f>
        <v>S/D</v>
      </c>
      <c r="I662" s="16" t="str">
        <f t="shared" ca="1" si="22"/>
        <v>S/D</v>
      </c>
      <c r="J662" s="6">
        <f>IF(A662="","",SUMIFS(Movimientos!$K:$K,Movimientos!$H:$H,A662))</f>
        <v>0</v>
      </c>
      <c r="K662" s="14" t="str">
        <f t="shared" ca="1" si="23"/>
        <v>OK</v>
      </c>
    </row>
    <row r="663" spans="1:11">
      <c r="A663" s="18" t="s">
        <v>2736</v>
      </c>
      <c r="B663" s="3" t="str">
        <f>IFERROR(INDEX(Movimientos!$C$5:$C$2001,MATCH(A663&amp;"ENTRADA",Movimientos!$R$5:$R$2001,0)),"-")</f>
        <v>-</v>
      </c>
      <c r="C663" s="3" t="str">
        <f>IFERROR(INDEX(Movimientos!$D$5:$D$2001,MATCH(A663&amp;"ENTRADA",Movimientos!$R$5:$R$2001,0)),"-")</f>
        <v>-</v>
      </c>
      <c r="D663" s="3" t="str">
        <f>IFERROR(INDEX(Movimientos!$E$5:$E$2001,MATCH(A663&amp;"ENTRADA",Movimientos!$R$5:$R$2001,0)),"-")</f>
        <v>-</v>
      </c>
      <c r="E663" s="3" t="str">
        <f>IFERROR(INDEX(Movimientos!$F$5:$F$2001,MATCH(A663&amp;"ENTRADA",Movimientos!$R$5:$R$2001,0)),"-")</f>
        <v>-</v>
      </c>
      <c r="F663" s="3" t="str">
        <f>IFERROR(INDEX(Movimientos!$G$5:$G$2001,MATCH(A663&amp;"ENTRADA",Movimientos!$R$5:$R$2001,0)),"-")</f>
        <v>-</v>
      </c>
      <c r="G663" s="3" t="str">
        <f>IFERROR(INDEX(Movimientos!$L$5:$L$2001,MATCH(A663&amp;"ENTRADA",Movimientos!$R$5:$R$2001,0)),"-")</f>
        <v>-</v>
      </c>
      <c r="H663" s="19" t="str">
        <f>IFERROR(IF(INDEX(Movimientos!$M$5:$M$2001,MATCH(A663&amp;"ENTRADA",Movimientos!$R$5:$R$2001,0))=0,"S/D",INDEX(Movimientos!$M$5:$M$2001,MATCH(A663&amp;"ENTRADA",Movimientos!$R$5:$R$2001,0))),"S/D")</f>
        <v>S/D</v>
      </c>
      <c r="I663" s="16" t="str">
        <f t="shared" ca="1" si="22"/>
        <v>S/D</v>
      </c>
      <c r="J663" s="6">
        <f>IF(A663="","",SUMIFS(Movimientos!$K:$K,Movimientos!$H:$H,A663))</f>
        <v>0</v>
      </c>
      <c r="K663" s="14" t="str">
        <f t="shared" ca="1" si="23"/>
        <v>OK</v>
      </c>
    </row>
    <row r="664" spans="1:11">
      <c r="A664" s="18" t="s">
        <v>2737</v>
      </c>
      <c r="B664" s="3" t="str">
        <f>IFERROR(INDEX(Movimientos!$C$5:$C$2001,MATCH(A664&amp;"ENTRADA",Movimientos!$R$5:$R$2001,0)),"-")</f>
        <v>-</v>
      </c>
      <c r="C664" s="3" t="str">
        <f>IFERROR(INDEX(Movimientos!$D$5:$D$2001,MATCH(A664&amp;"ENTRADA",Movimientos!$R$5:$R$2001,0)),"-")</f>
        <v>-</v>
      </c>
      <c r="D664" s="3" t="str">
        <f>IFERROR(INDEX(Movimientos!$E$5:$E$2001,MATCH(A664&amp;"ENTRADA",Movimientos!$R$5:$R$2001,0)),"-")</f>
        <v>-</v>
      </c>
      <c r="E664" s="3" t="str">
        <f>IFERROR(INDEX(Movimientos!$F$5:$F$2001,MATCH(A664&amp;"ENTRADA",Movimientos!$R$5:$R$2001,0)),"-")</f>
        <v>-</v>
      </c>
      <c r="F664" s="3" t="str">
        <f>IFERROR(INDEX(Movimientos!$G$5:$G$2001,MATCH(A664&amp;"ENTRADA",Movimientos!$R$5:$R$2001,0)),"-")</f>
        <v>-</v>
      </c>
      <c r="G664" s="3" t="str">
        <f>IFERROR(INDEX(Movimientos!$L$5:$L$2001,MATCH(A664&amp;"ENTRADA",Movimientos!$R$5:$R$2001,0)),"-")</f>
        <v>-</v>
      </c>
      <c r="H664" s="19" t="str">
        <f>IFERROR(IF(INDEX(Movimientos!$M$5:$M$2001,MATCH(A664&amp;"ENTRADA",Movimientos!$R$5:$R$2001,0))=0,"S/D",INDEX(Movimientos!$M$5:$M$2001,MATCH(A664&amp;"ENTRADA",Movimientos!$R$5:$R$2001,0))),"S/D")</f>
        <v>S/D</v>
      </c>
      <c r="I664" s="16" t="str">
        <f t="shared" ca="1" si="22"/>
        <v>S/D</v>
      </c>
      <c r="J664" s="6">
        <f>IF(A664="","",SUMIFS(Movimientos!$K:$K,Movimientos!$H:$H,A664))</f>
        <v>0</v>
      </c>
      <c r="K664" s="14" t="str">
        <f t="shared" ca="1" si="23"/>
        <v>OK</v>
      </c>
    </row>
    <row r="665" spans="1:11">
      <c r="A665" s="18" t="s">
        <v>2738</v>
      </c>
      <c r="B665" s="3" t="str">
        <f>IFERROR(INDEX(Movimientos!$C$5:$C$2001,MATCH(A665&amp;"ENTRADA",Movimientos!$R$5:$R$2001,0)),"-")</f>
        <v>-</v>
      </c>
      <c r="C665" s="3" t="str">
        <f>IFERROR(INDEX(Movimientos!$D$5:$D$2001,MATCH(A665&amp;"ENTRADA",Movimientos!$R$5:$R$2001,0)),"-")</f>
        <v>-</v>
      </c>
      <c r="D665" s="3" t="str">
        <f>IFERROR(INDEX(Movimientos!$E$5:$E$2001,MATCH(A665&amp;"ENTRADA",Movimientos!$R$5:$R$2001,0)),"-")</f>
        <v>-</v>
      </c>
      <c r="E665" s="3" t="str">
        <f>IFERROR(INDEX(Movimientos!$F$5:$F$2001,MATCH(A665&amp;"ENTRADA",Movimientos!$R$5:$R$2001,0)),"-")</f>
        <v>-</v>
      </c>
      <c r="F665" s="3" t="str">
        <f>IFERROR(INDEX(Movimientos!$G$5:$G$2001,MATCH(A665&amp;"ENTRADA",Movimientos!$R$5:$R$2001,0)),"-")</f>
        <v>-</v>
      </c>
      <c r="G665" s="3" t="str">
        <f>IFERROR(INDEX(Movimientos!$L$5:$L$2001,MATCH(A665&amp;"ENTRADA",Movimientos!$R$5:$R$2001,0)),"-")</f>
        <v>-</v>
      </c>
      <c r="H665" s="19" t="str">
        <f>IFERROR(IF(INDEX(Movimientos!$M$5:$M$2001,MATCH(A665&amp;"ENTRADA",Movimientos!$R$5:$R$2001,0))=0,"S/D",INDEX(Movimientos!$M$5:$M$2001,MATCH(A665&amp;"ENTRADA",Movimientos!$R$5:$R$2001,0))),"S/D")</f>
        <v>S/D</v>
      </c>
      <c r="I665" s="16" t="str">
        <f t="shared" ca="1" si="22"/>
        <v>S/D</v>
      </c>
      <c r="J665" s="6">
        <f>IF(A665="","",SUMIFS(Movimientos!$K:$K,Movimientos!$H:$H,A665))</f>
        <v>0</v>
      </c>
      <c r="K665" s="14" t="str">
        <f t="shared" ca="1" si="23"/>
        <v>OK</v>
      </c>
    </row>
    <row r="666" spans="1:11">
      <c r="A666" s="18" t="s">
        <v>2739</v>
      </c>
      <c r="B666" s="3" t="str">
        <f>IFERROR(INDEX(Movimientos!$C$5:$C$2001,MATCH(A666&amp;"ENTRADA",Movimientos!$R$5:$R$2001,0)),"-")</f>
        <v>-</v>
      </c>
      <c r="C666" s="3" t="str">
        <f>IFERROR(INDEX(Movimientos!$D$5:$D$2001,MATCH(A666&amp;"ENTRADA",Movimientos!$R$5:$R$2001,0)),"-")</f>
        <v>-</v>
      </c>
      <c r="D666" s="3" t="str">
        <f>IFERROR(INDEX(Movimientos!$E$5:$E$2001,MATCH(A666&amp;"ENTRADA",Movimientos!$R$5:$R$2001,0)),"-")</f>
        <v>-</v>
      </c>
      <c r="E666" s="3" t="str">
        <f>IFERROR(INDEX(Movimientos!$F$5:$F$2001,MATCH(A666&amp;"ENTRADA",Movimientos!$R$5:$R$2001,0)),"-")</f>
        <v>-</v>
      </c>
      <c r="F666" s="3" t="str">
        <f>IFERROR(INDEX(Movimientos!$G$5:$G$2001,MATCH(A666&amp;"ENTRADA",Movimientos!$R$5:$R$2001,0)),"-")</f>
        <v>-</v>
      </c>
      <c r="G666" s="3" t="str">
        <f>IFERROR(INDEX(Movimientos!$L$5:$L$2001,MATCH(A666&amp;"ENTRADA",Movimientos!$R$5:$R$2001,0)),"-")</f>
        <v>-</v>
      </c>
      <c r="H666" s="19" t="str">
        <f>IFERROR(IF(INDEX(Movimientos!$M$5:$M$2001,MATCH(A666&amp;"ENTRADA",Movimientos!$R$5:$R$2001,0))=0,"S/D",INDEX(Movimientos!$M$5:$M$2001,MATCH(A666&amp;"ENTRADA",Movimientos!$R$5:$R$2001,0))),"S/D")</f>
        <v>S/D</v>
      </c>
      <c r="I666" s="16" t="str">
        <f t="shared" ca="1" si="22"/>
        <v>S/D</v>
      </c>
      <c r="J666" s="6">
        <f>IF(A666="","",SUMIFS(Movimientos!$K:$K,Movimientos!$H:$H,A666))</f>
        <v>0</v>
      </c>
      <c r="K666" s="14" t="str">
        <f t="shared" ca="1" si="23"/>
        <v>OK</v>
      </c>
    </row>
    <row r="667" spans="1:11">
      <c r="A667" s="18" t="s">
        <v>2740</v>
      </c>
      <c r="B667" s="3" t="str">
        <f>IFERROR(INDEX(Movimientos!$C$5:$C$2001,MATCH(A667&amp;"ENTRADA",Movimientos!$R$5:$R$2001,0)),"-")</f>
        <v>-</v>
      </c>
      <c r="C667" s="3" t="str">
        <f>IFERROR(INDEX(Movimientos!$D$5:$D$2001,MATCH(A667&amp;"ENTRADA",Movimientos!$R$5:$R$2001,0)),"-")</f>
        <v>-</v>
      </c>
      <c r="D667" s="3" t="str">
        <f>IFERROR(INDEX(Movimientos!$E$5:$E$2001,MATCH(A667&amp;"ENTRADA",Movimientos!$R$5:$R$2001,0)),"-")</f>
        <v>-</v>
      </c>
      <c r="E667" s="3" t="str">
        <f>IFERROR(INDEX(Movimientos!$F$5:$F$2001,MATCH(A667&amp;"ENTRADA",Movimientos!$R$5:$R$2001,0)),"-")</f>
        <v>-</v>
      </c>
      <c r="F667" s="3" t="str">
        <f>IFERROR(INDEX(Movimientos!$G$5:$G$2001,MATCH(A667&amp;"ENTRADA",Movimientos!$R$5:$R$2001,0)),"-")</f>
        <v>-</v>
      </c>
      <c r="G667" s="3" t="str">
        <f>IFERROR(INDEX(Movimientos!$L$5:$L$2001,MATCH(A667&amp;"ENTRADA",Movimientos!$R$5:$R$2001,0)),"-")</f>
        <v>-</v>
      </c>
      <c r="H667" s="19" t="str">
        <f>IFERROR(IF(INDEX(Movimientos!$M$5:$M$2001,MATCH(A667&amp;"ENTRADA",Movimientos!$R$5:$R$2001,0))=0,"S/D",INDEX(Movimientos!$M$5:$M$2001,MATCH(A667&amp;"ENTRADA",Movimientos!$R$5:$R$2001,0))),"S/D")</f>
        <v>S/D</v>
      </c>
      <c r="I667" s="16" t="str">
        <f t="shared" ca="1" si="22"/>
        <v>S/D</v>
      </c>
      <c r="J667" s="6">
        <f>IF(A667="","",SUMIFS(Movimientos!$K:$K,Movimientos!$H:$H,A667))</f>
        <v>0</v>
      </c>
      <c r="K667" s="14" t="str">
        <f t="shared" ca="1" si="23"/>
        <v>OK</v>
      </c>
    </row>
    <row r="668" spans="1:11">
      <c r="A668" s="18" t="s">
        <v>2741</v>
      </c>
      <c r="B668" s="3" t="str">
        <f>IFERROR(INDEX(Movimientos!$C$5:$C$2001,MATCH(A668&amp;"ENTRADA",Movimientos!$R$5:$R$2001,0)),"-")</f>
        <v>-</v>
      </c>
      <c r="C668" s="3" t="str">
        <f>IFERROR(INDEX(Movimientos!$D$5:$D$2001,MATCH(A668&amp;"ENTRADA",Movimientos!$R$5:$R$2001,0)),"-")</f>
        <v>-</v>
      </c>
      <c r="D668" s="3" t="str">
        <f>IFERROR(INDEX(Movimientos!$E$5:$E$2001,MATCH(A668&amp;"ENTRADA",Movimientos!$R$5:$R$2001,0)),"-")</f>
        <v>-</v>
      </c>
      <c r="E668" s="3" t="str">
        <f>IFERROR(INDEX(Movimientos!$F$5:$F$2001,MATCH(A668&amp;"ENTRADA",Movimientos!$R$5:$R$2001,0)),"-")</f>
        <v>-</v>
      </c>
      <c r="F668" s="3" t="str">
        <f>IFERROR(INDEX(Movimientos!$G$5:$G$2001,MATCH(A668&amp;"ENTRADA",Movimientos!$R$5:$R$2001,0)),"-")</f>
        <v>-</v>
      </c>
      <c r="G668" s="3" t="str">
        <f>IFERROR(INDEX(Movimientos!$L$5:$L$2001,MATCH(A668&amp;"ENTRADA",Movimientos!$R$5:$R$2001,0)),"-")</f>
        <v>-</v>
      </c>
      <c r="H668" s="19" t="str">
        <f>IFERROR(IF(INDEX(Movimientos!$M$5:$M$2001,MATCH(A668&amp;"ENTRADA",Movimientos!$R$5:$R$2001,0))=0,"S/D",INDEX(Movimientos!$M$5:$M$2001,MATCH(A668&amp;"ENTRADA",Movimientos!$R$5:$R$2001,0))),"S/D")</f>
        <v>S/D</v>
      </c>
      <c r="I668" s="16" t="str">
        <f t="shared" ca="1" si="22"/>
        <v>S/D</v>
      </c>
      <c r="J668" s="6">
        <f>IF(A668="","",SUMIFS(Movimientos!$K:$K,Movimientos!$H:$H,A668))</f>
        <v>0</v>
      </c>
      <c r="K668" s="14" t="str">
        <f t="shared" ca="1" si="23"/>
        <v>OK</v>
      </c>
    </row>
    <row r="669" spans="1:11">
      <c r="A669" s="18" t="s">
        <v>2742</v>
      </c>
      <c r="B669" s="3" t="str">
        <f>IFERROR(INDEX(Movimientos!$C$5:$C$2001,MATCH(A669&amp;"ENTRADA",Movimientos!$R$5:$R$2001,0)),"-")</f>
        <v>-</v>
      </c>
      <c r="C669" s="3" t="str">
        <f>IFERROR(INDEX(Movimientos!$D$5:$D$2001,MATCH(A669&amp;"ENTRADA",Movimientos!$R$5:$R$2001,0)),"-")</f>
        <v>-</v>
      </c>
      <c r="D669" s="3" t="str">
        <f>IFERROR(INDEX(Movimientos!$E$5:$E$2001,MATCH(A669&amp;"ENTRADA",Movimientos!$R$5:$R$2001,0)),"-")</f>
        <v>-</v>
      </c>
      <c r="E669" s="3" t="str">
        <f>IFERROR(INDEX(Movimientos!$F$5:$F$2001,MATCH(A669&amp;"ENTRADA",Movimientos!$R$5:$R$2001,0)),"-")</f>
        <v>-</v>
      </c>
      <c r="F669" s="3" t="str">
        <f>IFERROR(INDEX(Movimientos!$G$5:$G$2001,MATCH(A669&amp;"ENTRADA",Movimientos!$R$5:$R$2001,0)),"-")</f>
        <v>-</v>
      </c>
      <c r="G669" s="3" t="str">
        <f>IFERROR(INDEX(Movimientos!$L$5:$L$2001,MATCH(A669&amp;"ENTRADA",Movimientos!$R$5:$R$2001,0)),"-")</f>
        <v>-</v>
      </c>
      <c r="H669" s="19" t="str">
        <f>IFERROR(IF(INDEX(Movimientos!$M$5:$M$2001,MATCH(A669&amp;"ENTRADA",Movimientos!$R$5:$R$2001,0))=0,"S/D",INDEX(Movimientos!$M$5:$M$2001,MATCH(A669&amp;"ENTRADA",Movimientos!$R$5:$R$2001,0))),"S/D")</f>
        <v>S/D</v>
      </c>
      <c r="I669" s="16" t="str">
        <f t="shared" ca="1" si="22"/>
        <v>S/D</v>
      </c>
      <c r="J669" s="6">
        <f>IF(A669="","",SUMIFS(Movimientos!$K:$K,Movimientos!$H:$H,A669))</f>
        <v>0</v>
      </c>
      <c r="K669" s="14" t="str">
        <f t="shared" ca="1" si="23"/>
        <v>OK</v>
      </c>
    </row>
    <row r="670" spans="1:11">
      <c r="A670" s="18" t="s">
        <v>2743</v>
      </c>
      <c r="B670" s="3" t="str">
        <f>IFERROR(INDEX(Movimientos!$C$5:$C$2001,MATCH(A670&amp;"ENTRADA",Movimientos!$R$5:$R$2001,0)),"-")</f>
        <v>-</v>
      </c>
      <c r="C670" s="3" t="str">
        <f>IFERROR(INDEX(Movimientos!$D$5:$D$2001,MATCH(A670&amp;"ENTRADA",Movimientos!$R$5:$R$2001,0)),"-")</f>
        <v>-</v>
      </c>
      <c r="D670" s="3" t="str">
        <f>IFERROR(INDEX(Movimientos!$E$5:$E$2001,MATCH(A670&amp;"ENTRADA",Movimientos!$R$5:$R$2001,0)),"-")</f>
        <v>-</v>
      </c>
      <c r="E670" s="3" t="str">
        <f>IFERROR(INDEX(Movimientos!$F$5:$F$2001,MATCH(A670&amp;"ENTRADA",Movimientos!$R$5:$R$2001,0)),"-")</f>
        <v>-</v>
      </c>
      <c r="F670" s="3" t="str">
        <f>IFERROR(INDEX(Movimientos!$G$5:$G$2001,MATCH(A670&amp;"ENTRADA",Movimientos!$R$5:$R$2001,0)),"-")</f>
        <v>-</v>
      </c>
      <c r="G670" s="3" t="str">
        <f>IFERROR(INDEX(Movimientos!$L$5:$L$2001,MATCH(A670&amp;"ENTRADA",Movimientos!$R$5:$R$2001,0)),"-")</f>
        <v>-</v>
      </c>
      <c r="H670" s="19" t="str">
        <f>IFERROR(IF(INDEX(Movimientos!$M$5:$M$2001,MATCH(A670&amp;"ENTRADA",Movimientos!$R$5:$R$2001,0))=0,"S/D",INDEX(Movimientos!$M$5:$M$2001,MATCH(A670&amp;"ENTRADA",Movimientos!$R$5:$R$2001,0))),"S/D")</f>
        <v>S/D</v>
      </c>
      <c r="I670" s="16" t="str">
        <f t="shared" ca="1" si="22"/>
        <v>S/D</v>
      </c>
      <c r="J670" s="6">
        <f>IF(A670="","",SUMIFS(Movimientos!$K:$K,Movimientos!$H:$H,A670))</f>
        <v>0</v>
      </c>
      <c r="K670" s="14" t="str">
        <f t="shared" ca="1" si="23"/>
        <v>OK</v>
      </c>
    </row>
    <row r="671" spans="1:11">
      <c r="A671" s="18" t="s">
        <v>2744</v>
      </c>
      <c r="B671" s="3" t="str">
        <f>IFERROR(INDEX(Movimientos!$C$5:$C$2001,MATCH(A671&amp;"ENTRADA",Movimientos!$R$5:$R$2001,0)),"-")</f>
        <v>-</v>
      </c>
      <c r="C671" s="3" t="str">
        <f>IFERROR(INDEX(Movimientos!$D$5:$D$2001,MATCH(A671&amp;"ENTRADA",Movimientos!$R$5:$R$2001,0)),"-")</f>
        <v>-</v>
      </c>
      <c r="D671" s="3" t="str">
        <f>IFERROR(INDEX(Movimientos!$E$5:$E$2001,MATCH(A671&amp;"ENTRADA",Movimientos!$R$5:$R$2001,0)),"-")</f>
        <v>-</v>
      </c>
      <c r="E671" s="3" t="str">
        <f>IFERROR(INDEX(Movimientos!$F$5:$F$2001,MATCH(A671&amp;"ENTRADA",Movimientos!$R$5:$R$2001,0)),"-")</f>
        <v>-</v>
      </c>
      <c r="F671" s="3" t="str">
        <f>IFERROR(INDEX(Movimientos!$G$5:$G$2001,MATCH(A671&amp;"ENTRADA",Movimientos!$R$5:$R$2001,0)),"-")</f>
        <v>-</v>
      </c>
      <c r="G671" s="3" t="str">
        <f>IFERROR(INDEX(Movimientos!$L$5:$L$2001,MATCH(A671&amp;"ENTRADA",Movimientos!$R$5:$R$2001,0)),"-")</f>
        <v>-</v>
      </c>
      <c r="H671" s="19" t="str">
        <f>IFERROR(IF(INDEX(Movimientos!$M$5:$M$2001,MATCH(A671&amp;"ENTRADA",Movimientos!$R$5:$R$2001,0))=0,"S/D",INDEX(Movimientos!$M$5:$M$2001,MATCH(A671&amp;"ENTRADA",Movimientos!$R$5:$R$2001,0))),"S/D")</f>
        <v>S/D</v>
      </c>
      <c r="I671" s="16" t="str">
        <f t="shared" ca="1" si="22"/>
        <v>S/D</v>
      </c>
      <c r="J671" s="6">
        <f>IF(A671="","",SUMIFS(Movimientos!$K:$K,Movimientos!$H:$H,A671))</f>
        <v>0</v>
      </c>
      <c r="K671" s="14" t="str">
        <f t="shared" ca="1" si="23"/>
        <v>OK</v>
      </c>
    </row>
    <row r="672" spans="1:11">
      <c r="A672" s="18" t="s">
        <v>2745</v>
      </c>
      <c r="B672" s="3" t="str">
        <f>IFERROR(INDEX(Movimientos!$C$5:$C$2001,MATCH(A672&amp;"ENTRADA",Movimientos!$R$5:$R$2001,0)),"-")</f>
        <v>-</v>
      </c>
      <c r="C672" s="3" t="str">
        <f>IFERROR(INDEX(Movimientos!$D$5:$D$2001,MATCH(A672&amp;"ENTRADA",Movimientos!$R$5:$R$2001,0)),"-")</f>
        <v>-</v>
      </c>
      <c r="D672" s="3" t="str">
        <f>IFERROR(INDEX(Movimientos!$E$5:$E$2001,MATCH(A672&amp;"ENTRADA",Movimientos!$R$5:$R$2001,0)),"-")</f>
        <v>-</v>
      </c>
      <c r="E672" s="3" t="str">
        <f>IFERROR(INDEX(Movimientos!$F$5:$F$2001,MATCH(A672&amp;"ENTRADA",Movimientos!$R$5:$R$2001,0)),"-")</f>
        <v>-</v>
      </c>
      <c r="F672" s="3" t="str">
        <f>IFERROR(INDEX(Movimientos!$G$5:$G$2001,MATCH(A672&amp;"ENTRADA",Movimientos!$R$5:$R$2001,0)),"-")</f>
        <v>-</v>
      </c>
      <c r="G672" s="3" t="str">
        <f>IFERROR(INDEX(Movimientos!$L$5:$L$2001,MATCH(A672&amp;"ENTRADA",Movimientos!$R$5:$R$2001,0)),"-")</f>
        <v>-</v>
      </c>
      <c r="H672" s="19" t="str">
        <f>IFERROR(IF(INDEX(Movimientos!$M$5:$M$2001,MATCH(A672&amp;"ENTRADA",Movimientos!$R$5:$R$2001,0))=0,"S/D",INDEX(Movimientos!$M$5:$M$2001,MATCH(A672&amp;"ENTRADA",Movimientos!$R$5:$R$2001,0))),"S/D")</f>
        <v>S/D</v>
      </c>
      <c r="I672" s="16" t="str">
        <f t="shared" ca="1" si="22"/>
        <v>S/D</v>
      </c>
      <c r="J672" s="6">
        <f>IF(A672="","",SUMIFS(Movimientos!$K:$K,Movimientos!$H:$H,A672))</f>
        <v>0</v>
      </c>
      <c r="K672" s="14" t="str">
        <f t="shared" ca="1" si="23"/>
        <v>OK</v>
      </c>
    </row>
    <row r="673" spans="1:11">
      <c r="A673" s="18" t="s">
        <v>2746</v>
      </c>
      <c r="B673" s="3" t="str">
        <f>IFERROR(INDEX(Movimientos!$C$5:$C$2001,MATCH(A673&amp;"ENTRADA",Movimientos!$R$5:$R$2001,0)),"-")</f>
        <v>-</v>
      </c>
      <c r="C673" s="3" t="str">
        <f>IFERROR(INDEX(Movimientos!$D$5:$D$2001,MATCH(A673&amp;"ENTRADA",Movimientos!$R$5:$R$2001,0)),"-")</f>
        <v>-</v>
      </c>
      <c r="D673" s="3" t="str">
        <f>IFERROR(INDEX(Movimientos!$E$5:$E$2001,MATCH(A673&amp;"ENTRADA",Movimientos!$R$5:$R$2001,0)),"-")</f>
        <v>-</v>
      </c>
      <c r="E673" s="3" t="str">
        <f>IFERROR(INDEX(Movimientos!$F$5:$F$2001,MATCH(A673&amp;"ENTRADA",Movimientos!$R$5:$R$2001,0)),"-")</f>
        <v>-</v>
      </c>
      <c r="F673" s="3" t="str">
        <f>IFERROR(INDEX(Movimientos!$G$5:$G$2001,MATCH(A673&amp;"ENTRADA",Movimientos!$R$5:$R$2001,0)),"-")</f>
        <v>-</v>
      </c>
      <c r="G673" s="3" t="str">
        <f>IFERROR(INDEX(Movimientos!$L$5:$L$2001,MATCH(A673&amp;"ENTRADA",Movimientos!$R$5:$R$2001,0)),"-")</f>
        <v>-</v>
      </c>
      <c r="H673" s="19" t="str">
        <f>IFERROR(IF(INDEX(Movimientos!$M$5:$M$2001,MATCH(A673&amp;"ENTRADA",Movimientos!$R$5:$R$2001,0))=0,"S/D",INDEX(Movimientos!$M$5:$M$2001,MATCH(A673&amp;"ENTRADA",Movimientos!$R$5:$R$2001,0))),"S/D")</f>
        <v>S/D</v>
      </c>
      <c r="I673" s="16" t="str">
        <f t="shared" ca="1" si="22"/>
        <v>S/D</v>
      </c>
      <c r="J673" s="6">
        <f>IF(A673="","",SUMIFS(Movimientos!$K:$K,Movimientos!$H:$H,A673))</f>
        <v>0</v>
      </c>
      <c r="K673" s="14" t="str">
        <f t="shared" ca="1" si="23"/>
        <v>OK</v>
      </c>
    </row>
    <row r="674" spans="1:11">
      <c r="A674" s="18" t="s">
        <v>2747</v>
      </c>
      <c r="B674" s="3" t="str">
        <f>IFERROR(INDEX(Movimientos!$C$5:$C$2001,MATCH(A674&amp;"ENTRADA",Movimientos!$R$5:$R$2001,0)),"-")</f>
        <v>-</v>
      </c>
      <c r="C674" s="3" t="str">
        <f>IFERROR(INDEX(Movimientos!$D$5:$D$2001,MATCH(A674&amp;"ENTRADA",Movimientos!$R$5:$R$2001,0)),"-")</f>
        <v>-</v>
      </c>
      <c r="D674" s="3" t="str">
        <f>IFERROR(INDEX(Movimientos!$E$5:$E$2001,MATCH(A674&amp;"ENTRADA",Movimientos!$R$5:$R$2001,0)),"-")</f>
        <v>-</v>
      </c>
      <c r="E674" s="3" t="str">
        <f>IFERROR(INDEX(Movimientos!$F$5:$F$2001,MATCH(A674&amp;"ENTRADA",Movimientos!$R$5:$R$2001,0)),"-")</f>
        <v>-</v>
      </c>
      <c r="F674" s="3" t="str">
        <f>IFERROR(INDEX(Movimientos!$G$5:$G$2001,MATCH(A674&amp;"ENTRADA",Movimientos!$R$5:$R$2001,0)),"-")</f>
        <v>-</v>
      </c>
      <c r="G674" s="3" t="str">
        <f>IFERROR(INDEX(Movimientos!$L$5:$L$2001,MATCH(A674&amp;"ENTRADA",Movimientos!$R$5:$R$2001,0)),"-")</f>
        <v>-</v>
      </c>
      <c r="H674" s="19" t="str">
        <f>IFERROR(IF(INDEX(Movimientos!$M$5:$M$2001,MATCH(A674&amp;"ENTRADA",Movimientos!$R$5:$R$2001,0))=0,"S/D",INDEX(Movimientos!$M$5:$M$2001,MATCH(A674&amp;"ENTRADA",Movimientos!$R$5:$R$2001,0))),"S/D")</f>
        <v>S/D</v>
      </c>
      <c r="I674" s="16" t="str">
        <f t="shared" ca="1" si="22"/>
        <v>S/D</v>
      </c>
      <c r="J674" s="6">
        <f>IF(A674="","",SUMIFS(Movimientos!$K:$K,Movimientos!$H:$H,A674))</f>
        <v>0</v>
      </c>
      <c r="K674" s="14" t="str">
        <f t="shared" ca="1" si="23"/>
        <v>OK</v>
      </c>
    </row>
    <row r="675" spans="1:11">
      <c r="A675" s="18" t="s">
        <v>2748</v>
      </c>
      <c r="B675" s="3" t="str">
        <f>IFERROR(INDEX(Movimientos!$C$5:$C$2001,MATCH(A675&amp;"ENTRADA",Movimientos!$R$5:$R$2001,0)),"-")</f>
        <v>-</v>
      </c>
      <c r="C675" s="3" t="str">
        <f>IFERROR(INDEX(Movimientos!$D$5:$D$2001,MATCH(A675&amp;"ENTRADA",Movimientos!$R$5:$R$2001,0)),"-")</f>
        <v>-</v>
      </c>
      <c r="D675" s="3" t="str">
        <f>IFERROR(INDEX(Movimientos!$E$5:$E$2001,MATCH(A675&amp;"ENTRADA",Movimientos!$R$5:$R$2001,0)),"-")</f>
        <v>-</v>
      </c>
      <c r="E675" s="3" t="str">
        <f>IFERROR(INDEX(Movimientos!$F$5:$F$2001,MATCH(A675&amp;"ENTRADA",Movimientos!$R$5:$R$2001,0)),"-")</f>
        <v>-</v>
      </c>
      <c r="F675" s="3" t="str">
        <f>IFERROR(INDEX(Movimientos!$G$5:$G$2001,MATCH(A675&amp;"ENTRADA",Movimientos!$R$5:$R$2001,0)),"-")</f>
        <v>-</v>
      </c>
      <c r="G675" s="3" t="str">
        <f>IFERROR(INDEX(Movimientos!$L$5:$L$2001,MATCH(A675&amp;"ENTRADA",Movimientos!$R$5:$R$2001,0)),"-")</f>
        <v>-</v>
      </c>
      <c r="H675" s="19" t="str">
        <f>IFERROR(IF(INDEX(Movimientos!$M$5:$M$2001,MATCH(A675&amp;"ENTRADA",Movimientos!$R$5:$R$2001,0))=0,"S/D",INDEX(Movimientos!$M$5:$M$2001,MATCH(A675&amp;"ENTRADA",Movimientos!$R$5:$R$2001,0))),"S/D")</f>
        <v>S/D</v>
      </c>
      <c r="I675" s="16" t="str">
        <f t="shared" ca="1" si="22"/>
        <v>S/D</v>
      </c>
      <c r="J675" s="6">
        <f>IF(A675="","",SUMIFS(Movimientos!$K:$K,Movimientos!$H:$H,A675))</f>
        <v>0</v>
      </c>
      <c r="K675" s="14" t="str">
        <f t="shared" ca="1" si="23"/>
        <v>OK</v>
      </c>
    </row>
    <row r="676" spans="1:11">
      <c r="A676" s="18" t="s">
        <v>2749</v>
      </c>
      <c r="B676" s="3" t="str">
        <f>IFERROR(INDEX(Movimientos!$C$5:$C$2001,MATCH(A676&amp;"ENTRADA",Movimientos!$R$5:$R$2001,0)),"-")</f>
        <v>-</v>
      </c>
      <c r="C676" s="3" t="str">
        <f>IFERROR(INDEX(Movimientos!$D$5:$D$2001,MATCH(A676&amp;"ENTRADA",Movimientos!$R$5:$R$2001,0)),"-")</f>
        <v>-</v>
      </c>
      <c r="D676" s="3" t="str">
        <f>IFERROR(INDEX(Movimientos!$E$5:$E$2001,MATCH(A676&amp;"ENTRADA",Movimientos!$R$5:$R$2001,0)),"-")</f>
        <v>-</v>
      </c>
      <c r="E676" s="3" t="str">
        <f>IFERROR(INDEX(Movimientos!$F$5:$F$2001,MATCH(A676&amp;"ENTRADA",Movimientos!$R$5:$R$2001,0)),"-")</f>
        <v>-</v>
      </c>
      <c r="F676" s="3" t="str">
        <f>IFERROR(INDEX(Movimientos!$G$5:$G$2001,MATCH(A676&amp;"ENTRADA",Movimientos!$R$5:$R$2001,0)),"-")</f>
        <v>-</v>
      </c>
      <c r="G676" s="3" t="str">
        <f>IFERROR(INDEX(Movimientos!$L$5:$L$2001,MATCH(A676&amp;"ENTRADA",Movimientos!$R$5:$R$2001,0)),"-")</f>
        <v>-</v>
      </c>
      <c r="H676" s="19" t="str">
        <f>IFERROR(IF(INDEX(Movimientos!$M$5:$M$2001,MATCH(A676&amp;"ENTRADA",Movimientos!$R$5:$R$2001,0))=0,"S/D",INDEX(Movimientos!$M$5:$M$2001,MATCH(A676&amp;"ENTRADA",Movimientos!$R$5:$R$2001,0))),"S/D")</f>
        <v>S/D</v>
      </c>
      <c r="I676" s="16" t="str">
        <f t="shared" ca="1" si="22"/>
        <v>S/D</v>
      </c>
      <c r="J676" s="6">
        <f>IF(A676="","",SUMIFS(Movimientos!$K:$K,Movimientos!$H:$H,A676))</f>
        <v>0</v>
      </c>
      <c r="K676" s="14" t="str">
        <f t="shared" ca="1" si="23"/>
        <v>OK</v>
      </c>
    </row>
    <row r="677" spans="1:11">
      <c r="A677" s="18" t="s">
        <v>2750</v>
      </c>
      <c r="B677" s="3" t="str">
        <f>IFERROR(INDEX(Movimientos!$C$5:$C$2001,MATCH(A677&amp;"ENTRADA",Movimientos!$R$5:$R$2001,0)),"-")</f>
        <v>-</v>
      </c>
      <c r="C677" s="3" t="str">
        <f>IFERROR(INDEX(Movimientos!$D$5:$D$2001,MATCH(A677&amp;"ENTRADA",Movimientos!$R$5:$R$2001,0)),"-")</f>
        <v>-</v>
      </c>
      <c r="D677" s="3" t="str">
        <f>IFERROR(INDEX(Movimientos!$E$5:$E$2001,MATCH(A677&amp;"ENTRADA",Movimientos!$R$5:$R$2001,0)),"-")</f>
        <v>-</v>
      </c>
      <c r="E677" s="3" t="str">
        <f>IFERROR(INDEX(Movimientos!$F$5:$F$2001,MATCH(A677&amp;"ENTRADA",Movimientos!$R$5:$R$2001,0)),"-")</f>
        <v>-</v>
      </c>
      <c r="F677" s="3" t="str">
        <f>IFERROR(INDEX(Movimientos!$G$5:$G$2001,MATCH(A677&amp;"ENTRADA",Movimientos!$R$5:$R$2001,0)),"-")</f>
        <v>-</v>
      </c>
      <c r="G677" s="3" t="str">
        <f>IFERROR(INDEX(Movimientos!$L$5:$L$2001,MATCH(A677&amp;"ENTRADA",Movimientos!$R$5:$R$2001,0)),"-")</f>
        <v>-</v>
      </c>
      <c r="H677" s="19" t="str">
        <f>IFERROR(IF(INDEX(Movimientos!$M$5:$M$2001,MATCH(A677&amp;"ENTRADA",Movimientos!$R$5:$R$2001,0))=0,"S/D",INDEX(Movimientos!$M$5:$M$2001,MATCH(A677&amp;"ENTRADA",Movimientos!$R$5:$R$2001,0))),"S/D")</f>
        <v>S/D</v>
      </c>
      <c r="I677" s="16" t="str">
        <f t="shared" ca="1" si="22"/>
        <v>S/D</v>
      </c>
      <c r="J677" s="6">
        <f>IF(A677="","",SUMIFS(Movimientos!$K:$K,Movimientos!$H:$H,A677))</f>
        <v>0</v>
      </c>
      <c r="K677" s="14" t="str">
        <f t="shared" ca="1" si="23"/>
        <v>OK</v>
      </c>
    </row>
    <row r="678" spans="1:11">
      <c r="A678" s="18" t="s">
        <v>2751</v>
      </c>
      <c r="B678" s="3" t="str">
        <f>IFERROR(INDEX(Movimientos!$C$5:$C$2001,MATCH(A678&amp;"ENTRADA",Movimientos!$R$5:$R$2001,0)),"-")</f>
        <v>-</v>
      </c>
      <c r="C678" s="3" t="str">
        <f>IFERROR(INDEX(Movimientos!$D$5:$D$2001,MATCH(A678&amp;"ENTRADA",Movimientos!$R$5:$R$2001,0)),"-")</f>
        <v>-</v>
      </c>
      <c r="D678" s="3" t="str">
        <f>IFERROR(INDEX(Movimientos!$E$5:$E$2001,MATCH(A678&amp;"ENTRADA",Movimientos!$R$5:$R$2001,0)),"-")</f>
        <v>-</v>
      </c>
      <c r="E678" s="3" t="str">
        <f>IFERROR(INDEX(Movimientos!$F$5:$F$2001,MATCH(A678&amp;"ENTRADA",Movimientos!$R$5:$R$2001,0)),"-")</f>
        <v>-</v>
      </c>
      <c r="F678" s="3" t="str">
        <f>IFERROR(INDEX(Movimientos!$G$5:$G$2001,MATCH(A678&amp;"ENTRADA",Movimientos!$R$5:$R$2001,0)),"-")</f>
        <v>-</v>
      </c>
      <c r="G678" s="3" t="str">
        <f>IFERROR(INDEX(Movimientos!$L$5:$L$2001,MATCH(A678&amp;"ENTRADA",Movimientos!$R$5:$R$2001,0)),"-")</f>
        <v>-</v>
      </c>
      <c r="H678" s="19" t="str">
        <f>IFERROR(IF(INDEX(Movimientos!$M$5:$M$2001,MATCH(A678&amp;"ENTRADA",Movimientos!$R$5:$R$2001,0))=0,"S/D",INDEX(Movimientos!$M$5:$M$2001,MATCH(A678&amp;"ENTRADA",Movimientos!$R$5:$R$2001,0))),"S/D")</f>
        <v>S/D</v>
      </c>
      <c r="I678" s="16" t="str">
        <f t="shared" ca="1" si="22"/>
        <v>S/D</v>
      </c>
      <c r="J678" s="6">
        <f>IF(A678="","",SUMIFS(Movimientos!$K:$K,Movimientos!$H:$H,A678))</f>
        <v>0</v>
      </c>
      <c r="K678" s="14" t="str">
        <f t="shared" ca="1" si="23"/>
        <v>OK</v>
      </c>
    </row>
    <row r="679" spans="1:11">
      <c r="A679" s="18" t="s">
        <v>2752</v>
      </c>
      <c r="B679" s="3" t="str">
        <f>IFERROR(INDEX(Movimientos!$C$5:$C$2001,MATCH(A679&amp;"ENTRADA",Movimientos!$R$5:$R$2001,0)),"-")</f>
        <v>-</v>
      </c>
      <c r="C679" s="3" t="str">
        <f>IFERROR(INDEX(Movimientos!$D$5:$D$2001,MATCH(A679&amp;"ENTRADA",Movimientos!$R$5:$R$2001,0)),"-")</f>
        <v>-</v>
      </c>
      <c r="D679" s="3" t="str">
        <f>IFERROR(INDEX(Movimientos!$E$5:$E$2001,MATCH(A679&amp;"ENTRADA",Movimientos!$R$5:$R$2001,0)),"-")</f>
        <v>-</v>
      </c>
      <c r="E679" s="3" t="str">
        <f>IFERROR(INDEX(Movimientos!$F$5:$F$2001,MATCH(A679&amp;"ENTRADA",Movimientos!$R$5:$R$2001,0)),"-")</f>
        <v>-</v>
      </c>
      <c r="F679" s="3" t="str">
        <f>IFERROR(INDEX(Movimientos!$G$5:$G$2001,MATCH(A679&amp;"ENTRADA",Movimientos!$R$5:$R$2001,0)),"-")</f>
        <v>-</v>
      </c>
      <c r="G679" s="3" t="str">
        <f>IFERROR(INDEX(Movimientos!$L$5:$L$2001,MATCH(A679&amp;"ENTRADA",Movimientos!$R$5:$R$2001,0)),"-")</f>
        <v>-</v>
      </c>
      <c r="H679" s="19" t="str">
        <f>IFERROR(IF(INDEX(Movimientos!$M$5:$M$2001,MATCH(A679&amp;"ENTRADA",Movimientos!$R$5:$R$2001,0))=0,"S/D",INDEX(Movimientos!$M$5:$M$2001,MATCH(A679&amp;"ENTRADA",Movimientos!$R$5:$R$2001,0))),"S/D")</f>
        <v>S/D</v>
      </c>
      <c r="I679" s="16" t="str">
        <f t="shared" ca="1" si="22"/>
        <v>S/D</v>
      </c>
      <c r="J679" s="6">
        <f>IF(A679="","",SUMIFS(Movimientos!$K:$K,Movimientos!$H:$H,A679))</f>
        <v>0</v>
      </c>
      <c r="K679" s="14" t="str">
        <f t="shared" ca="1" si="23"/>
        <v>OK</v>
      </c>
    </row>
    <row r="680" spans="1:11">
      <c r="A680" s="18" t="s">
        <v>2753</v>
      </c>
      <c r="B680" s="3" t="str">
        <f>IFERROR(INDEX(Movimientos!$C$5:$C$2001,MATCH(A680&amp;"ENTRADA",Movimientos!$R$5:$R$2001,0)),"-")</f>
        <v>-</v>
      </c>
      <c r="C680" s="3" t="str">
        <f>IFERROR(INDEX(Movimientos!$D$5:$D$2001,MATCH(A680&amp;"ENTRADA",Movimientos!$R$5:$R$2001,0)),"-")</f>
        <v>-</v>
      </c>
      <c r="D680" s="3" t="str">
        <f>IFERROR(INDEX(Movimientos!$E$5:$E$2001,MATCH(A680&amp;"ENTRADA",Movimientos!$R$5:$R$2001,0)),"-")</f>
        <v>-</v>
      </c>
      <c r="E680" s="3" t="str">
        <f>IFERROR(INDEX(Movimientos!$F$5:$F$2001,MATCH(A680&amp;"ENTRADA",Movimientos!$R$5:$R$2001,0)),"-")</f>
        <v>-</v>
      </c>
      <c r="F680" s="3" t="str">
        <f>IFERROR(INDEX(Movimientos!$G$5:$G$2001,MATCH(A680&amp;"ENTRADA",Movimientos!$R$5:$R$2001,0)),"-")</f>
        <v>-</v>
      </c>
      <c r="G680" s="3" t="str">
        <f>IFERROR(INDEX(Movimientos!$L$5:$L$2001,MATCH(A680&amp;"ENTRADA",Movimientos!$R$5:$R$2001,0)),"-")</f>
        <v>-</v>
      </c>
      <c r="H680" s="19" t="str">
        <f>IFERROR(IF(INDEX(Movimientos!$M$5:$M$2001,MATCH(A680&amp;"ENTRADA",Movimientos!$R$5:$R$2001,0))=0,"S/D",INDEX(Movimientos!$M$5:$M$2001,MATCH(A680&amp;"ENTRADA",Movimientos!$R$5:$R$2001,0))),"S/D")</f>
        <v>S/D</v>
      </c>
      <c r="I680" s="16" t="str">
        <f t="shared" ca="1" si="22"/>
        <v>S/D</v>
      </c>
      <c r="J680" s="6">
        <f>IF(A680="","",SUMIFS(Movimientos!$K:$K,Movimientos!$H:$H,A680))</f>
        <v>0</v>
      </c>
      <c r="K680" s="14" t="str">
        <f t="shared" ca="1" si="23"/>
        <v>OK</v>
      </c>
    </row>
    <row r="681" spans="1:11">
      <c r="A681" s="18" t="s">
        <v>2754</v>
      </c>
      <c r="B681" s="3" t="str">
        <f>IFERROR(INDEX(Movimientos!$C$5:$C$2001,MATCH(A681&amp;"ENTRADA",Movimientos!$R$5:$R$2001,0)),"-")</f>
        <v>-</v>
      </c>
      <c r="C681" s="3" t="str">
        <f>IFERROR(INDEX(Movimientos!$D$5:$D$2001,MATCH(A681&amp;"ENTRADA",Movimientos!$R$5:$R$2001,0)),"-")</f>
        <v>-</v>
      </c>
      <c r="D681" s="3" t="str">
        <f>IFERROR(INDEX(Movimientos!$E$5:$E$2001,MATCH(A681&amp;"ENTRADA",Movimientos!$R$5:$R$2001,0)),"-")</f>
        <v>-</v>
      </c>
      <c r="E681" s="3" t="str">
        <f>IFERROR(INDEX(Movimientos!$F$5:$F$2001,MATCH(A681&amp;"ENTRADA",Movimientos!$R$5:$R$2001,0)),"-")</f>
        <v>-</v>
      </c>
      <c r="F681" s="3" t="str">
        <f>IFERROR(INDEX(Movimientos!$G$5:$G$2001,MATCH(A681&amp;"ENTRADA",Movimientos!$R$5:$R$2001,0)),"-")</f>
        <v>-</v>
      </c>
      <c r="G681" s="3" t="str">
        <f>IFERROR(INDEX(Movimientos!$L$5:$L$2001,MATCH(A681&amp;"ENTRADA",Movimientos!$R$5:$R$2001,0)),"-")</f>
        <v>-</v>
      </c>
      <c r="H681" s="19" t="str">
        <f>IFERROR(IF(INDEX(Movimientos!$M$5:$M$2001,MATCH(A681&amp;"ENTRADA",Movimientos!$R$5:$R$2001,0))=0,"S/D",INDEX(Movimientos!$M$5:$M$2001,MATCH(A681&amp;"ENTRADA",Movimientos!$R$5:$R$2001,0))),"S/D")</f>
        <v>S/D</v>
      </c>
      <c r="I681" s="16" t="str">
        <f t="shared" ca="1" si="22"/>
        <v>S/D</v>
      </c>
      <c r="J681" s="6">
        <f>IF(A681="","",SUMIFS(Movimientos!$K:$K,Movimientos!$H:$H,A681))</f>
        <v>0</v>
      </c>
      <c r="K681" s="14" t="str">
        <f t="shared" ca="1" si="23"/>
        <v>OK</v>
      </c>
    </row>
    <row r="682" spans="1:11">
      <c r="A682" s="18" t="s">
        <v>2755</v>
      </c>
      <c r="B682" s="3" t="str">
        <f>IFERROR(INDEX(Movimientos!$C$5:$C$2001,MATCH(A682&amp;"ENTRADA",Movimientos!$R$5:$R$2001,0)),"-")</f>
        <v>-</v>
      </c>
      <c r="C682" s="3" t="str">
        <f>IFERROR(INDEX(Movimientos!$D$5:$D$2001,MATCH(A682&amp;"ENTRADA",Movimientos!$R$5:$R$2001,0)),"-")</f>
        <v>-</v>
      </c>
      <c r="D682" s="3" t="str">
        <f>IFERROR(INDEX(Movimientos!$E$5:$E$2001,MATCH(A682&amp;"ENTRADA",Movimientos!$R$5:$R$2001,0)),"-")</f>
        <v>-</v>
      </c>
      <c r="E682" s="3" t="str">
        <f>IFERROR(INDEX(Movimientos!$F$5:$F$2001,MATCH(A682&amp;"ENTRADA",Movimientos!$R$5:$R$2001,0)),"-")</f>
        <v>-</v>
      </c>
      <c r="F682" s="3" t="str">
        <f>IFERROR(INDEX(Movimientos!$G$5:$G$2001,MATCH(A682&amp;"ENTRADA",Movimientos!$R$5:$R$2001,0)),"-")</f>
        <v>-</v>
      </c>
      <c r="G682" s="3" t="str">
        <f>IFERROR(INDEX(Movimientos!$L$5:$L$2001,MATCH(A682&amp;"ENTRADA",Movimientos!$R$5:$R$2001,0)),"-")</f>
        <v>-</v>
      </c>
      <c r="H682" s="19" t="str">
        <f>IFERROR(IF(INDEX(Movimientos!$M$5:$M$2001,MATCH(A682&amp;"ENTRADA",Movimientos!$R$5:$R$2001,0))=0,"S/D",INDEX(Movimientos!$M$5:$M$2001,MATCH(A682&amp;"ENTRADA",Movimientos!$R$5:$R$2001,0))),"S/D")</f>
        <v>S/D</v>
      </c>
      <c r="I682" s="16" t="str">
        <f t="shared" ca="1" si="22"/>
        <v>S/D</v>
      </c>
      <c r="J682" s="6">
        <f>IF(A682="","",SUMIFS(Movimientos!$K:$K,Movimientos!$H:$H,A682))</f>
        <v>0</v>
      </c>
      <c r="K682" s="14" t="str">
        <f t="shared" ca="1" si="23"/>
        <v>OK</v>
      </c>
    </row>
    <row r="683" spans="1:11">
      <c r="A683" s="18" t="s">
        <v>2756</v>
      </c>
      <c r="B683" s="3" t="str">
        <f>IFERROR(INDEX(Movimientos!$C$5:$C$2001,MATCH(A683&amp;"ENTRADA",Movimientos!$R$5:$R$2001,0)),"-")</f>
        <v>-</v>
      </c>
      <c r="C683" s="3" t="str">
        <f>IFERROR(INDEX(Movimientos!$D$5:$D$2001,MATCH(A683&amp;"ENTRADA",Movimientos!$R$5:$R$2001,0)),"-")</f>
        <v>-</v>
      </c>
      <c r="D683" s="3" t="str">
        <f>IFERROR(INDEX(Movimientos!$E$5:$E$2001,MATCH(A683&amp;"ENTRADA",Movimientos!$R$5:$R$2001,0)),"-")</f>
        <v>-</v>
      </c>
      <c r="E683" s="3" t="str">
        <f>IFERROR(INDEX(Movimientos!$F$5:$F$2001,MATCH(A683&amp;"ENTRADA",Movimientos!$R$5:$R$2001,0)),"-")</f>
        <v>-</v>
      </c>
      <c r="F683" s="3" t="str">
        <f>IFERROR(INDEX(Movimientos!$G$5:$G$2001,MATCH(A683&amp;"ENTRADA",Movimientos!$R$5:$R$2001,0)),"-")</f>
        <v>-</v>
      </c>
      <c r="G683" s="3" t="str">
        <f>IFERROR(INDEX(Movimientos!$L$5:$L$2001,MATCH(A683&amp;"ENTRADA",Movimientos!$R$5:$R$2001,0)),"-")</f>
        <v>-</v>
      </c>
      <c r="H683" s="19" t="str">
        <f>IFERROR(IF(INDEX(Movimientos!$M$5:$M$2001,MATCH(A683&amp;"ENTRADA",Movimientos!$R$5:$R$2001,0))=0,"S/D",INDEX(Movimientos!$M$5:$M$2001,MATCH(A683&amp;"ENTRADA",Movimientos!$R$5:$R$2001,0))),"S/D")</f>
        <v>S/D</v>
      </c>
      <c r="I683" s="16" t="str">
        <f t="shared" ca="1" si="22"/>
        <v>S/D</v>
      </c>
      <c r="J683" s="6">
        <f>IF(A683="","",SUMIFS(Movimientos!$K:$K,Movimientos!$H:$H,A683))</f>
        <v>0</v>
      </c>
      <c r="K683" s="14" t="str">
        <f t="shared" ca="1" si="23"/>
        <v>OK</v>
      </c>
    </row>
    <row r="684" spans="1:11">
      <c r="A684" s="18" t="s">
        <v>2757</v>
      </c>
      <c r="B684" s="3" t="str">
        <f>IFERROR(INDEX(Movimientos!$C$5:$C$2001,MATCH(A684&amp;"ENTRADA",Movimientos!$R$5:$R$2001,0)),"-")</f>
        <v>-</v>
      </c>
      <c r="C684" s="3" t="str">
        <f>IFERROR(INDEX(Movimientos!$D$5:$D$2001,MATCH(A684&amp;"ENTRADA",Movimientos!$R$5:$R$2001,0)),"-")</f>
        <v>-</v>
      </c>
      <c r="D684" s="3" t="str">
        <f>IFERROR(INDEX(Movimientos!$E$5:$E$2001,MATCH(A684&amp;"ENTRADA",Movimientos!$R$5:$R$2001,0)),"-")</f>
        <v>-</v>
      </c>
      <c r="E684" s="3" t="str">
        <f>IFERROR(INDEX(Movimientos!$F$5:$F$2001,MATCH(A684&amp;"ENTRADA",Movimientos!$R$5:$R$2001,0)),"-")</f>
        <v>-</v>
      </c>
      <c r="F684" s="3" t="str">
        <f>IFERROR(INDEX(Movimientos!$G$5:$G$2001,MATCH(A684&amp;"ENTRADA",Movimientos!$R$5:$R$2001,0)),"-")</f>
        <v>-</v>
      </c>
      <c r="G684" s="3" t="str">
        <f>IFERROR(INDEX(Movimientos!$L$5:$L$2001,MATCH(A684&amp;"ENTRADA",Movimientos!$R$5:$R$2001,0)),"-")</f>
        <v>-</v>
      </c>
      <c r="H684" s="19" t="str">
        <f>IFERROR(IF(INDEX(Movimientos!$M$5:$M$2001,MATCH(A684&amp;"ENTRADA",Movimientos!$R$5:$R$2001,0))=0,"S/D",INDEX(Movimientos!$M$5:$M$2001,MATCH(A684&amp;"ENTRADA",Movimientos!$R$5:$R$2001,0))),"S/D")</f>
        <v>S/D</v>
      </c>
      <c r="I684" s="16" t="str">
        <f t="shared" ca="1" si="22"/>
        <v>S/D</v>
      </c>
      <c r="J684" s="6">
        <f>IF(A684="","",SUMIFS(Movimientos!$K:$K,Movimientos!$H:$H,A684))</f>
        <v>0</v>
      </c>
      <c r="K684" s="14" t="str">
        <f t="shared" ca="1" si="23"/>
        <v>OK</v>
      </c>
    </row>
    <row r="685" spans="1:11">
      <c r="A685" s="18" t="s">
        <v>2758</v>
      </c>
      <c r="B685" s="3" t="str">
        <f>IFERROR(INDEX(Movimientos!$C$5:$C$2001,MATCH(A685&amp;"ENTRADA",Movimientos!$R$5:$R$2001,0)),"-")</f>
        <v>-</v>
      </c>
      <c r="C685" s="3" t="str">
        <f>IFERROR(INDEX(Movimientos!$D$5:$D$2001,MATCH(A685&amp;"ENTRADA",Movimientos!$R$5:$R$2001,0)),"-")</f>
        <v>-</v>
      </c>
      <c r="D685" s="3" t="str">
        <f>IFERROR(INDEX(Movimientos!$E$5:$E$2001,MATCH(A685&amp;"ENTRADA",Movimientos!$R$5:$R$2001,0)),"-")</f>
        <v>-</v>
      </c>
      <c r="E685" s="3" t="str">
        <f>IFERROR(INDEX(Movimientos!$F$5:$F$2001,MATCH(A685&amp;"ENTRADA",Movimientos!$R$5:$R$2001,0)),"-")</f>
        <v>-</v>
      </c>
      <c r="F685" s="3" t="str">
        <f>IFERROR(INDEX(Movimientos!$G$5:$G$2001,MATCH(A685&amp;"ENTRADA",Movimientos!$R$5:$R$2001,0)),"-")</f>
        <v>-</v>
      </c>
      <c r="G685" s="3" t="str">
        <f>IFERROR(INDEX(Movimientos!$L$5:$L$2001,MATCH(A685&amp;"ENTRADA",Movimientos!$R$5:$R$2001,0)),"-")</f>
        <v>-</v>
      </c>
      <c r="H685" s="19" t="str">
        <f>IFERROR(IF(INDEX(Movimientos!$M$5:$M$2001,MATCH(A685&amp;"ENTRADA",Movimientos!$R$5:$R$2001,0))=0,"S/D",INDEX(Movimientos!$M$5:$M$2001,MATCH(A685&amp;"ENTRADA",Movimientos!$R$5:$R$2001,0))),"S/D")</f>
        <v>S/D</v>
      </c>
      <c r="I685" s="16" t="str">
        <f t="shared" ca="1" si="22"/>
        <v>S/D</v>
      </c>
      <c r="J685" s="6">
        <f>IF(A685="","",SUMIFS(Movimientos!$K:$K,Movimientos!$H:$H,A685))</f>
        <v>0</v>
      </c>
      <c r="K685" s="14" t="str">
        <f t="shared" ca="1" si="23"/>
        <v>OK</v>
      </c>
    </row>
    <row r="686" spans="1:11">
      <c r="A686" s="18" t="s">
        <v>2759</v>
      </c>
      <c r="B686" s="3" t="str">
        <f>IFERROR(INDEX(Movimientos!$C$5:$C$2001,MATCH(A686&amp;"ENTRADA",Movimientos!$R$5:$R$2001,0)),"-")</f>
        <v>-</v>
      </c>
      <c r="C686" s="3" t="str">
        <f>IFERROR(INDEX(Movimientos!$D$5:$D$2001,MATCH(A686&amp;"ENTRADA",Movimientos!$R$5:$R$2001,0)),"-")</f>
        <v>-</v>
      </c>
      <c r="D686" s="3" t="str">
        <f>IFERROR(INDEX(Movimientos!$E$5:$E$2001,MATCH(A686&amp;"ENTRADA",Movimientos!$R$5:$R$2001,0)),"-")</f>
        <v>-</v>
      </c>
      <c r="E686" s="3" t="str">
        <f>IFERROR(INDEX(Movimientos!$F$5:$F$2001,MATCH(A686&amp;"ENTRADA",Movimientos!$R$5:$R$2001,0)),"-")</f>
        <v>-</v>
      </c>
      <c r="F686" s="3" t="str">
        <f>IFERROR(INDEX(Movimientos!$G$5:$G$2001,MATCH(A686&amp;"ENTRADA",Movimientos!$R$5:$R$2001,0)),"-")</f>
        <v>-</v>
      </c>
      <c r="G686" s="3" t="str">
        <f>IFERROR(INDEX(Movimientos!$L$5:$L$2001,MATCH(A686&amp;"ENTRADA",Movimientos!$R$5:$R$2001,0)),"-")</f>
        <v>-</v>
      </c>
      <c r="H686" s="19" t="str">
        <f>IFERROR(IF(INDEX(Movimientos!$M$5:$M$2001,MATCH(A686&amp;"ENTRADA",Movimientos!$R$5:$R$2001,0))=0,"S/D",INDEX(Movimientos!$M$5:$M$2001,MATCH(A686&amp;"ENTRADA",Movimientos!$R$5:$R$2001,0))),"S/D")</f>
        <v>S/D</v>
      </c>
      <c r="I686" s="16" t="str">
        <f t="shared" ca="1" si="22"/>
        <v>S/D</v>
      </c>
      <c r="J686" s="6">
        <f>IF(A686="","",SUMIFS(Movimientos!$K:$K,Movimientos!$H:$H,A686))</f>
        <v>0</v>
      </c>
      <c r="K686" s="14" t="str">
        <f t="shared" ca="1" si="23"/>
        <v>OK</v>
      </c>
    </row>
    <row r="687" spans="1:11">
      <c r="A687" s="18" t="s">
        <v>2760</v>
      </c>
      <c r="B687" s="3" t="str">
        <f>IFERROR(INDEX(Movimientos!$C$5:$C$2001,MATCH(A687&amp;"ENTRADA",Movimientos!$R$5:$R$2001,0)),"-")</f>
        <v>-</v>
      </c>
      <c r="C687" s="3" t="str">
        <f>IFERROR(INDEX(Movimientos!$D$5:$D$2001,MATCH(A687&amp;"ENTRADA",Movimientos!$R$5:$R$2001,0)),"-")</f>
        <v>-</v>
      </c>
      <c r="D687" s="3" t="str">
        <f>IFERROR(INDEX(Movimientos!$E$5:$E$2001,MATCH(A687&amp;"ENTRADA",Movimientos!$R$5:$R$2001,0)),"-")</f>
        <v>-</v>
      </c>
      <c r="E687" s="3" t="str">
        <f>IFERROR(INDEX(Movimientos!$F$5:$F$2001,MATCH(A687&amp;"ENTRADA",Movimientos!$R$5:$R$2001,0)),"-")</f>
        <v>-</v>
      </c>
      <c r="F687" s="3" t="str">
        <f>IFERROR(INDEX(Movimientos!$G$5:$G$2001,MATCH(A687&amp;"ENTRADA",Movimientos!$R$5:$R$2001,0)),"-")</f>
        <v>-</v>
      </c>
      <c r="G687" s="3" t="str">
        <f>IFERROR(INDEX(Movimientos!$L$5:$L$2001,MATCH(A687&amp;"ENTRADA",Movimientos!$R$5:$R$2001,0)),"-")</f>
        <v>-</v>
      </c>
      <c r="H687" s="19" t="str">
        <f>IFERROR(IF(INDEX(Movimientos!$M$5:$M$2001,MATCH(A687&amp;"ENTRADA",Movimientos!$R$5:$R$2001,0))=0,"S/D",INDEX(Movimientos!$M$5:$M$2001,MATCH(A687&amp;"ENTRADA",Movimientos!$R$5:$R$2001,0))),"S/D")</f>
        <v>S/D</v>
      </c>
      <c r="I687" s="16" t="str">
        <f t="shared" ca="1" si="22"/>
        <v>S/D</v>
      </c>
      <c r="J687" s="6">
        <f>IF(A687="","",SUMIFS(Movimientos!$K:$K,Movimientos!$H:$H,A687))</f>
        <v>0</v>
      </c>
      <c r="K687" s="14" t="str">
        <f t="shared" ca="1" si="23"/>
        <v>OK</v>
      </c>
    </row>
    <row r="688" spans="1:11">
      <c r="A688" s="18" t="s">
        <v>2761</v>
      </c>
      <c r="B688" s="3" t="str">
        <f>IFERROR(INDEX(Movimientos!$C$5:$C$2001,MATCH(A688&amp;"ENTRADA",Movimientos!$R$5:$R$2001,0)),"-")</f>
        <v>-</v>
      </c>
      <c r="C688" s="3" t="str">
        <f>IFERROR(INDEX(Movimientos!$D$5:$D$2001,MATCH(A688&amp;"ENTRADA",Movimientos!$R$5:$R$2001,0)),"-")</f>
        <v>-</v>
      </c>
      <c r="D688" s="3" t="str">
        <f>IFERROR(INDEX(Movimientos!$E$5:$E$2001,MATCH(A688&amp;"ENTRADA",Movimientos!$R$5:$R$2001,0)),"-")</f>
        <v>-</v>
      </c>
      <c r="E688" s="3" t="str">
        <f>IFERROR(INDEX(Movimientos!$F$5:$F$2001,MATCH(A688&amp;"ENTRADA",Movimientos!$R$5:$R$2001,0)),"-")</f>
        <v>-</v>
      </c>
      <c r="F688" s="3" t="str">
        <f>IFERROR(INDEX(Movimientos!$G$5:$G$2001,MATCH(A688&amp;"ENTRADA",Movimientos!$R$5:$R$2001,0)),"-")</f>
        <v>-</v>
      </c>
      <c r="G688" s="3" t="str">
        <f>IFERROR(INDEX(Movimientos!$L$5:$L$2001,MATCH(A688&amp;"ENTRADA",Movimientos!$R$5:$R$2001,0)),"-")</f>
        <v>-</v>
      </c>
      <c r="H688" s="19" t="str">
        <f>IFERROR(IF(INDEX(Movimientos!$M$5:$M$2001,MATCH(A688&amp;"ENTRADA",Movimientos!$R$5:$R$2001,0))=0,"S/D",INDEX(Movimientos!$M$5:$M$2001,MATCH(A688&amp;"ENTRADA",Movimientos!$R$5:$R$2001,0))),"S/D")</f>
        <v>S/D</v>
      </c>
      <c r="I688" s="16" t="str">
        <f t="shared" ca="1" si="22"/>
        <v>S/D</v>
      </c>
      <c r="J688" s="6">
        <f>IF(A688="","",SUMIFS(Movimientos!$K:$K,Movimientos!$H:$H,A688))</f>
        <v>0</v>
      </c>
      <c r="K688" s="14" t="str">
        <f t="shared" ca="1" si="23"/>
        <v>OK</v>
      </c>
    </row>
    <row r="689" spans="1:11">
      <c r="A689" s="18" t="s">
        <v>2762</v>
      </c>
      <c r="B689" s="3" t="str">
        <f>IFERROR(INDEX(Movimientos!$C$5:$C$2001,MATCH(A689&amp;"ENTRADA",Movimientos!$R$5:$R$2001,0)),"-")</f>
        <v>-</v>
      </c>
      <c r="C689" s="3" t="str">
        <f>IFERROR(INDEX(Movimientos!$D$5:$D$2001,MATCH(A689&amp;"ENTRADA",Movimientos!$R$5:$R$2001,0)),"-")</f>
        <v>-</v>
      </c>
      <c r="D689" s="3" t="str">
        <f>IFERROR(INDEX(Movimientos!$E$5:$E$2001,MATCH(A689&amp;"ENTRADA",Movimientos!$R$5:$R$2001,0)),"-")</f>
        <v>-</v>
      </c>
      <c r="E689" s="3" t="str">
        <f>IFERROR(INDEX(Movimientos!$F$5:$F$2001,MATCH(A689&amp;"ENTRADA",Movimientos!$R$5:$R$2001,0)),"-")</f>
        <v>-</v>
      </c>
      <c r="F689" s="3" t="str">
        <f>IFERROR(INDEX(Movimientos!$G$5:$G$2001,MATCH(A689&amp;"ENTRADA",Movimientos!$R$5:$R$2001,0)),"-")</f>
        <v>-</v>
      </c>
      <c r="G689" s="3" t="str">
        <f>IFERROR(INDEX(Movimientos!$L$5:$L$2001,MATCH(A689&amp;"ENTRADA",Movimientos!$R$5:$R$2001,0)),"-")</f>
        <v>-</v>
      </c>
      <c r="H689" s="19" t="str">
        <f>IFERROR(IF(INDEX(Movimientos!$M$5:$M$2001,MATCH(A689&amp;"ENTRADA",Movimientos!$R$5:$R$2001,0))=0,"S/D",INDEX(Movimientos!$M$5:$M$2001,MATCH(A689&amp;"ENTRADA",Movimientos!$R$5:$R$2001,0))),"S/D")</f>
        <v>S/D</v>
      </c>
      <c r="I689" s="16" t="str">
        <f t="shared" ca="1" si="22"/>
        <v>S/D</v>
      </c>
      <c r="J689" s="6">
        <f>IF(A689="","",SUMIFS(Movimientos!$K:$K,Movimientos!$H:$H,A689))</f>
        <v>0</v>
      </c>
      <c r="K689" s="14" t="str">
        <f t="shared" ca="1" si="23"/>
        <v>OK</v>
      </c>
    </row>
    <row r="690" spans="1:11">
      <c r="A690" s="18" t="s">
        <v>2763</v>
      </c>
      <c r="B690" s="3" t="str">
        <f>IFERROR(INDEX(Movimientos!$C$5:$C$2001,MATCH(A690&amp;"ENTRADA",Movimientos!$R$5:$R$2001,0)),"-")</f>
        <v>-</v>
      </c>
      <c r="C690" s="3" t="str">
        <f>IFERROR(INDEX(Movimientos!$D$5:$D$2001,MATCH(A690&amp;"ENTRADA",Movimientos!$R$5:$R$2001,0)),"-")</f>
        <v>-</v>
      </c>
      <c r="D690" s="3" t="str">
        <f>IFERROR(INDEX(Movimientos!$E$5:$E$2001,MATCH(A690&amp;"ENTRADA",Movimientos!$R$5:$R$2001,0)),"-")</f>
        <v>-</v>
      </c>
      <c r="E690" s="3" t="str">
        <f>IFERROR(INDEX(Movimientos!$F$5:$F$2001,MATCH(A690&amp;"ENTRADA",Movimientos!$R$5:$R$2001,0)),"-")</f>
        <v>-</v>
      </c>
      <c r="F690" s="3" t="str">
        <f>IFERROR(INDEX(Movimientos!$G$5:$G$2001,MATCH(A690&amp;"ENTRADA",Movimientos!$R$5:$R$2001,0)),"-")</f>
        <v>-</v>
      </c>
      <c r="G690" s="3" t="str">
        <f>IFERROR(INDEX(Movimientos!$L$5:$L$2001,MATCH(A690&amp;"ENTRADA",Movimientos!$R$5:$R$2001,0)),"-")</f>
        <v>-</v>
      </c>
      <c r="H690" s="19" t="str">
        <f>IFERROR(IF(INDEX(Movimientos!$M$5:$M$2001,MATCH(A690&amp;"ENTRADA",Movimientos!$R$5:$R$2001,0))=0,"S/D",INDEX(Movimientos!$M$5:$M$2001,MATCH(A690&amp;"ENTRADA",Movimientos!$R$5:$R$2001,0))),"S/D")</f>
        <v>S/D</v>
      </c>
      <c r="I690" s="16" t="str">
        <f t="shared" ca="1" si="22"/>
        <v>S/D</v>
      </c>
      <c r="J690" s="6">
        <f>IF(A690="","",SUMIFS(Movimientos!$K:$K,Movimientos!$H:$H,A690))</f>
        <v>0</v>
      </c>
      <c r="K690" s="14" t="str">
        <f t="shared" ca="1" si="23"/>
        <v>OK</v>
      </c>
    </row>
    <row r="691" spans="1:11">
      <c r="A691" s="18" t="s">
        <v>2764</v>
      </c>
      <c r="B691" s="3" t="str">
        <f>IFERROR(INDEX(Movimientos!$C$5:$C$2001,MATCH(A691&amp;"ENTRADA",Movimientos!$R$5:$R$2001,0)),"-")</f>
        <v>-</v>
      </c>
      <c r="C691" s="3" t="str">
        <f>IFERROR(INDEX(Movimientos!$D$5:$D$2001,MATCH(A691&amp;"ENTRADA",Movimientos!$R$5:$R$2001,0)),"-")</f>
        <v>-</v>
      </c>
      <c r="D691" s="3" t="str">
        <f>IFERROR(INDEX(Movimientos!$E$5:$E$2001,MATCH(A691&amp;"ENTRADA",Movimientos!$R$5:$R$2001,0)),"-")</f>
        <v>-</v>
      </c>
      <c r="E691" s="3" t="str">
        <f>IFERROR(INDEX(Movimientos!$F$5:$F$2001,MATCH(A691&amp;"ENTRADA",Movimientos!$R$5:$R$2001,0)),"-")</f>
        <v>-</v>
      </c>
      <c r="F691" s="3" t="str">
        <f>IFERROR(INDEX(Movimientos!$G$5:$G$2001,MATCH(A691&amp;"ENTRADA",Movimientos!$R$5:$R$2001,0)),"-")</f>
        <v>-</v>
      </c>
      <c r="G691" s="3" t="str">
        <f>IFERROR(INDEX(Movimientos!$L$5:$L$2001,MATCH(A691&amp;"ENTRADA",Movimientos!$R$5:$R$2001,0)),"-")</f>
        <v>-</v>
      </c>
      <c r="H691" s="19" t="str">
        <f>IFERROR(IF(INDEX(Movimientos!$M$5:$M$2001,MATCH(A691&amp;"ENTRADA",Movimientos!$R$5:$R$2001,0))=0,"S/D",INDEX(Movimientos!$M$5:$M$2001,MATCH(A691&amp;"ENTRADA",Movimientos!$R$5:$R$2001,0))),"S/D")</f>
        <v>S/D</v>
      </c>
      <c r="I691" s="16" t="str">
        <f t="shared" ca="1" si="22"/>
        <v>S/D</v>
      </c>
      <c r="J691" s="6">
        <f>IF(A691="","",SUMIFS(Movimientos!$K:$K,Movimientos!$H:$H,A691))</f>
        <v>0</v>
      </c>
      <c r="K691" s="14" t="str">
        <f t="shared" ca="1" si="23"/>
        <v>OK</v>
      </c>
    </row>
    <row r="692" spans="1:11">
      <c r="A692" s="18" t="s">
        <v>2765</v>
      </c>
      <c r="B692" s="3" t="str">
        <f>IFERROR(INDEX(Movimientos!$C$5:$C$2001,MATCH(A692&amp;"ENTRADA",Movimientos!$R$5:$R$2001,0)),"-")</f>
        <v>-</v>
      </c>
      <c r="C692" s="3" t="str">
        <f>IFERROR(INDEX(Movimientos!$D$5:$D$2001,MATCH(A692&amp;"ENTRADA",Movimientos!$R$5:$R$2001,0)),"-")</f>
        <v>-</v>
      </c>
      <c r="D692" s="3" t="str">
        <f>IFERROR(INDEX(Movimientos!$E$5:$E$2001,MATCH(A692&amp;"ENTRADA",Movimientos!$R$5:$R$2001,0)),"-")</f>
        <v>-</v>
      </c>
      <c r="E692" s="3" t="str">
        <f>IFERROR(INDEX(Movimientos!$F$5:$F$2001,MATCH(A692&amp;"ENTRADA",Movimientos!$R$5:$R$2001,0)),"-")</f>
        <v>-</v>
      </c>
      <c r="F692" s="3" t="str">
        <f>IFERROR(INDEX(Movimientos!$G$5:$G$2001,MATCH(A692&amp;"ENTRADA",Movimientos!$R$5:$R$2001,0)),"-")</f>
        <v>-</v>
      </c>
      <c r="G692" s="3" t="str">
        <f>IFERROR(INDEX(Movimientos!$L$5:$L$2001,MATCH(A692&amp;"ENTRADA",Movimientos!$R$5:$R$2001,0)),"-")</f>
        <v>-</v>
      </c>
      <c r="H692" s="19" t="str">
        <f>IFERROR(IF(INDEX(Movimientos!$M$5:$M$2001,MATCH(A692&amp;"ENTRADA",Movimientos!$R$5:$R$2001,0))=0,"S/D",INDEX(Movimientos!$M$5:$M$2001,MATCH(A692&amp;"ENTRADA",Movimientos!$R$5:$R$2001,0))),"S/D")</f>
        <v>S/D</v>
      </c>
      <c r="I692" s="16" t="str">
        <f t="shared" ca="1" si="22"/>
        <v>S/D</v>
      </c>
      <c r="J692" s="6">
        <f>IF(A692="","",SUMIFS(Movimientos!$K:$K,Movimientos!$H:$H,A692))</f>
        <v>0</v>
      </c>
      <c r="K692" s="14" t="str">
        <f t="shared" ca="1" si="23"/>
        <v>OK</v>
      </c>
    </row>
    <row r="693" spans="1:11">
      <c r="A693" s="18" t="s">
        <v>2766</v>
      </c>
      <c r="B693" s="3" t="str">
        <f>IFERROR(INDEX(Movimientos!$C$5:$C$2001,MATCH(A693&amp;"ENTRADA",Movimientos!$R$5:$R$2001,0)),"-")</f>
        <v>-</v>
      </c>
      <c r="C693" s="3" t="str">
        <f>IFERROR(INDEX(Movimientos!$D$5:$D$2001,MATCH(A693&amp;"ENTRADA",Movimientos!$R$5:$R$2001,0)),"-")</f>
        <v>-</v>
      </c>
      <c r="D693" s="3" t="str">
        <f>IFERROR(INDEX(Movimientos!$E$5:$E$2001,MATCH(A693&amp;"ENTRADA",Movimientos!$R$5:$R$2001,0)),"-")</f>
        <v>-</v>
      </c>
      <c r="E693" s="3" t="str">
        <f>IFERROR(INDEX(Movimientos!$F$5:$F$2001,MATCH(A693&amp;"ENTRADA",Movimientos!$R$5:$R$2001,0)),"-")</f>
        <v>-</v>
      </c>
      <c r="F693" s="3" t="str">
        <f>IFERROR(INDEX(Movimientos!$G$5:$G$2001,MATCH(A693&amp;"ENTRADA",Movimientos!$R$5:$R$2001,0)),"-")</f>
        <v>-</v>
      </c>
      <c r="G693" s="3" t="str">
        <f>IFERROR(INDEX(Movimientos!$L$5:$L$2001,MATCH(A693&amp;"ENTRADA",Movimientos!$R$5:$R$2001,0)),"-")</f>
        <v>-</v>
      </c>
      <c r="H693" s="19" t="str">
        <f>IFERROR(IF(INDEX(Movimientos!$M$5:$M$2001,MATCH(A693&amp;"ENTRADA",Movimientos!$R$5:$R$2001,0))=0,"S/D",INDEX(Movimientos!$M$5:$M$2001,MATCH(A693&amp;"ENTRADA",Movimientos!$R$5:$R$2001,0))),"S/D")</f>
        <v>S/D</v>
      </c>
      <c r="I693" s="16" t="str">
        <f t="shared" ca="1" si="22"/>
        <v>S/D</v>
      </c>
      <c r="J693" s="6">
        <f>IF(A693="","",SUMIFS(Movimientos!$K:$K,Movimientos!$H:$H,A693))</f>
        <v>0</v>
      </c>
      <c r="K693" s="14" t="str">
        <f t="shared" ca="1" si="23"/>
        <v>OK</v>
      </c>
    </row>
    <row r="694" spans="1:11">
      <c r="A694" s="18" t="s">
        <v>2767</v>
      </c>
      <c r="B694" s="3" t="str">
        <f>IFERROR(INDEX(Movimientos!$C$5:$C$2001,MATCH(A694&amp;"ENTRADA",Movimientos!$R$5:$R$2001,0)),"-")</f>
        <v>-</v>
      </c>
      <c r="C694" s="3" t="str">
        <f>IFERROR(INDEX(Movimientos!$D$5:$D$2001,MATCH(A694&amp;"ENTRADA",Movimientos!$R$5:$R$2001,0)),"-")</f>
        <v>-</v>
      </c>
      <c r="D694" s="3" t="str">
        <f>IFERROR(INDEX(Movimientos!$E$5:$E$2001,MATCH(A694&amp;"ENTRADA",Movimientos!$R$5:$R$2001,0)),"-")</f>
        <v>-</v>
      </c>
      <c r="E694" s="3" t="str">
        <f>IFERROR(INDEX(Movimientos!$F$5:$F$2001,MATCH(A694&amp;"ENTRADA",Movimientos!$R$5:$R$2001,0)),"-")</f>
        <v>-</v>
      </c>
      <c r="F694" s="3" t="str">
        <f>IFERROR(INDEX(Movimientos!$G$5:$G$2001,MATCH(A694&amp;"ENTRADA",Movimientos!$R$5:$R$2001,0)),"-")</f>
        <v>-</v>
      </c>
      <c r="G694" s="3" t="str">
        <f>IFERROR(INDEX(Movimientos!$L$5:$L$2001,MATCH(A694&amp;"ENTRADA",Movimientos!$R$5:$R$2001,0)),"-")</f>
        <v>-</v>
      </c>
      <c r="H694" s="19" t="str">
        <f>IFERROR(IF(INDEX(Movimientos!$M$5:$M$2001,MATCH(A694&amp;"ENTRADA",Movimientos!$R$5:$R$2001,0))=0,"S/D",INDEX(Movimientos!$M$5:$M$2001,MATCH(A694&amp;"ENTRADA",Movimientos!$R$5:$R$2001,0))),"S/D")</f>
        <v>S/D</v>
      </c>
      <c r="I694" s="16" t="str">
        <f t="shared" ca="1" si="22"/>
        <v>S/D</v>
      </c>
      <c r="J694" s="6">
        <f>IF(A694="","",SUMIFS(Movimientos!$K:$K,Movimientos!$H:$H,A694))</f>
        <v>0</v>
      </c>
      <c r="K694" s="14" t="str">
        <f t="shared" ca="1" si="23"/>
        <v>OK</v>
      </c>
    </row>
    <row r="695" spans="1:11">
      <c r="A695" s="18" t="s">
        <v>2768</v>
      </c>
      <c r="B695" s="3" t="str">
        <f>IFERROR(INDEX(Movimientos!$C$5:$C$2001,MATCH(A695&amp;"ENTRADA",Movimientos!$R$5:$R$2001,0)),"-")</f>
        <v>-</v>
      </c>
      <c r="C695" s="3" t="str">
        <f>IFERROR(INDEX(Movimientos!$D$5:$D$2001,MATCH(A695&amp;"ENTRADA",Movimientos!$R$5:$R$2001,0)),"-")</f>
        <v>-</v>
      </c>
      <c r="D695" s="3" t="str">
        <f>IFERROR(INDEX(Movimientos!$E$5:$E$2001,MATCH(A695&amp;"ENTRADA",Movimientos!$R$5:$R$2001,0)),"-")</f>
        <v>-</v>
      </c>
      <c r="E695" s="3" t="str">
        <f>IFERROR(INDEX(Movimientos!$F$5:$F$2001,MATCH(A695&amp;"ENTRADA",Movimientos!$R$5:$R$2001,0)),"-")</f>
        <v>-</v>
      </c>
      <c r="F695" s="3" t="str">
        <f>IFERROR(INDEX(Movimientos!$G$5:$G$2001,MATCH(A695&amp;"ENTRADA",Movimientos!$R$5:$R$2001,0)),"-")</f>
        <v>-</v>
      </c>
      <c r="G695" s="3" t="str">
        <f>IFERROR(INDEX(Movimientos!$L$5:$L$2001,MATCH(A695&amp;"ENTRADA",Movimientos!$R$5:$R$2001,0)),"-")</f>
        <v>-</v>
      </c>
      <c r="H695" s="19" t="str">
        <f>IFERROR(IF(INDEX(Movimientos!$M$5:$M$2001,MATCH(A695&amp;"ENTRADA",Movimientos!$R$5:$R$2001,0))=0,"S/D",INDEX(Movimientos!$M$5:$M$2001,MATCH(A695&amp;"ENTRADA",Movimientos!$R$5:$R$2001,0))),"S/D")</f>
        <v>S/D</v>
      </c>
      <c r="I695" s="16" t="str">
        <f t="shared" ca="1" si="22"/>
        <v>S/D</v>
      </c>
      <c r="J695" s="6">
        <f>IF(A695="","",SUMIFS(Movimientos!$K:$K,Movimientos!$H:$H,A695))</f>
        <v>0</v>
      </c>
      <c r="K695" s="14" t="str">
        <f t="shared" ca="1" si="23"/>
        <v>OK</v>
      </c>
    </row>
    <row r="696" spans="1:11">
      <c r="A696" s="18" t="s">
        <v>2769</v>
      </c>
      <c r="B696" s="3" t="str">
        <f>IFERROR(INDEX(Movimientos!$C$5:$C$2001,MATCH(A696&amp;"ENTRADA",Movimientos!$R$5:$R$2001,0)),"-")</f>
        <v>-</v>
      </c>
      <c r="C696" s="3" t="str">
        <f>IFERROR(INDEX(Movimientos!$D$5:$D$2001,MATCH(A696&amp;"ENTRADA",Movimientos!$R$5:$R$2001,0)),"-")</f>
        <v>-</v>
      </c>
      <c r="D696" s="3" t="str">
        <f>IFERROR(INDEX(Movimientos!$E$5:$E$2001,MATCH(A696&amp;"ENTRADA",Movimientos!$R$5:$R$2001,0)),"-")</f>
        <v>-</v>
      </c>
      <c r="E696" s="3" t="str">
        <f>IFERROR(INDEX(Movimientos!$F$5:$F$2001,MATCH(A696&amp;"ENTRADA",Movimientos!$R$5:$R$2001,0)),"-")</f>
        <v>-</v>
      </c>
      <c r="F696" s="3" t="str">
        <f>IFERROR(INDEX(Movimientos!$G$5:$G$2001,MATCH(A696&amp;"ENTRADA",Movimientos!$R$5:$R$2001,0)),"-")</f>
        <v>-</v>
      </c>
      <c r="G696" s="3" t="str">
        <f>IFERROR(INDEX(Movimientos!$L$5:$L$2001,MATCH(A696&amp;"ENTRADA",Movimientos!$R$5:$R$2001,0)),"-")</f>
        <v>-</v>
      </c>
      <c r="H696" s="19" t="str">
        <f>IFERROR(IF(INDEX(Movimientos!$M$5:$M$2001,MATCH(A696&amp;"ENTRADA",Movimientos!$R$5:$R$2001,0))=0,"S/D",INDEX(Movimientos!$M$5:$M$2001,MATCH(A696&amp;"ENTRADA",Movimientos!$R$5:$R$2001,0))),"S/D")</f>
        <v>S/D</v>
      </c>
      <c r="I696" s="16" t="str">
        <f t="shared" ca="1" si="22"/>
        <v>S/D</v>
      </c>
      <c r="J696" s="6">
        <f>IF(A696="","",SUMIFS(Movimientos!$K:$K,Movimientos!$H:$H,A696))</f>
        <v>0</v>
      </c>
      <c r="K696" s="14" t="str">
        <f t="shared" ca="1" si="23"/>
        <v>OK</v>
      </c>
    </row>
    <row r="697" spans="1:11">
      <c r="A697" s="18" t="s">
        <v>2770</v>
      </c>
      <c r="B697" s="3" t="str">
        <f>IFERROR(INDEX(Movimientos!$C$5:$C$2001,MATCH(A697&amp;"ENTRADA",Movimientos!$R$5:$R$2001,0)),"-")</f>
        <v>-</v>
      </c>
      <c r="C697" s="3" t="str">
        <f>IFERROR(INDEX(Movimientos!$D$5:$D$2001,MATCH(A697&amp;"ENTRADA",Movimientos!$R$5:$R$2001,0)),"-")</f>
        <v>-</v>
      </c>
      <c r="D697" s="3" t="str">
        <f>IFERROR(INDEX(Movimientos!$E$5:$E$2001,MATCH(A697&amp;"ENTRADA",Movimientos!$R$5:$R$2001,0)),"-")</f>
        <v>-</v>
      </c>
      <c r="E697" s="3" t="str">
        <f>IFERROR(INDEX(Movimientos!$F$5:$F$2001,MATCH(A697&amp;"ENTRADA",Movimientos!$R$5:$R$2001,0)),"-")</f>
        <v>-</v>
      </c>
      <c r="F697" s="3" t="str">
        <f>IFERROR(INDEX(Movimientos!$G$5:$G$2001,MATCH(A697&amp;"ENTRADA",Movimientos!$R$5:$R$2001,0)),"-")</f>
        <v>-</v>
      </c>
      <c r="G697" s="3" t="str">
        <f>IFERROR(INDEX(Movimientos!$L$5:$L$2001,MATCH(A697&amp;"ENTRADA",Movimientos!$R$5:$R$2001,0)),"-")</f>
        <v>-</v>
      </c>
      <c r="H697" s="19" t="str">
        <f>IFERROR(IF(INDEX(Movimientos!$M$5:$M$2001,MATCH(A697&amp;"ENTRADA",Movimientos!$R$5:$R$2001,0))=0,"S/D",INDEX(Movimientos!$M$5:$M$2001,MATCH(A697&amp;"ENTRADA",Movimientos!$R$5:$R$2001,0))),"S/D")</f>
        <v>S/D</v>
      </c>
      <c r="I697" s="16" t="str">
        <f t="shared" ca="1" si="22"/>
        <v>S/D</v>
      </c>
      <c r="J697" s="6">
        <f>IF(A697="","",SUMIFS(Movimientos!$K:$K,Movimientos!$H:$H,A697))</f>
        <v>0</v>
      </c>
      <c r="K697" s="14" t="str">
        <f t="shared" ca="1" si="23"/>
        <v>OK</v>
      </c>
    </row>
    <row r="698" spans="1:11">
      <c r="A698" s="18" t="s">
        <v>2771</v>
      </c>
      <c r="B698" s="3" t="str">
        <f>IFERROR(INDEX(Movimientos!$C$5:$C$2001,MATCH(A698&amp;"ENTRADA",Movimientos!$R$5:$R$2001,0)),"-")</f>
        <v>-</v>
      </c>
      <c r="C698" s="3" t="str">
        <f>IFERROR(INDEX(Movimientos!$D$5:$D$2001,MATCH(A698&amp;"ENTRADA",Movimientos!$R$5:$R$2001,0)),"-")</f>
        <v>-</v>
      </c>
      <c r="D698" s="3" t="str">
        <f>IFERROR(INDEX(Movimientos!$E$5:$E$2001,MATCH(A698&amp;"ENTRADA",Movimientos!$R$5:$R$2001,0)),"-")</f>
        <v>-</v>
      </c>
      <c r="E698" s="3" t="str">
        <f>IFERROR(INDEX(Movimientos!$F$5:$F$2001,MATCH(A698&amp;"ENTRADA",Movimientos!$R$5:$R$2001,0)),"-")</f>
        <v>-</v>
      </c>
      <c r="F698" s="3" t="str">
        <f>IFERROR(INDEX(Movimientos!$G$5:$G$2001,MATCH(A698&amp;"ENTRADA",Movimientos!$R$5:$R$2001,0)),"-")</f>
        <v>-</v>
      </c>
      <c r="G698" s="3" t="str">
        <f>IFERROR(INDEX(Movimientos!$L$5:$L$2001,MATCH(A698&amp;"ENTRADA",Movimientos!$R$5:$R$2001,0)),"-")</f>
        <v>-</v>
      </c>
      <c r="H698" s="19" t="str">
        <f>IFERROR(IF(INDEX(Movimientos!$M$5:$M$2001,MATCH(A698&amp;"ENTRADA",Movimientos!$R$5:$R$2001,0))=0,"S/D",INDEX(Movimientos!$M$5:$M$2001,MATCH(A698&amp;"ENTRADA",Movimientos!$R$5:$R$2001,0))),"S/D")</f>
        <v>S/D</v>
      </c>
      <c r="I698" s="16" t="str">
        <f t="shared" ca="1" si="22"/>
        <v>S/D</v>
      </c>
      <c r="J698" s="6">
        <f>IF(A698="","",SUMIFS(Movimientos!$K:$K,Movimientos!$H:$H,A698))</f>
        <v>0</v>
      </c>
      <c r="K698" s="14" t="str">
        <f t="shared" ca="1" si="23"/>
        <v>OK</v>
      </c>
    </row>
    <row r="699" spans="1:11">
      <c r="A699" s="18" t="s">
        <v>2772</v>
      </c>
      <c r="B699" s="3" t="str">
        <f>IFERROR(INDEX(Movimientos!$C$5:$C$2001,MATCH(A699&amp;"ENTRADA",Movimientos!$R$5:$R$2001,0)),"-")</f>
        <v>-</v>
      </c>
      <c r="C699" s="3" t="str">
        <f>IFERROR(INDEX(Movimientos!$D$5:$D$2001,MATCH(A699&amp;"ENTRADA",Movimientos!$R$5:$R$2001,0)),"-")</f>
        <v>-</v>
      </c>
      <c r="D699" s="3" t="str">
        <f>IFERROR(INDEX(Movimientos!$E$5:$E$2001,MATCH(A699&amp;"ENTRADA",Movimientos!$R$5:$R$2001,0)),"-")</f>
        <v>-</v>
      </c>
      <c r="E699" s="3" t="str">
        <f>IFERROR(INDEX(Movimientos!$F$5:$F$2001,MATCH(A699&amp;"ENTRADA",Movimientos!$R$5:$R$2001,0)),"-")</f>
        <v>-</v>
      </c>
      <c r="F699" s="3" t="str">
        <f>IFERROR(INDEX(Movimientos!$G$5:$G$2001,MATCH(A699&amp;"ENTRADA",Movimientos!$R$5:$R$2001,0)),"-")</f>
        <v>-</v>
      </c>
      <c r="G699" s="3" t="str">
        <f>IFERROR(INDEX(Movimientos!$L$5:$L$2001,MATCH(A699&amp;"ENTRADA",Movimientos!$R$5:$R$2001,0)),"-")</f>
        <v>-</v>
      </c>
      <c r="H699" s="19" t="str">
        <f>IFERROR(IF(INDEX(Movimientos!$M$5:$M$2001,MATCH(A699&amp;"ENTRADA",Movimientos!$R$5:$R$2001,0))=0,"S/D",INDEX(Movimientos!$M$5:$M$2001,MATCH(A699&amp;"ENTRADA",Movimientos!$R$5:$R$2001,0))),"S/D")</f>
        <v>S/D</v>
      </c>
      <c r="I699" s="16" t="str">
        <f t="shared" ca="1" si="22"/>
        <v>S/D</v>
      </c>
      <c r="J699" s="6">
        <f>IF(A699="","",SUMIFS(Movimientos!$K:$K,Movimientos!$H:$H,A699))</f>
        <v>0</v>
      </c>
      <c r="K699" s="14" t="str">
        <f t="shared" ca="1" si="23"/>
        <v>OK</v>
      </c>
    </row>
    <row r="700" spans="1:11">
      <c r="A700" s="18" t="s">
        <v>2773</v>
      </c>
      <c r="B700" s="3" t="str">
        <f>IFERROR(INDEX(Movimientos!$C$5:$C$2001,MATCH(A700&amp;"ENTRADA",Movimientos!$R$5:$R$2001,0)),"-")</f>
        <v>-</v>
      </c>
      <c r="C700" s="3" t="str">
        <f>IFERROR(INDEX(Movimientos!$D$5:$D$2001,MATCH(A700&amp;"ENTRADA",Movimientos!$R$5:$R$2001,0)),"-")</f>
        <v>-</v>
      </c>
      <c r="D700" s="3" t="str">
        <f>IFERROR(INDEX(Movimientos!$E$5:$E$2001,MATCH(A700&amp;"ENTRADA",Movimientos!$R$5:$R$2001,0)),"-")</f>
        <v>-</v>
      </c>
      <c r="E700" s="3" t="str">
        <f>IFERROR(INDEX(Movimientos!$F$5:$F$2001,MATCH(A700&amp;"ENTRADA",Movimientos!$R$5:$R$2001,0)),"-")</f>
        <v>-</v>
      </c>
      <c r="F700" s="3" t="str">
        <f>IFERROR(INDEX(Movimientos!$G$5:$G$2001,MATCH(A700&amp;"ENTRADA",Movimientos!$R$5:$R$2001,0)),"-")</f>
        <v>-</v>
      </c>
      <c r="G700" s="3" t="str">
        <f>IFERROR(INDEX(Movimientos!$L$5:$L$2001,MATCH(A700&amp;"ENTRADA",Movimientos!$R$5:$R$2001,0)),"-")</f>
        <v>-</v>
      </c>
      <c r="H700" s="19" t="str">
        <f>IFERROR(IF(INDEX(Movimientos!$M$5:$M$2001,MATCH(A700&amp;"ENTRADA",Movimientos!$R$5:$R$2001,0))=0,"S/D",INDEX(Movimientos!$M$5:$M$2001,MATCH(A700&amp;"ENTRADA",Movimientos!$R$5:$R$2001,0))),"S/D")</f>
        <v>S/D</v>
      </c>
      <c r="I700" s="16" t="str">
        <f t="shared" ca="1" si="22"/>
        <v>S/D</v>
      </c>
      <c r="J700" s="6">
        <f>IF(A700="","",SUMIFS(Movimientos!$K:$K,Movimientos!$H:$H,A700))</f>
        <v>0</v>
      </c>
      <c r="K700" s="14" t="str">
        <f t="shared" ca="1" si="23"/>
        <v>OK</v>
      </c>
    </row>
    <row r="701" spans="1:11">
      <c r="A701" s="18" t="s">
        <v>2774</v>
      </c>
      <c r="B701" s="3" t="str">
        <f>IFERROR(INDEX(Movimientos!$C$5:$C$2001,MATCH(A701&amp;"ENTRADA",Movimientos!$R$5:$R$2001,0)),"-")</f>
        <v>-</v>
      </c>
      <c r="C701" s="3" t="str">
        <f>IFERROR(INDEX(Movimientos!$D$5:$D$2001,MATCH(A701&amp;"ENTRADA",Movimientos!$R$5:$R$2001,0)),"-")</f>
        <v>-</v>
      </c>
      <c r="D701" s="3" t="str">
        <f>IFERROR(INDEX(Movimientos!$E$5:$E$2001,MATCH(A701&amp;"ENTRADA",Movimientos!$R$5:$R$2001,0)),"-")</f>
        <v>-</v>
      </c>
      <c r="E701" s="3" t="str">
        <f>IFERROR(INDEX(Movimientos!$F$5:$F$2001,MATCH(A701&amp;"ENTRADA",Movimientos!$R$5:$R$2001,0)),"-")</f>
        <v>-</v>
      </c>
      <c r="F701" s="3" t="str">
        <f>IFERROR(INDEX(Movimientos!$G$5:$G$2001,MATCH(A701&amp;"ENTRADA",Movimientos!$R$5:$R$2001,0)),"-")</f>
        <v>-</v>
      </c>
      <c r="G701" s="3" t="str">
        <f>IFERROR(INDEX(Movimientos!$L$5:$L$2001,MATCH(A701&amp;"ENTRADA",Movimientos!$R$5:$R$2001,0)),"-")</f>
        <v>-</v>
      </c>
      <c r="H701" s="19" t="str">
        <f>IFERROR(IF(INDEX(Movimientos!$M$5:$M$2001,MATCH(A701&amp;"ENTRADA",Movimientos!$R$5:$R$2001,0))=0,"S/D",INDEX(Movimientos!$M$5:$M$2001,MATCH(A701&amp;"ENTRADA",Movimientos!$R$5:$R$2001,0))),"S/D")</f>
        <v>S/D</v>
      </c>
      <c r="I701" s="16" t="str">
        <f t="shared" ca="1" si="22"/>
        <v>S/D</v>
      </c>
      <c r="J701" s="6">
        <f>IF(A701="","",SUMIFS(Movimientos!$K:$K,Movimientos!$H:$H,A701))</f>
        <v>0</v>
      </c>
      <c r="K701" s="14" t="str">
        <f t="shared" ca="1" si="23"/>
        <v>OK</v>
      </c>
    </row>
    <row r="702" spans="1:11">
      <c r="A702" s="18" t="s">
        <v>2775</v>
      </c>
      <c r="B702" s="3" t="str">
        <f>IFERROR(INDEX(Movimientos!$C$5:$C$2001,MATCH(A702&amp;"ENTRADA",Movimientos!$R$5:$R$2001,0)),"-")</f>
        <v>-</v>
      </c>
      <c r="C702" s="3" t="str">
        <f>IFERROR(INDEX(Movimientos!$D$5:$D$2001,MATCH(A702&amp;"ENTRADA",Movimientos!$R$5:$R$2001,0)),"-")</f>
        <v>-</v>
      </c>
      <c r="D702" s="3" t="str">
        <f>IFERROR(INDEX(Movimientos!$E$5:$E$2001,MATCH(A702&amp;"ENTRADA",Movimientos!$R$5:$R$2001,0)),"-")</f>
        <v>-</v>
      </c>
      <c r="E702" s="3" t="str">
        <f>IFERROR(INDEX(Movimientos!$F$5:$F$2001,MATCH(A702&amp;"ENTRADA",Movimientos!$R$5:$R$2001,0)),"-")</f>
        <v>-</v>
      </c>
      <c r="F702" s="3" t="str">
        <f>IFERROR(INDEX(Movimientos!$G$5:$G$2001,MATCH(A702&amp;"ENTRADA",Movimientos!$R$5:$R$2001,0)),"-")</f>
        <v>-</v>
      </c>
      <c r="G702" s="3" t="str">
        <f>IFERROR(INDEX(Movimientos!$L$5:$L$2001,MATCH(A702&amp;"ENTRADA",Movimientos!$R$5:$R$2001,0)),"-")</f>
        <v>-</v>
      </c>
      <c r="H702" s="19" t="str">
        <f>IFERROR(IF(INDEX(Movimientos!$M$5:$M$2001,MATCH(A702&amp;"ENTRADA",Movimientos!$R$5:$R$2001,0))=0,"S/D",INDEX(Movimientos!$M$5:$M$2001,MATCH(A702&amp;"ENTRADA",Movimientos!$R$5:$R$2001,0))),"S/D")</f>
        <v>S/D</v>
      </c>
      <c r="I702" s="16" t="str">
        <f t="shared" ca="1" si="22"/>
        <v>S/D</v>
      </c>
      <c r="J702" s="6">
        <f>IF(A702="","",SUMIFS(Movimientos!$K:$K,Movimientos!$H:$H,A702))</f>
        <v>0</v>
      </c>
      <c r="K702" s="14" t="str">
        <f t="shared" ca="1" si="23"/>
        <v>OK</v>
      </c>
    </row>
    <row r="703" spans="1:11">
      <c r="A703" s="18" t="s">
        <v>2776</v>
      </c>
      <c r="B703" s="3" t="str">
        <f>IFERROR(INDEX(Movimientos!$C$5:$C$2001,MATCH(A703&amp;"ENTRADA",Movimientos!$R$5:$R$2001,0)),"-")</f>
        <v>-</v>
      </c>
      <c r="C703" s="3" t="str">
        <f>IFERROR(INDEX(Movimientos!$D$5:$D$2001,MATCH(A703&amp;"ENTRADA",Movimientos!$R$5:$R$2001,0)),"-")</f>
        <v>-</v>
      </c>
      <c r="D703" s="3" t="str">
        <f>IFERROR(INDEX(Movimientos!$E$5:$E$2001,MATCH(A703&amp;"ENTRADA",Movimientos!$R$5:$R$2001,0)),"-")</f>
        <v>-</v>
      </c>
      <c r="E703" s="3" t="str">
        <f>IFERROR(INDEX(Movimientos!$F$5:$F$2001,MATCH(A703&amp;"ENTRADA",Movimientos!$R$5:$R$2001,0)),"-")</f>
        <v>-</v>
      </c>
      <c r="F703" s="3" t="str">
        <f>IFERROR(INDEX(Movimientos!$G$5:$G$2001,MATCH(A703&amp;"ENTRADA",Movimientos!$R$5:$R$2001,0)),"-")</f>
        <v>-</v>
      </c>
      <c r="G703" s="3" t="str">
        <f>IFERROR(INDEX(Movimientos!$L$5:$L$2001,MATCH(A703&amp;"ENTRADA",Movimientos!$R$5:$R$2001,0)),"-")</f>
        <v>-</v>
      </c>
      <c r="H703" s="19" t="str">
        <f>IFERROR(IF(INDEX(Movimientos!$M$5:$M$2001,MATCH(A703&amp;"ENTRADA",Movimientos!$R$5:$R$2001,0))=0,"S/D",INDEX(Movimientos!$M$5:$M$2001,MATCH(A703&amp;"ENTRADA",Movimientos!$R$5:$R$2001,0))),"S/D")</f>
        <v>S/D</v>
      </c>
      <c r="I703" s="16" t="str">
        <f t="shared" ca="1" si="22"/>
        <v>S/D</v>
      </c>
      <c r="J703" s="6">
        <f>IF(A703="","",SUMIFS(Movimientos!$K:$K,Movimientos!$H:$H,A703))</f>
        <v>0</v>
      </c>
      <c r="K703" s="14" t="str">
        <f t="shared" ca="1" si="23"/>
        <v>OK</v>
      </c>
    </row>
    <row r="704" spans="1:11">
      <c r="A704" s="18" t="s">
        <v>2777</v>
      </c>
      <c r="B704" s="3" t="str">
        <f>IFERROR(INDEX(Movimientos!$C$5:$C$2001,MATCH(A704&amp;"ENTRADA",Movimientos!$R$5:$R$2001,0)),"-")</f>
        <v>-</v>
      </c>
      <c r="C704" s="3" t="str">
        <f>IFERROR(INDEX(Movimientos!$D$5:$D$2001,MATCH(A704&amp;"ENTRADA",Movimientos!$R$5:$R$2001,0)),"-")</f>
        <v>-</v>
      </c>
      <c r="D704" s="3" t="str">
        <f>IFERROR(INDEX(Movimientos!$E$5:$E$2001,MATCH(A704&amp;"ENTRADA",Movimientos!$R$5:$R$2001,0)),"-")</f>
        <v>-</v>
      </c>
      <c r="E704" s="3" t="str">
        <f>IFERROR(INDEX(Movimientos!$F$5:$F$2001,MATCH(A704&amp;"ENTRADA",Movimientos!$R$5:$R$2001,0)),"-")</f>
        <v>-</v>
      </c>
      <c r="F704" s="3" t="str">
        <f>IFERROR(INDEX(Movimientos!$G$5:$G$2001,MATCH(A704&amp;"ENTRADA",Movimientos!$R$5:$R$2001,0)),"-")</f>
        <v>-</v>
      </c>
      <c r="G704" s="3" t="str">
        <f>IFERROR(INDEX(Movimientos!$L$5:$L$2001,MATCH(A704&amp;"ENTRADA",Movimientos!$R$5:$R$2001,0)),"-")</f>
        <v>-</v>
      </c>
      <c r="H704" s="19" t="str">
        <f>IFERROR(IF(INDEX(Movimientos!$M$5:$M$2001,MATCH(A704&amp;"ENTRADA",Movimientos!$R$5:$R$2001,0))=0,"S/D",INDEX(Movimientos!$M$5:$M$2001,MATCH(A704&amp;"ENTRADA",Movimientos!$R$5:$R$2001,0))),"S/D")</f>
        <v>S/D</v>
      </c>
      <c r="I704" s="16" t="str">
        <f t="shared" ca="1" si="22"/>
        <v>S/D</v>
      </c>
      <c r="J704" s="6">
        <f>IF(A704="","",SUMIFS(Movimientos!$K:$K,Movimientos!$H:$H,A704))</f>
        <v>0</v>
      </c>
      <c r="K704" s="14" t="str">
        <f t="shared" ca="1" si="23"/>
        <v>OK</v>
      </c>
    </row>
    <row r="705" spans="1:11">
      <c r="A705" s="18" t="s">
        <v>2778</v>
      </c>
      <c r="B705" s="3" t="str">
        <f>IFERROR(INDEX(Movimientos!$C$5:$C$2001,MATCH(A705&amp;"ENTRADA",Movimientos!$R$5:$R$2001,0)),"-")</f>
        <v>-</v>
      </c>
      <c r="C705" s="3" t="str">
        <f>IFERROR(INDEX(Movimientos!$D$5:$D$2001,MATCH(A705&amp;"ENTRADA",Movimientos!$R$5:$R$2001,0)),"-")</f>
        <v>-</v>
      </c>
      <c r="D705" s="3" t="str">
        <f>IFERROR(INDEX(Movimientos!$E$5:$E$2001,MATCH(A705&amp;"ENTRADA",Movimientos!$R$5:$R$2001,0)),"-")</f>
        <v>-</v>
      </c>
      <c r="E705" s="3" t="str">
        <f>IFERROR(INDEX(Movimientos!$F$5:$F$2001,MATCH(A705&amp;"ENTRADA",Movimientos!$R$5:$R$2001,0)),"-")</f>
        <v>-</v>
      </c>
      <c r="F705" s="3" t="str">
        <f>IFERROR(INDEX(Movimientos!$G$5:$G$2001,MATCH(A705&amp;"ENTRADA",Movimientos!$R$5:$R$2001,0)),"-")</f>
        <v>-</v>
      </c>
      <c r="G705" s="3" t="str">
        <f>IFERROR(INDEX(Movimientos!$L$5:$L$2001,MATCH(A705&amp;"ENTRADA",Movimientos!$R$5:$R$2001,0)),"-")</f>
        <v>-</v>
      </c>
      <c r="H705" s="19" t="str">
        <f>IFERROR(IF(INDEX(Movimientos!$M$5:$M$2001,MATCH(A705&amp;"ENTRADA",Movimientos!$R$5:$R$2001,0))=0,"S/D",INDEX(Movimientos!$M$5:$M$2001,MATCH(A705&amp;"ENTRADA",Movimientos!$R$5:$R$2001,0))),"S/D")</f>
        <v>S/D</v>
      </c>
      <c r="I705" s="16" t="str">
        <f t="shared" ca="1" si="22"/>
        <v>S/D</v>
      </c>
      <c r="J705" s="6">
        <f>IF(A705="","",SUMIFS(Movimientos!$K:$K,Movimientos!$H:$H,A705))</f>
        <v>0</v>
      </c>
      <c r="K705" s="14" t="str">
        <f t="shared" ca="1" si="23"/>
        <v>OK</v>
      </c>
    </row>
    <row r="706" spans="1:11">
      <c r="A706" s="18" t="s">
        <v>2779</v>
      </c>
      <c r="B706" s="3" t="str">
        <f>IFERROR(INDEX(Movimientos!$C$5:$C$2001,MATCH(A706&amp;"ENTRADA",Movimientos!$R$5:$R$2001,0)),"-")</f>
        <v>-</v>
      </c>
      <c r="C706" s="3" t="str">
        <f>IFERROR(INDEX(Movimientos!$D$5:$D$2001,MATCH(A706&amp;"ENTRADA",Movimientos!$R$5:$R$2001,0)),"-")</f>
        <v>-</v>
      </c>
      <c r="D706" s="3" t="str">
        <f>IFERROR(INDEX(Movimientos!$E$5:$E$2001,MATCH(A706&amp;"ENTRADA",Movimientos!$R$5:$R$2001,0)),"-")</f>
        <v>-</v>
      </c>
      <c r="E706" s="3" t="str">
        <f>IFERROR(INDEX(Movimientos!$F$5:$F$2001,MATCH(A706&amp;"ENTRADA",Movimientos!$R$5:$R$2001,0)),"-")</f>
        <v>-</v>
      </c>
      <c r="F706" s="3" t="str">
        <f>IFERROR(INDEX(Movimientos!$G$5:$G$2001,MATCH(A706&amp;"ENTRADA",Movimientos!$R$5:$R$2001,0)),"-")</f>
        <v>-</v>
      </c>
      <c r="G706" s="3" t="str">
        <f>IFERROR(INDEX(Movimientos!$L$5:$L$2001,MATCH(A706&amp;"ENTRADA",Movimientos!$R$5:$R$2001,0)),"-")</f>
        <v>-</v>
      </c>
      <c r="H706" s="19" t="str">
        <f>IFERROR(IF(INDEX(Movimientos!$M$5:$M$2001,MATCH(A706&amp;"ENTRADA",Movimientos!$R$5:$R$2001,0))=0,"S/D",INDEX(Movimientos!$M$5:$M$2001,MATCH(A706&amp;"ENTRADA",Movimientos!$R$5:$R$2001,0))),"S/D")</f>
        <v>S/D</v>
      </c>
      <c r="I706" s="16" t="str">
        <f t="shared" ca="1" si="22"/>
        <v>S/D</v>
      </c>
      <c r="J706" s="6">
        <f>IF(A706="","",SUMIFS(Movimientos!$K:$K,Movimientos!$H:$H,A706))</f>
        <v>0</v>
      </c>
      <c r="K706" s="14" t="str">
        <f t="shared" ca="1" si="23"/>
        <v>OK</v>
      </c>
    </row>
    <row r="707" spans="1:11">
      <c r="A707" s="18" t="s">
        <v>2780</v>
      </c>
      <c r="B707" s="3" t="str">
        <f>IFERROR(INDEX(Movimientos!$C$5:$C$2001,MATCH(A707&amp;"ENTRADA",Movimientos!$R$5:$R$2001,0)),"-")</f>
        <v>-</v>
      </c>
      <c r="C707" s="3" t="str">
        <f>IFERROR(INDEX(Movimientos!$D$5:$D$2001,MATCH(A707&amp;"ENTRADA",Movimientos!$R$5:$R$2001,0)),"-")</f>
        <v>-</v>
      </c>
      <c r="D707" s="3" t="str">
        <f>IFERROR(INDEX(Movimientos!$E$5:$E$2001,MATCH(A707&amp;"ENTRADA",Movimientos!$R$5:$R$2001,0)),"-")</f>
        <v>-</v>
      </c>
      <c r="E707" s="3" t="str">
        <f>IFERROR(INDEX(Movimientos!$F$5:$F$2001,MATCH(A707&amp;"ENTRADA",Movimientos!$R$5:$R$2001,0)),"-")</f>
        <v>-</v>
      </c>
      <c r="F707" s="3" t="str">
        <f>IFERROR(INDEX(Movimientos!$G$5:$G$2001,MATCH(A707&amp;"ENTRADA",Movimientos!$R$5:$R$2001,0)),"-")</f>
        <v>-</v>
      </c>
      <c r="G707" s="3" t="str">
        <f>IFERROR(INDEX(Movimientos!$L$5:$L$2001,MATCH(A707&amp;"ENTRADA",Movimientos!$R$5:$R$2001,0)),"-")</f>
        <v>-</v>
      </c>
      <c r="H707" s="19" t="str">
        <f>IFERROR(IF(INDEX(Movimientos!$M$5:$M$2001,MATCH(A707&amp;"ENTRADA",Movimientos!$R$5:$R$2001,0))=0,"S/D",INDEX(Movimientos!$M$5:$M$2001,MATCH(A707&amp;"ENTRADA",Movimientos!$R$5:$R$2001,0))),"S/D")</f>
        <v>S/D</v>
      </c>
      <c r="I707" s="16" t="str">
        <f t="shared" ca="1" si="22"/>
        <v>S/D</v>
      </c>
      <c r="J707" s="6">
        <f>IF(A707="","",SUMIFS(Movimientos!$K:$K,Movimientos!$H:$H,A707))</f>
        <v>0</v>
      </c>
      <c r="K707" s="14" t="str">
        <f t="shared" ca="1" si="23"/>
        <v>OK</v>
      </c>
    </row>
    <row r="708" spans="1:11">
      <c r="A708" s="18" t="s">
        <v>2781</v>
      </c>
      <c r="B708" s="3" t="str">
        <f>IFERROR(INDEX(Movimientos!$C$5:$C$2001,MATCH(A708&amp;"ENTRADA",Movimientos!$R$5:$R$2001,0)),"-")</f>
        <v>-</v>
      </c>
      <c r="C708" s="3" t="str">
        <f>IFERROR(INDEX(Movimientos!$D$5:$D$2001,MATCH(A708&amp;"ENTRADA",Movimientos!$R$5:$R$2001,0)),"-")</f>
        <v>-</v>
      </c>
      <c r="D708" s="3" t="str">
        <f>IFERROR(INDEX(Movimientos!$E$5:$E$2001,MATCH(A708&amp;"ENTRADA",Movimientos!$R$5:$R$2001,0)),"-")</f>
        <v>-</v>
      </c>
      <c r="E708" s="3" t="str">
        <f>IFERROR(INDEX(Movimientos!$F$5:$F$2001,MATCH(A708&amp;"ENTRADA",Movimientos!$R$5:$R$2001,0)),"-")</f>
        <v>-</v>
      </c>
      <c r="F708" s="3" t="str">
        <f>IFERROR(INDEX(Movimientos!$G$5:$G$2001,MATCH(A708&amp;"ENTRADA",Movimientos!$R$5:$R$2001,0)),"-")</f>
        <v>-</v>
      </c>
      <c r="G708" s="3" t="str">
        <f>IFERROR(INDEX(Movimientos!$L$5:$L$2001,MATCH(A708&amp;"ENTRADA",Movimientos!$R$5:$R$2001,0)),"-")</f>
        <v>-</v>
      </c>
      <c r="H708" s="19" t="str">
        <f>IFERROR(IF(INDEX(Movimientos!$M$5:$M$2001,MATCH(A708&amp;"ENTRADA",Movimientos!$R$5:$R$2001,0))=0,"S/D",INDEX(Movimientos!$M$5:$M$2001,MATCH(A708&amp;"ENTRADA",Movimientos!$R$5:$R$2001,0))),"S/D")</f>
        <v>S/D</v>
      </c>
      <c r="I708" s="16" t="str">
        <f t="shared" ca="1" si="22"/>
        <v>S/D</v>
      </c>
      <c r="J708" s="6">
        <f>IF(A708="","",SUMIFS(Movimientos!$K:$K,Movimientos!$H:$H,A708))</f>
        <v>0</v>
      </c>
      <c r="K708" s="14" t="str">
        <f t="shared" ca="1" si="23"/>
        <v>OK</v>
      </c>
    </row>
    <row r="709" spans="1:11">
      <c r="A709" s="18" t="s">
        <v>2782</v>
      </c>
      <c r="B709" s="3" t="str">
        <f>IFERROR(INDEX(Movimientos!$C$5:$C$2001,MATCH(A709&amp;"ENTRADA",Movimientos!$R$5:$R$2001,0)),"-")</f>
        <v>-</v>
      </c>
      <c r="C709" s="3" t="str">
        <f>IFERROR(INDEX(Movimientos!$D$5:$D$2001,MATCH(A709&amp;"ENTRADA",Movimientos!$R$5:$R$2001,0)),"-")</f>
        <v>-</v>
      </c>
      <c r="D709" s="3" t="str">
        <f>IFERROR(INDEX(Movimientos!$E$5:$E$2001,MATCH(A709&amp;"ENTRADA",Movimientos!$R$5:$R$2001,0)),"-")</f>
        <v>-</v>
      </c>
      <c r="E709" s="3" t="str">
        <f>IFERROR(INDEX(Movimientos!$F$5:$F$2001,MATCH(A709&amp;"ENTRADA",Movimientos!$R$5:$R$2001,0)),"-")</f>
        <v>-</v>
      </c>
      <c r="F709" s="3" t="str">
        <f>IFERROR(INDEX(Movimientos!$G$5:$G$2001,MATCH(A709&amp;"ENTRADA",Movimientos!$R$5:$R$2001,0)),"-")</f>
        <v>-</v>
      </c>
      <c r="G709" s="3" t="str">
        <f>IFERROR(INDEX(Movimientos!$L$5:$L$2001,MATCH(A709&amp;"ENTRADA",Movimientos!$R$5:$R$2001,0)),"-")</f>
        <v>-</v>
      </c>
      <c r="H709" s="19" t="str">
        <f>IFERROR(IF(INDEX(Movimientos!$M$5:$M$2001,MATCH(A709&amp;"ENTRADA",Movimientos!$R$5:$R$2001,0))=0,"S/D",INDEX(Movimientos!$M$5:$M$2001,MATCH(A709&amp;"ENTRADA",Movimientos!$R$5:$R$2001,0))),"S/D")</f>
        <v>S/D</v>
      </c>
      <c r="I709" s="16" t="str">
        <f t="shared" ca="1" si="22"/>
        <v>S/D</v>
      </c>
      <c r="J709" s="6">
        <f>IF(A709="","",SUMIFS(Movimientos!$K:$K,Movimientos!$H:$H,A709))</f>
        <v>0</v>
      </c>
      <c r="K709" s="14" t="str">
        <f t="shared" ca="1" si="23"/>
        <v>OK</v>
      </c>
    </row>
    <row r="710" spans="1:11">
      <c r="A710" s="18" t="s">
        <v>2783</v>
      </c>
      <c r="B710" s="3" t="str">
        <f>IFERROR(INDEX(Movimientos!$C$5:$C$2001,MATCH(A710&amp;"ENTRADA",Movimientos!$R$5:$R$2001,0)),"-")</f>
        <v>-</v>
      </c>
      <c r="C710" s="3" t="str">
        <f>IFERROR(INDEX(Movimientos!$D$5:$D$2001,MATCH(A710&amp;"ENTRADA",Movimientos!$R$5:$R$2001,0)),"-")</f>
        <v>-</v>
      </c>
      <c r="D710" s="3" t="str">
        <f>IFERROR(INDEX(Movimientos!$E$5:$E$2001,MATCH(A710&amp;"ENTRADA",Movimientos!$R$5:$R$2001,0)),"-")</f>
        <v>-</v>
      </c>
      <c r="E710" s="3" t="str">
        <f>IFERROR(INDEX(Movimientos!$F$5:$F$2001,MATCH(A710&amp;"ENTRADA",Movimientos!$R$5:$R$2001,0)),"-")</f>
        <v>-</v>
      </c>
      <c r="F710" s="3" t="str">
        <f>IFERROR(INDEX(Movimientos!$G$5:$G$2001,MATCH(A710&amp;"ENTRADA",Movimientos!$R$5:$R$2001,0)),"-")</f>
        <v>-</v>
      </c>
      <c r="G710" s="3" t="str">
        <f>IFERROR(INDEX(Movimientos!$L$5:$L$2001,MATCH(A710&amp;"ENTRADA",Movimientos!$R$5:$R$2001,0)),"-")</f>
        <v>-</v>
      </c>
      <c r="H710" s="19" t="str">
        <f>IFERROR(IF(INDEX(Movimientos!$M$5:$M$2001,MATCH(A710&amp;"ENTRADA",Movimientos!$R$5:$R$2001,0))=0,"S/D",INDEX(Movimientos!$M$5:$M$2001,MATCH(A710&amp;"ENTRADA",Movimientos!$R$5:$R$2001,0))),"S/D")</f>
        <v>S/D</v>
      </c>
      <c r="I710" s="16" t="str">
        <f t="shared" ca="1" si="22"/>
        <v>S/D</v>
      </c>
      <c r="J710" s="6">
        <f>IF(A710="","",SUMIFS(Movimientos!$K:$K,Movimientos!$H:$H,A710))</f>
        <v>0</v>
      </c>
      <c r="K710" s="14" t="str">
        <f t="shared" ca="1" si="23"/>
        <v>OK</v>
      </c>
    </row>
    <row r="711" spans="1:11">
      <c r="A711" s="18" t="s">
        <v>2784</v>
      </c>
      <c r="B711" s="3" t="str">
        <f>IFERROR(INDEX(Movimientos!$C$5:$C$2001,MATCH(A711&amp;"ENTRADA",Movimientos!$R$5:$R$2001,0)),"-")</f>
        <v>-</v>
      </c>
      <c r="C711" s="3" t="str">
        <f>IFERROR(INDEX(Movimientos!$D$5:$D$2001,MATCH(A711&amp;"ENTRADA",Movimientos!$R$5:$R$2001,0)),"-")</f>
        <v>-</v>
      </c>
      <c r="D711" s="3" t="str">
        <f>IFERROR(INDEX(Movimientos!$E$5:$E$2001,MATCH(A711&amp;"ENTRADA",Movimientos!$R$5:$R$2001,0)),"-")</f>
        <v>-</v>
      </c>
      <c r="E711" s="3" t="str">
        <f>IFERROR(INDEX(Movimientos!$F$5:$F$2001,MATCH(A711&amp;"ENTRADA",Movimientos!$R$5:$R$2001,0)),"-")</f>
        <v>-</v>
      </c>
      <c r="F711" s="3" t="str">
        <f>IFERROR(INDEX(Movimientos!$G$5:$G$2001,MATCH(A711&amp;"ENTRADA",Movimientos!$R$5:$R$2001,0)),"-")</f>
        <v>-</v>
      </c>
      <c r="G711" s="3" t="str">
        <f>IFERROR(INDEX(Movimientos!$L$5:$L$2001,MATCH(A711&amp;"ENTRADA",Movimientos!$R$5:$R$2001,0)),"-")</f>
        <v>-</v>
      </c>
      <c r="H711" s="19" t="str">
        <f>IFERROR(IF(INDEX(Movimientos!$M$5:$M$2001,MATCH(A711&amp;"ENTRADA",Movimientos!$R$5:$R$2001,0))=0,"S/D",INDEX(Movimientos!$M$5:$M$2001,MATCH(A711&amp;"ENTRADA",Movimientos!$R$5:$R$2001,0))),"S/D")</f>
        <v>S/D</v>
      </c>
      <c r="I711" s="16" t="str">
        <f t="shared" ca="1" si="22"/>
        <v>S/D</v>
      </c>
      <c r="J711" s="6">
        <f>IF(A711="","",SUMIFS(Movimientos!$K:$K,Movimientos!$H:$H,A711))</f>
        <v>0</v>
      </c>
      <c r="K711" s="14" t="str">
        <f t="shared" ca="1" si="23"/>
        <v>OK</v>
      </c>
    </row>
    <row r="712" spans="1:11">
      <c r="A712" s="18" t="s">
        <v>2785</v>
      </c>
      <c r="B712" s="3" t="str">
        <f>IFERROR(INDEX(Movimientos!$C$5:$C$2001,MATCH(A712&amp;"ENTRADA",Movimientos!$R$5:$R$2001,0)),"-")</f>
        <v>-</v>
      </c>
      <c r="C712" s="3" t="str">
        <f>IFERROR(INDEX(Movimientos!$D$5:$D$2001,MATCH(A712&amp;"ENTRADA",Movimientos!$R$5:$R$2001,0)),"-")</f>
        <v>-</v>
      </c>
      <c r="D712" s="3" t="str">
        <f>IFERROR(INDEX(Movimientos!$E$5:$E$2001,MATCH(A712&amp;"ENTRADA",Movimientos!$R$5:$R$2001,0)),"-")</f>
        <v>-</v>
      </c>
      <c r="E712" s="3" t="str">
        <f>IFERROR(INDEX(Movimientos!$F$5:$F$2001,MATCH(A712&amp;"ENTRADA",Movimientos!$R$5:$R$2001,0)),"-")</f>
        <v>-</v>
      </c>
      <c r="F712" s="3" t="str">
        <f>IFERROR(INDEX(Movimientos!$G$5:$G$2001,MATCH(A712&amp;"ENTRADA",Movimientos!$R$5:$R$2001,0)),"-")</f>
        <v>-</v>
      </c>
      <c r="G712" s="3" t="str">
        <f>IFERROR(INDEX(Movimientos!$L$5:$L$2001,MATCH(A712&amp;"ENTRADA",Movimientos!$R$5:$R$2001,0)),"-")</f>
        <v>-</v>
      </c>
      <c r="H712" s="19" t="str">
        <f>IFERROR(IF(INDEX(Movimientos!$M$5:$M$2001,MATCH(A712&amp;"ENTRADA",Movimientos!$R$5:$R$2001,0))=0,"S/D",INDEX(Movimientos!$M$5:$M$2001,MATCH(A712&amp;"ENTRADA",Movimientos!$R$5:$R$2001,0))),"S/D")</f>
        <v>S/D</v>
      </c>
      <c r="I712" s="16" t="str">
        <f t="shared" ca="1" si="22"/>
        <v>S/D</v>
      </c>
      <c r="J712" s="6">
        <f>IF(A712="","",SUMIFS(Movimientos!$K:$K,Movimientos!$H:$H,A712))</f>
        <v>0</v>
      </c>
      <c r="K712" s="14" t="str">
        <f t="shared" ca="1" si="23"/>
        <v>OK</v>
      </c>
    </row>
    <row r="713" spans="1:11">
      <c r="A713" s="18" t="s">
        <v>2786</v>
      </c>
      <c r="B713" s="3" t="str">
        <f>IFERROR(INDEX(Movimientos!$C$5:$C$2001,MATCH(A713&amp;"ENTRADA",Movimientos!$R$5:$R$2001,0)),"-")</f>
        <v>-</v>
      </c>
      <c r="C713" s="3" t="str">
        <f>IFERROR(INDEX(Movimientos!$D$5:$D$2001,MATCH(A713&amp;"ENTRADA",Movimientos!$R$5:$R$2001,0)),"-")</f>
        <v>-</v>
      </c>
      <c r="D713" s="3" t="str">
        <f>IFERROR(INDEX(Movimientos!$E$5:$E$2001,MATCH(A713&amp;"ENTRADA",Movimientos!$R$5:$R$2001,0)),"-")</f>
        <v>-</v>
      </c>
      <c r="E713" s="3" t="str">
        <f>IFERROR(INDEX(Movimientos!$F$5:$F$2001,MATCH(A713&amp;"ENTRADA",Movimientos!$R$5:$R$2001,0)),"-")</f>
        <v>-</v>
      </c>
      <c r="F713" s="3" t="str">
        <f>IFERROR(INDEX(Movimientos!$G$5:$G$2001,MATCH(A713&amp;"ENTRADA",Movimientos!$R$5:$R$2001,0)),"-")</f>
        <v>-</v>
      </c>
      <c r="G713" s="3" t="str">
        <f>IFERROR(INDEX(Movimientos!$L$5:$L$2001,MATCH(A713&amp;"ENTRADA",Movimientos!$R$5:$R$2001,0)),"-")</f>
        <v>-</v>
      </c>
      <c r="H713" s="19" t="str">
        <f>IFERROR(IF(INDEX(Movimientos!$M$5:$M$2001,MATCH(A713&amp;"ENTRADA",Movimientos!$R$5:$R$2001,0))=0,"S/D",INDEX(Movimientos!$M$5:$M$2001,MATCH(A713&amp;"ENTRADA",Movimientos!$R$5:$R$2001,0))),"S/D")</f>
        <v>S/D</v>
      </c>
      <c r="I713" s="16" t="str">
        <f t="shared" ca="1" si="22"/>
        <v>S/D</v>
      </c>
      <c r="J713" s="6">
        <f>IF(A713="","",SUMIFS(Movimientos!$K:$K,Movimientos!$H:$H,A713))</f>
        <v>0</v>
      </c>
      <c r="K713" s="14" t="str">
        <f t="shared" ca="1" si="23"/>
        <v>OK</v>
      </c>
    </row>
    <row r="714" spans="1:11">
      <c r="A714" s="18" t="s">
        <v>2787</v>
      </c>
      <c r="B714" s="3" t="str">
        <f>IFERROR(INDEX(Movimientos!$C$5:$C$2001,MATCH(A714&amp;"ENTRADA",Movimientos!$R$5:$R$2001,0)),"-")</f>
        <v>-</v>
      </c>
      <c r="C714" s="3" t="str">
        <f>IFERROR(INDEX(Movimientos!$D$5:$D$2001,MATCH(A714&amp;"ENTRADA",Movimientos!$R$5:$R$2001,0)),"-")</f>
        <v>-</v>
      </c>
      <c r="D714" s="3" t="str">
        <f>IFERROR(INDEX(Movimientos!$E$5:$E$2001,MATCH(A714&amp;"ENTRADA",Movimientos!$R$5:$R$2001,0)),"-")</f>
        <v>-</v>
      </c>
      <c r="E714" s="3" t="str">
        <f>IFERROR(INDEX(Movimientos!$F$5:$F$2001,MATCH(A714&amp;"ENTRADA",Movimientos!$R$5:$R$2001,0)),"-")</f>
        <v>-</v>
      </c>
      <c r="F714" s="3" t="str">
        <f>IFERROR(INDEX(Movimientos!$G$5:$G$2001,MATCH(A714&amp;"ENTRADA",Movimientos!$R$5:$R$2001,0)),"-")</f>
        <v>-</v>
      </c>
      <c r="G714" s="3" t="str">
        <f>IFERROR(INDEX(Movimientos!$L$5:$L$2001,MATCH(A714&amp;"ENTRADA",Movimientos!$R$5:$R$2001,0)),"-")</f>
        <v>-</v>
      </c>
      <c r="H714" s="19" t="str">
        <f>IFERROR(IF(INDEX(Movimientos!$M$5:$M$2001,MATCH(A714&amp;"ENTRADA",Movimientos!$R$5:$R$2001,0))=0,"S/D",INDEX(Movimientos!$M$5:$M$2001,MATCH(A714&amp;"ENTRADA",Movimientos!$R$5:$R$2001,0))),"S/D")</f>
        <v>S/D</v>
      </c>
      <c r="I714" s="16" t="str">
        <f t="shared" ca="1" si="22"/>
        <v>S/D</v>
      </c>
      <c r="J714" s="6">
        <f>IF(A714="","",SUMIFS(Movimientos!$K:$K,Movimientos!$H:$H,A714))</f>
        <v>0</v>
      </c>
      <c r="K714" s="14" t="str">
        <f t="shared" ca="1" si="23"/>
        <v>OK</v>
      </c>
    </row>
    <row r="715" spans="1:11">
      <c r="A715" s="18" t="s">
        <v>2788</v>
      </c>
      <c r="B715" s="3" t="str">
        <f>IFERROR(INDEX(Movimientos!$C$5:$C$2001,MATCH(A715&amp;"ENTRADA",Movimientos!$R$5:$R$2001,0)),"-")</f>
        <v>-</v>
      </c>
      <c r="C715" s="3" t="str">
        <f>IFERROR(INDEX(Movimientos!$D$5:$D$2001,MATCH(A715&amp;"ENTRADA",Movimientos!$R$5:$R$2001,0)),"-")</f>
        <v>-</v>
      </c>
      <c r="D715" s="3" t="str">
        <f>IFERROR(INDEX(Movimientos!$E$5:$E$2001,MATCH(A715&amp;"ENTRADA",Movimientos!$R$5:$R$2001,0)),"-")</f>
        <v>-</v>
      </c>
      <c r="E715" s="3" t="str">
        <f>IFERROR(INDEX(Movimientos!$F$5:$F$2001,MATCH(A715&amp;"ENTRADA",Movimientos!$R$5:$R$2001,0)),"-")</f>
        <v>-</v>
      </c>
      <c r="F715" s="3" t="str">
        <f>IFERROR(INDEX(Movimientos!$G$5:$G$2001,MATCH(A715&amp;"ENTRADA",Movimientos!$R$5:$R$2001,0)),"-")</f>
        <v>-</v>
      </c>
      <c r="G715" s="3" t="str">
        <f>IFERROR(INDEX(Movimientos!$L$5:$L$2001,MATCH(A715&amp;"ENTRADA",Movimientos!$R$5:$R$2001,0)),"-")</f>
        <v>-</v>
      </c>
      <c r="H715" s="19" t="str">
        <f>IFERROR(IF(INDEX(Movimientos!$M$5:$M$2001,MATCH(A715&amp;"ENTRADA",Movimientos!$R$5:$R$2001,0))=0,"S/D",INDEX(Movimientos!$M$5:$M$2001,MATCH(A715&amp;"ENTRADA",Movimientos!$R$5:$R$2001,0))),"S/D")</f>
        <v>S/D</v>
      </c>
      <c r="I715" s="16" t="str">
        <f t="shared" ref="I715:I778" ca="1" si="24">IF(OR(A715="",H715="S/D"),"S/D",H715-TODAY())</f>
        <v>S/D</v>
      </c>
      <c r="J715" s="6">
        <f>IF(A715="","",SUMIFS(Movimientos!$K:$K,Movimientos!$H:$H,A715))</f>
        <v>0</v>
      </c>
      <c r="K715" s="14" t="str">
        <f t="shared" ref="K715:K778" ca="1" si="25">IF(A715="","",IF(H715="S/D","OK",IF(H715&lt;TODAY(),"VENCIDO",IF(J715&lt;=0,"SIN STOCK",IF(I715&gt;=180,"OK","PRÓXIMO A VENCER")))))</f>
        <v>OK</v>
      </c>
    </row>
    <row r="716" spans="1:11">
      <c r="A716" s="18" t="s">
        <v>2789</v>
      </c>
      <c r="B716" s="3" t="str">
        <f>IFERROR(INDEX(Movimientos!$C$5:$C$2001,MATCH(A716&amp;"ENTRADA",Movimientos!$R$5:$R$2001,0)),"-")</f>
        <v>-</v>
      </c>
      <c r="C716" s="3" t="str">
        <f>IFERROR(INDEX(Movimientos!$D$5:$D$2001,MATCH(A716&amp;"ENTRADA",Movimientos!$R$5:$R$2001,0)),"-")</f>
        <v>-</v>
      </c>
      <c r="D716" s="3" t="str">
        <f>IFERROR(INDEX(Movimientos!$E$5:$E$2001,MATCH(A716&amp;"ENTRADA",Movimientos!$R$5:$R$2001,0)),"-")</f>
        <v>-</v>
      </c>
      <c r="E716" s="3" t="str">
        <f>IFERROR(INDEX(Movimientos!$F$5:$F$2001,MATCH(A716&amp;"ENTRADA",Movimientos!$R$5:$R$2001,0)),"-")</f>
        <v>-</v>
      </c>
      <c r="F716" s="3" t="str">
        <f>IFERROR(INDEX(Movimientos!$G$5:$G$2001,MATCH(A716&amp;"ENTRADA",Movimientos!$R$5:$R$2001,0)),"-")</f>
        <v>-</v>
      </c>
      <c r="G716" s="3" t="str">
        <f>IFERROR(INDEX(Movimientos!$L$5:$L$2001,MATCH(A716&amp;"ENTRADA",Movimientos!$R$5:$R$2001,0)),"-")</f>
        <v>-</v>
      </c>
      <c r="H716" s="19" t="str">
        <f>IFERROR(IF(INDEX(Movimientos!$M$5:$M$2001,MATCH(A716&amp;"ENTRADA",Movimientos!$R$5:$R$2001,0))=0,"S/D",INDEX(Movimientos!$M$5:$M$2001,MATCH(A716&amp;"ENTRADA",Movimientos!$R$5:$R$2001,0))),"S/D")</f>
        <v>S/D</v>
      </c>
      <c r="I716" s="16" t="str">
        <f t="shared" ca="1" si="24"/>
        <v>S/D</v>
      </c>
      <c r="J716" s="6">
        <f>IF(A716="","",SUMIFS(Movimientos!$K:$K,Movimientos!$H:$H,A716))</f>
        <v>0</v>
      </c>
      <c r="K716" s="14" t="str">
        <f t="shared" ca="1" si="25"/>
        <v>OK</v>
      </c>
    </row>
    <row r="717" spans="1:11">
      <c r="A717" s="18" t="s">
        <v>2790</v>
      </c>
      <c r="B717" s="3" t="str">
        <f>IFERROR(INDEX(Movimientos!$C$5:$C$2001,MATCH(A717&amp;"ENTRADA",Movimientos!$R$5:$R$2001,0)),"-")</f>
        <v>-</v>
      </c>
      <c r="C717" s="3" t="str">
        <f>IFERROR(INDEX(Movimientos!$D$5:$D$2001,MATCH(A717&amp;"ENTRADA",Movimientos!$R$5:$R$2001,0)),"-")</f>
        <v>-</v>
      </c>
      <c r="D717" s="3" t="str">
        <f>IFERROR(INDEX(Movimientos!$E$5:$E$2001,MATCH(A717&amp;"ENTRADA",Movimientos!$R$5:$R$2001,0)),"-")</f>
        <v>-</v>
      </c>
      <c r="E717" s="3" t="str">
        <f>IFERROR(INDEX(Movimientos!$F$5:$F$2001,MATCH(A717&amp;"ENTRADA",Movimientos!$R$5:$R$2001,0)),"-")</f>
        <v>-</v>
      </c>
      <c r="F717" s="3" t="str">
        <f>IFERROR(INDEX(Movimientos!$G$5:$G$2001,MATCH(A717&amp;"ENTRADA",Movimientos!$R$5:$R$2001,0)),"-")</f>
        <v>-</v>
      </c>
      <c r="G717" s="3" t="str">
        <f>IFERROR(INDEX(Movimientos!$L$5:$L$2001,MATCH(A717&amp;"ENTRADA",Movimientos!$R$5:$R$2001,0)),"-")</f>
        <v>-</v>
      </c>
      <c r="H717" s="19" t="str">
        <f>IFERROR(IF(INDEX(Movimientos!$M$5:$M$2001,MATCH(A717&amp;"ENTRADA",Movimientos!$R$5:$R$2001,0))=0,"S/D",INDEX(Movimientos!$M$5:$M$2001,MATCH(A717&amp;"ENTRADA",Movimientos!$R$5:$R$2001,0))),"S/D")</f>
        <v>S/D</v>
      </c>
      <c r="I717" s="16" t="str">
        <f t="shared" ca="1" si="24"/>
        <v>S/D</v>
      </c>
      <c r="J717" s="6">
        <f>IF(A717="","",SUMIFS(Movimientos!$K:$K,Movimientos!$H:$H,A717))</f>
        <v>0</v>
      </c>
      <c r="K717" s="14" t="str">
        <f t="shared" ca="1" si="25"/>
        <v>OK</v>
      </c>
    </row>
    <row r="718" spans="1:11">
      <c r="A718" s="18" t="s">
        <v>2791</v>
      </c>
      <c r="B718" s="3" t="str">
        <f>IFERROR(INDEX(Movimientos!$C$5:$C$2001,MATCH(A718&amp;"ENTRADA",Movimientos!$R$5:$R$2001,0)),"-")</f>
        <v>-</v>
      </c>
      <c r="C718" s="3" t="str">
        <f>IFERROR(INDEX(Movimientos!$D$5:$D$2001,MATCH(A718&amp;"ENTRADA",Movimientos!$R$5:$R$2001,0)),"-")</f>
        <v>-</v>
      </c>
      <c r="D718" s="3" t="str">
        <f>IFERROR(INDEX(Movimientos!$E$5:$E$2001,MATCH(A718&amp;"ENTRADA",Movimientos!$R$5:$R$2001,0)),"-")</f>
        <v>-</v>
      </c>
      <c r="E718" s="3" t="str">
        <f>IFERROR(INDEX(Movimientos!$F$5:$F$2001,MATCH(A718&amp;"ENTRADA",Movimientos!$R$5:$R$2001,0)),"-")</f>
        <v>-</v>
      </c>
      <c r="F718" s="3" t="str">
        <f>IFERROR(INDEX(Movimientos!$G$5:$G$2001,MATCH(A718&amp;"ENTRADA",Movimientos!$R$5:$R$2001,0)),"-")</f>
        <v>-</v>
      </c>
      <c r="G718" s="3" t="str">
        <f>IFERROR(INDEX(Movimientos!$L$5:$L$2001,MATCH(A718&amp;"ENTRADA",Movimientos!$R$5:$R$2001,0)),"-")</f>
        <v>-</v>
      </c>
      <c r="H718" s="19" t="str">
        <f>IFERROR(IF(INDEX(Movimientos!$M$5:$M$2001,MATCH(A718&amp;"ENTRADA",Movimientos!$R$5:$R$2001,0))=0,"S/D",INDEX(Movimientos!$M$5:$M$2001,MATCH(A718&amp;"ENTRADA",Movimientos!$R$5:$R$2001,0))),"S/D")</f>
        <v>S/D</v>
      </c>
      <c r="I718" s="16" t="str">
        <f t="shared" ca="1" si="24"/>
        <v>S/D</v>
      </c>
      <c r="J718" s="6">
        <f>IF(A718="","",SUMIFS(Movimientos!$K:$K,Movimientos!$H:$H,A718))</f>
        <v>0</v>
      </c>
      <c r="K718" s="14" t="str">
        <f t="shared" ca="1" si="25"/>
        <v>OK</v>
      </c>
    </row>
    <row r="719" spans="1:11">
      <c r="A719" s="18" t="s">
        <v>2792</v>
      </c>
      <c r="B719" s="3" t="str">
        <f>IFERROR(INDEX(Movimientos!$C$5:$C$2001,MATCH(A719&amp;"ENTRADA",Movimientos!$R$5:$R$2001,0)),"-")</f>
        <v>-</v>
      </c>
      <c r="C719" s="3" t="str">
        <f>IFERROR(INDEX(Movimientos!$D$5:$D$2001,MATCH(A719&amp;"ENTRADA",Movimientos!$R$5:$R$2001,0)),"-")</f>
        <v>-</v>
      </c>
      <c r="D719" s="3" t="str">
        <f>IFERROR(INDEX(Movimientos!$E$5:$E$2001,MATCH(A719&amp;"ENTRADA",Movimientos!$R$5:$R$2001,0)),"-")</f>
        <v>-</v>
      </c>
      <c r="E719" s="3" t="str">
        <f>IFERROR(INDEX(Movimientos!$F$5:$F$2001,MATCH(A719&amp;"ENTRADA",Movimientos!$R$5:$R$2001,0)),"-")</f>
        <v>-</v>
      </c>
      <c r="F719" s="3" t="str">
        <f>IFERROR(INDEX(Movimientos!$G$5:$G$2001,MATCH(A719&amp;"ENTRADA",Movimientos!$R$5:$R$2001,0)),"-")</f>
        <v>-</v>
      </c>
      <c r="G719" s="3" t="str">
        <f>IFERROR(INDEX(Movimientos!$L$5:$L$2001,MATCH(A719&amp;"ENTRADA",Movimientos!$R$5:$R$2001,0)),"-")</f>
        <v>-</v>
      </c>
      <c r="H719" s="19" t="str">
        <f>IFERROR(IF(INDEX(Movimientos!$M$5:$M$2001,MATCH(A719&amp;"ENTRADA",Movimientos!$R$5:$R$2001,0))=0,"S/D",INDEX(Movimientos!$M$5:$M$2001,MATCH(A719&amp;"ENTRADA",Movimientos!$R$5:$R$2001,0))),"S/D")</f>
        <v>S/D</v>
      </c>
      <c r="I719" s="16" t="str">
        <f t="shared" ca="1" si="24"/>
        <v>S/D</v>
      </c>
      <c r="J719" s="6">
        <f>IF(A719="","",SUMIFS(Movimientos!$K:$K,Movimientos!$H:$H,A719))</f>
        <v>0</v>
      </c>
      <c r="K719" s="14" t="str">
        <f t="shared" ca="1" si="25"/>
        <v>OK</v>
      </c>
    </row>
    <row r="720" spans="1:11">
      <c r="A720" s="18" t="s">
        <v>2793</v>
      </c>
      <c r="B720" s="3" t="str">
        <f>IFERROR(INDEX(Movimientos!$C$5:$C$2001,MATCH(A720&amp;"ENTRADA",Movimientos!$R$5:$R$2001,0)),"-")</f>
        <v>-</v>
      </c>
      <c r="C720" s="3" t="str">
        <f>IFERROR(INDEX(Movimientos!$D$5:$D$2001,MATCH(A720&amp;"ENTRADA",Movimientos!$R$5:$R$2001,0)),"-")</f>
        <v>-</v>
      </c>
      <c r="D720" s="3" t="str">
        <f>IFERROR(INDEX(Movimientos!$E$5:$E$2001,MATCH(A720&amp;"ENTRADA",Movimientos!$R$5:$R$2001,0)),"-")</f>
        <v>-</v>
      </c>
      <c r="E720" s="3" t="str">
        <f>IFERROR(INDEX(Movimientos!$F$5:$F$2001,MATCH(A720&amp;"ENTRADA",Movimientos!$R$5:$R$2001,0)),"-")</f>
        <v>-</v>
      </c>
      <c r="F720" s="3" t="str">
        <f>IFERROR(INDEX(Movimientos!$G$5:$G$2001,MATCH(A720&amp;"ENTRADA",Movimientos!$R$5:$R$2001,0)),"-")</f>
        <v>-</v>
      </c>
      <c r="G720" s="3" t="str">
        <f>IFERROR(INDEX(Movimientos!$L$5:$L$2001,MATCH(A720&amp;"ENTRADA",Movimientos!$R$5:$R$2001,0)),"-")</f>
        <v>-</v>
      </c>
      <c r="H720" s="19" t="str">
        <f>IFERROR(IF(INDEX(Movimientos!$M$5:$M$2001,MATCH(A720&amp;"ENTRADA",Movimientos!$R$5:$R$2001,0))=0,"S/D",INDEX(Movimientos!$M$5:$M$2001,MATCH(A720&amp;"ENTRADA",Movimientos!$R$5:$R$2001,0))),"S/D")</f>
        <v>S/D</v>
      </c>
      <c r="I720" s="16" t="str">
        <f t="shared" ca="1" si="24"/>
        <v>S/D</v>
      </c>
      <c r="J720" s="6">
        <f>IF(A720="","",SUMIFS(Movimientos!$K:$K,Movimientos!$H:$H,A720))</f>
        <v>0</v>
      </c>
      <c r="K720" s="14" t="str">
        <f t="shared" ca="1" si="25"/>
        <v>OK</v>
      </c>
    </row>
    <row r="721" spans="1:11">
      <c r="A721" s="18" t="s">
        <v>2794</v>
      </c>
      <c r="B721" s="3" t="str">
        <f>IFERROR(INDEX(Movimientos!$C$5:$C$2001,MATCH(A721&amp;"ENTRADA",Movimientos!$R$5:$R$2001,0)),"-")</f>
        <v>-</v>
      </c>
      <c r="C721" s="3" t="str">
        <f>IFERROR(INDEX(Movimientos!$D$5:$D$2001,MATCH(A721&amp;"ENTRADA",Movimientos!$R$5:$R$2001,0)),"-")</f>
        <v>-</v>
      </c>
      <c r="D721" s="3" t="str">
        <f>IFERROR(INDEX(Movimientos!$E$5:$E$2001,MATCH(A721&amp;"ENTRADA",Movimientos!$R$5:$R$2001,0)),"-")</f>
        <v>-</v>
      </c>
      <c r="E721" s="3" t="str">
        <f>IFERROR(INDEX(Movimientos!$F$5:$F$2001,MATCH(A721&amp;"ENTRADA",Movimientos!$R$5:$R$2001,0)),"-")</f>
        <v>-</v>
      </c>
      <c r="F721" s="3" t="str">
        <f>IFERROR(INDEX(Movimientos!$G$5:$G$2001,MATCH(A721&amp;"ENTRADA",Movimientos!$R$5:$R$2001,0)),"-")</f>
        <v>-</v>
      </c>
      <c r="G721" s="3" t="str">
        <f>IFERROR(INDEX(Movimientos!$L$5:$L$2001,MATCH(A721&amp;"ENTRADA",Movimientos!$R$5:$R$2001,0)),"-")</f>
        <v>-</v>
      </c>
      <c r="H721" s="19" t="str">
        <f>IFERROR(IF(INDEX(Movimientos!$M$5:$M$2001,MATCH(A721&amp;"ENTRADA",Movimientos!$R$5:$R$2001,0))=0,"S/D",INDEX(Movimientos!$M$5:$M$2001,MATCH(A721&amp;"ENTRADA",Movimientos!$R$5:$R$2001,0))),"S/D")</f>
        <v>S/D</v>
      </c>
      <c r="I721" s="16" t="str">
        <f t="shared" ca="1" si="24"/>
        <v>S/D</v>
      </c>
      <c r="J721" s="6">
        <f>IF(A721="","",SUMIFS(Movimientos!$K:$K,Movimientos!$H:$H,A721))</f>
        <v>0</v>
      </c>
      <c r="K721" s="14" t="str">
        <f t="shared" ca="1" si="25"/>
        <v>OK</v>
      </c>
    </row>
    <row r="722" spans="1:11">
      <c r="A722" s="18" t="s">
        <v>2795</v>
      </c>
      <c r="B722" s="3" t="str">
        <f>IFERROR(INDEX(Movimientos!$C$5:$C$2001,MATCH(A722&amp;"ENTRADA",Movimientos!$R$5:$R$2001,0)),"-")</f>
        <v>-</v>
      </c>
      <c r="C722" s="3" t="str">
        <f>IFERROR(INDEX(Movimientos!$D$5:$D$2001,MATCH(A722&amp;"ENTRADA",Movimientos!$R$5:$R$2001,0)),"-")</f>
        <v>-</v>
      </c>
      <c r="D722" s="3" t="str">
        <f>IFERROR(INDEX(Movimientos!$E$5:$E$2001,MATCH(A722&amp;"ENTRADA",Movimientos!$R$5:$R$2001,0)),"-")</f>
        <v>-</v>
      </c>
      <c r="E722" s="3" t="str">
        <f>IFERROR(INDEX(Movimientos!$F$5:$F$2001,MATCH(A722&amp;"ENTRADA",Movimientos!$R$5:$R$2001,0)),"-")</f>
        <v>-</v>
      </c>
      <c r="F722" s="3" t="str">
        <f>IFERROR(INDEX(Movimientos!$G$5:$G$2001,MATCH(A722&amp;"ENTRADA",Movimientos!$R$5:$R$2001,0)),"-")</f>
        <v>-</v>
      </c>
      <c r="G722" s="3" t="str">
        <f>IFERROR(INDEX(Movimientos!$L$5:$L$2001,MATCH(A722&amp;"ENTRADA",Movimientos!$R$5:$R$2001,0)),"-")</f>
        <v>-</v>
      </c>
      <c r="H722" s="19" t="str">
        <f>IFERROR(IF(INDEX(Movimientos!$M$5:$M$2001,MATCH(A722&amp;"ENTRADA",Movimientos!$R$5:$R$2001,0))=0,"S/D",INDEX(Movimientos!$M$5:$M$2001,MATCH(A722&amp;"ENTRADA",Movimientos!$R$5:$R$2001,0))),"S/D")</f>
        <v>S/D</v>
      </c>
      <c r="I722" s="16" t="str">
        <f t="shared" ca="1" si="24"/>
        <v>S/D</v>
      </c>
      <c r="J722" s="6">
        <f>IF(A722="","",SUMIFS(Movimientos!$K:$K,Movimientos!$H:$H,A722))</f>
        <v>0</v>
      </c>
      <c r="K722" s="14" t="str">
        <f t="shared" ca="1" si="25"/>
        <v>OK</v>
      </c>
    </row>
    <row r="723" spans="1:11">
      <c r="A723" s="18" t="s">
        <v>2796</v>
      </c>
      <c r="B723" s="3" t="str">
        <f>IFERROR(INDEX(Movimientos!$C$5:$C$2001,MATCH(A723&amp;"ENTRADA",Movimientos!$R$5:$R$2001,0)),"-")</f>
        <v>-</v>
      </c>
      <c r="C723" s="3" t="str">
        <f>IFERROR(INDEX(Movimientos!$D$5:$D$2001,MATCH(A723&amp;"ENTRADA",Movimientos!$R$5:$R$2001,0)),"-")</f>
        <v>-</v>
      </c>
      <c r="D723" s="3" t="str">
        <f>IFERROR(INDEX(Movimientos!$E$5:$E$2001,MATCH(A723&amp;"ENTRADA",Movimientos!$R$5:$R$2001,0)),"-")</f>
        <v>-</v>
      </c>
      <c r="E723" s="3" t="str">
        <f>IFERROR(INDEX(Movimientos!$F$5:$F$2001,MATCH(A723&amp;"ENTRADA",Movimientos!$R$5:$R$2001,0)),"-")</f>
        <v>-</v>
      </c>
      <c r="F723" s="3" t="str">
        <f>IFERROR(INDEX(Movimientos!$G$5:$G$2001,MATCH(A723&amp;"ENTRADA",Movimientos!$R$5:$R$2001,0)),"-")</f>
        <v>-</v>
      </c>
      <c r="G723" s="3" t="str">
        <f>IFERROR(INDEX(Movimientos!$L$5:$L$2001,MATCH(A723&amp;"ENTRADA",Movimientos!$R$5:$R$2001,0)),"-")</f>
        <v>-</v>
      </c>
      <c r="H723" s="19" t="str">
        <f>IFERROR(IF(INDEX(Movimientos!$M$5:$M$2001,MATCH(A723&amp;"ENTRADA",Movimientos!$R$5:$R$2001,0))=0,"S/D",INDEX(Movimientos!$M$5:$M$2001,MATCH(A723&amp;"ENTRADA",Movimientos!$R$5:$R$2001,0))),"S/D")</f>
        <v>S/D</v>
      </c>
      <c r="I723" s="16" t="str">
        <f t="shared" ca="1" si="24"/>
        <v>S/D</v>
      </c>
      <c r="J723" s="6">
        <f>IF(A723="","",SUMIFS(Movimientos!$K:$K,Movimientos!$H:$H,A723))</f>
        <v>0</v>
      </c>
      <c r="K723" s="14" t="str">
        <f t="shared" ca="1" si="25"/>
        <v>OK</v>
      </c>
    </row>
    <row r="724" spans="1:11">
      <c r="A724" s="18" t="s">
        <v>2797</v>
      </c>
      <c r="B724" s="3" t="str">
        <f>IFERROR(INDEX(Movimientos!$C$5:$C$2001,MATCH(A724&amp;"ENTRADA",Movimientos!$R$5:$R$2001,0)),"-")</f>
        <v>-</v>
      </c>
      <c r="C724" s="3" t="str">
        <f>IFERROR(INDEX(Movimientos!$D$5:$D$2001,MATCH(A724&amp;"ENTRADA",Movimientos!$R$5:$R$2001,0)),"-")</f>
        <v>-</v>
      </c>
      <c r="D724" s="3" t="str">
        <f>IFERROR(INDEX(Movimientos!$E$5:$E$2001,MATCH(A724&amp;"ENTRADA",Movimientos!$R$5:$R$2001,0)),"-")</f>
        <v>-</v>
      </c>
      <c r="E724" s="3" t="str">
        <f>IFERROR(INDEX(Movimientos!$F$5:$F$2001,MATCH(A724&amp;"ENTRADA",Movimientos!$R$5:$R$2001,0)),"-")</f>
        <v>-</v>
      </c>
      <c r="F724" s="3" t="str">
        <f>IFERROR(INDEX(Movimientos!$G$5:$G$2001,MATCH(A724&amp;"ENTRADA",Movimientos!$R$5:$R$2001,0)),"-")</f>
        <v>-</v>
      </c>
      <c r="G724" s="3" t="str">
        <f>IFERROR(INDEX(Movimientos!$L$5:$L$2001,MATCH(A724&amp;"ENTRADA",Movimientos!$R$5:$R$2001,0)),"-")</f>
        <v>-</v>
      </c>
      <c r="H724" s="19" t="str">
        <f>IFERROR(IF(INDEX(Movimientos!$M$5:$M$2001,MATCH(A724&amp;"ENTRADA",Movimientos!$R$5:$R$2001,0))=0,"S/D",INDEX(Movimientos!$M$5:$M$2001,MATCH(A724&amp;"ENTRADA",Movimientos!$R$5:$R$2001,0))),"S/D")</f>
        <v>S/D</v>
      </c>
      <c r="I724" s="16" t="str">
        <f t="shared" ca="1" si="24"/>
        <v>S/D</v>
      </c>
      <c r="J724" s="6">
        <f>IF(A724="","",SUMIFS(Movimientos!$K:$K,Movimientos!$H:$H,A724))</f>
        <v>0</v>
      </c>
      <c r="K724" s="14" t="str">
        <f t="shared" ca="1" si="25"/>
        <v>OK</v>
      </c>
    </row>
    <row r="725" spans="1:11">
      <c r="A725" s="18" t="s">
        <v>2798</v>
      </c>
      <c r="B725" s="3" t="str">
        <f>IFERROR(INDEX(Movimientos!$C$5:$C$2001,MATCH(A725&amp;"ENTRADA",Movimientos!$R$5:$R$2001,0)),"-")</f>
        <v>-</v>
      </c>
      <c r="C725" s="3" t="str">
        <f>IFERROR(INDEX(Movimientos!$D$5:$D$2001,MATCH(A725&amp;"ENTRADA",Movimientos!$R$5:$R$2001,0)),"-")</f>
        <v>-</v>
      </c>
      <c r="D725" s="3" t="str">
        <f>IFERROR(INDEX(Movimientos!$E$5:$E$2001,MATCH(A725&amp;"ENTRADA",Movimientos!$R$5:$R$2001,0)),"-")</f>
        <v>-</v>
      </c>
      <c r="E725" s="3" t="str">
        <f>IFERROR(INDEX(Movimientos!$F$5:$F$2001,MATCH(A725&amp;"ENTRADA",Movimientos!$R$5:$R$2001,0)),"-")</f>
        <v>-</v>
      </c>
      <c r="F725" s="3" t="str">
        <f>IFERROR(INDEX(Movimientos!$G$5:$G$2001,MATCH(A725&amp;"ENTRADA",Movimientos!$R$5:$R$2001,0)),"-")</f>
        <v>-</v>
      </c>
      <c r="G725" s="3" t="str">
        <f>IFERROR(INDEX(Movimientos!$L$5:$L$2001,MATCH(A725&amp;"ENTRADA",Movimientos!$R$5:$R$2001,0)),"-")</f>
        <v>-</v>
      </c>
      <c r="H725" s="19" t="str">
        <f>IFERROR(IF(INDEX(Movimientos!$M$5:$M$2001,MATCH(A725&amp;"ENTRADA",Movimientos!$R$5:$R$2001,0))=0,"S/D",INDEX(Movimientos!$M$5:$M$2001,MATCH(A725&amp;"ENTRADA",Movimientos!$R$5:$R$2001,0))),"S/D")</f>
        <v>S/D</v>
      </c>
      <c r="I725" s="16" t="str">
        <f t="shared" ca="1" si="24"/>
        <v>S/D</v>
      </c>
      <c r="J725" s="6">
        <f>IF(A725="","",SUMIFS(Movimientos!$K:$K,Movimientos!$H:$H,A725))</f>
        <v>0</v>
      </c>
      <c r="K725" s="14" t="str">
        <f t="shared" ca="1" si="25"/>
        <v>OK</v>
      </c>
    </row>
    <row r="726" spans="1:11">
      <c r="A726" s="18" t="s">
        <v>2799</v>
      </c>
      <c r="B726" s="3" t="str">
        <f>IFERROR(INDEX(Movimientos!$C$5:$C$2001,MATCH(A726&amp;"ENTRADA",Movimientos!$R$5:$R$2001,0)),"-")</f>
        <v>-</v>
      </c>
      <c r="C726" s="3" t="str">
        <f>IFERROR(INDEX(Movimientos!$D$5:$D$2001,MATCH(A726&amp;"ENTRADA",Movimientos!$R$5:$R$2001,0)),"-")</f>
        <v>-</v>
      </c>
      <c r="D726" s="3" t="str">
        <f>IFERROR(INDEX(Movimientos!$E$5:$E$2001,MATCH(A726&amp;"ENTRADA",Movimientos!$R$5:$R$2001,0)),"-")</f>
        <v>-</v>
      </c>
      <c r="E726" s="3" t="str">
        <f>IFERROR(INDEX(Movimientos!$F$5:$F$2001,MATCH(A726&amp;"ENTRADA",Movimientos!$R$5:$R$2001,0)),"-")</f>
        <v>-</v>
      </c>
      <c r="F726" s="3" t="str">
        <f>IFERROR(INDEX(Movimientos!$G$5:$G$2001,MATCH(A726&amp;"ENTRADA",Movimientos!$R$5:$R$2001,0)),"-")</f>
        <v>-</v>
      </c>
      <c r="G726" s="3" t="str">
        <f>IFERROR(INDEX(Movimientos!$L$5:$L$2001,MATCH(A726&amp;"ENTRADA",Movimientos!$R$5:$R$2001,0)),"-")</f>
        <v>-</v>
      </c>
      <c r="H726" s="19" t="str">
        <f>IFERROR(IF(INDEX(Movimientos!$M$5:$M$2001,MATCH(A726&amp;"ENTRADA",Movimientos!$R$5:$R$2001,0))=0,"S/D",INDEX(Movimientos!$M$5:$M$2001,MATCH(A726&amp;"ENTRADA",Movimientos!$R$5:$R$2001,0))),"S/D")</f>
        <v>S/D</v>
      </c>
      <c r="I726" s="16" t="str">
        <f t="shared" ca="1" si="24"/>
        <v>S/D</v>
      </c>
      <c r="J726" s="6">
        <f>IF(A726="","",SUMIFS(Movimientos!$K:$K,Movimientos!$H:$H,A726))</f>
        <v>0</v>
      </c>
      <c r="K726" s="14" t="str">
        <f t="shared" ca="1" si="25"/>
        <v>OK</v>
      </c>
    </row>
    <row r="727" spans="1:11">
      <c r="A727" s="18" t="s">
        <v>2800</v>
      </c>
      <c r="B727" s="3" t="str">
        <f>IFERROR(INDEX(Movimientos!$C$5:$C$2001,MATCH(A727&amp;"ENTRADA",Movimientos!$R$5:$R$2001,0)),"-")</f>
        <v>-</v>
      </c>
      <c r="C727" s="3" t="str">
        <f>IFERROR(INDEX(Movimientos!$D$5:$D$2001,MATCH(A727&amp;"ENTRADA",Movimientos!$R$5:$R$2001,0)),"-")</f>
        <v>-</v>
      </c>
      <c r="D727" s="3" t="str">
        <f>IFERROR(INDEX(Movimientos!$E$5:$E$2001,MATCH(A727&amp;"ENTRADA",Movimientos!$R$5:$R$2001,0)),"-")</f>
        <v>-</v>
      </c>
      <c r="E727" s="3" t="str">
        <f>IFERROR(INDEX(Movimientos!$F$5:$F$2001,MATCH(A727&amp;"ENTRADA",Movimientos!$R$5:$R$2001,0)),"-")</f>
        <v>-</v>
      </c>
      <c r="F727" s="3" t="str">
        <f>IFERROR(INDEX(Movimientos!$G$5:$G$2001,MATCH(A727&amp;"ENTRADA",Movimientos!$R$5:$R$2001,0)),"-")</f>
        <v>-</v>
      </c>
      <c r="G727" s="3" t="str">
        <f>IFERROR(INDEX(Movimientos!$L$5:$L$2001,MATCH(A727&amp;"ENTRADA",Movimientos!$R$5:$R$2001,0)),"-")</f>
        <v>-</v>
      </c>
      <c r="H727" s="19" t="str">
        <f>IFERROR(IF(INDEX(Movimientos!$M$5:$M$2001,MATCH(A727&amp;"ENTRADA",Movimientos!$R$5:$R$2001,0))=0,"S/D",INDEX(Movimientos!$M$5:$M$2001,MATCH(A727&amp;"ENTRADA",Movimientos!$R$5:$R$2001,0))),"S/D")</f>
        <v>S/D</v>
      </c>
      <c r="I727" s="16" t="str">
        <f t="shared" ca="1" si="24"/>
        <v>S/D</v>
      </c>
      <c r="J727" s="6">
        <f>IF(A727="","",SUMIFS(Movimientos!$K:$K,Movimientos!$H:$H,A727))</f>
        <v>0</v>
      </c>
      <c r="K727" s="14" t="str">
        <f t="shared" ca="1" si="25"/>
        <v>OK</v>
      </c>
    </row>
    <row r="728" spans="1:11">
      <c r="A728" s="18" t="s">
        <v>2801</v>
      </c>
      <c r="B728" s="3" t="str">
        <f>IFERROR(INDEX(Movimientos!$C$5:$C$2001,MATCH(A728&amp;"ENTRADA",Movimientos!$R$5:$R$2001,0)),"-")</f>
        <v>-</v>
      </c>
      <c r="C728" s="3" t="str">
        <f>IFERROR(INDEX(Movimientos!$D$5:$D$2001,MATCH(A728&amp;"ENTRADA",Movimientos!$R$5:$R$2001,0)),"-")</f>
        <v>-</v>
      </c>
      <c r="D728" s="3" t="str">
        <f>IFERROR(INDEX(Movimientos!$E$5:$E$2001,MATCH(A728&amp;"ENTRADA",Movimientos!$R$5:$R$2001,0)),"-")</f>
        <v>-</v>
      </c>
      <c r="E728" s="3" t="str">
        <f>IFERROR(INDEX(Movimientos!$F$5:$F$2001,MATCH(A728&amp;"ENTRADA",Movimientos!$R$5:$R$2001,0)),"-")</f>
        <v>-</v>
      </c>
      <c r="F728" s="3" t="str">
        <f>IFERROR(INDEX(Movimientos!$G$5:$G$2001,MATCH(A728&amp;"ENTRADA",Movimientos!$R$5:$R$2001,0)),"-")</f>
        <v>-</v>
      </c>
      <c r="G728" s="3" t="str">
        <f>IFERROR(INDEX(Movimientos!$L$5:$L$2001,MATCH(A728&amp;"ENTRADA",Movimientos!$R$5:$R$2001,0)),"-")</f>
        <v>-</v>
      </c>
      <c r="H728" s="19" t="str">
        <f>IFERROR(IF(INDEX(Movimientos!$M$5:$M$2001,MATCH(A728&amp;"ENTRADA",Movimientos!$R$5:$R$2001,0))=0,"S/D",INDEX(Movimientos!$M$5:$M$2001,MATCH(A728&amp;"ENTRADA",Movimientos!$R$5:$R$2001,0))),"S/D")</f>
        <v>S/D</v>
      </c>
      <c r="I728" s="16" t="str">
        <f t="shared" ca="1" si="24"/>
        <v>S/D</v>
      </c>
      <c r="J728" s="6">
        <f>IF(A728="","",SUMIFS(Movimientos!$K:$K,Movimientos!$H:$H,A728))</f>
        <v>0</v>
      </c>
      <c r="K728" s="14" t="str">
        <f t="shared" ca="1" si="25"/>
        <v>OK</v>
      </c>
    </row>
    <row r="729" spans="1:11">
      <c r="A729" s="18" t="s">
        <v>2802</v>
      </c>
      <c r="B729" s="3" t="str">
        <f>IFERROR(INDEX(Movimientos!$C$5:$C$2001,MATCH(A729&amp;"ENTRADA",Movimientos!$R$5:$R$2001,0)),"-")</f>
        <v>-</v>
      </c>
      <c r="C729" s="3" t="str">
        <f>IFERROR(INDEX(Movimientos!$D$5:$D$2001,MATCH(A729&amp;"ENTRADA",Movimientos!$R$5:$R$2001,0)),"-")</f>
        <v>-</v>
      </c>
      <c r="D729" s="3" t="str">
        <f>IFERROR(INDEX(Movimientos!$E$5:$E$2001,MATCH(A729&amp;"ENTRADA",Movimientos!$R$5:$R$2001,0)),"-")</f>
        <v>-</v>
      </c>
      <c r="E729" s="3" t="str">
        <f>IFERROR(INDEX(Movimientos!$F$5:$F$2001,MATCH(A729&amp;"ENTRADA",Movimientos!$R$5:$R$2001,0)),"-")</f>
        <v>-</v>
      </c>
      <c r="F729" s="3" t="str">
        <f>IFERROR(INDEX(Movimientos!$G$5:$G$2001,MATCH(A729&amp;"ENTRADA",Movimientos!$R$5:$R$2001,0)),"-")</f>
        <v>-</v>
      </c>
      <c r="G729" s="3" t="str">
        <f>IFERROR(INDEX(Movimientos!$L$5:$L$2001,MATCH(A729&amp;"ENTRADA",Movimientos!$R$5:$R$2001,0)),"-")</f>
        <v>-</v>
      </c>
      <c r="H729" s="19" t="str">
        <f>IFERROR(IF(INDEX(Movimientos!$M$5:$M$2001,MATCH(A729&amp;"ENTRADA",Movimientos!$R$5:$R$2001,0))=0,"S/D",INDEX(Movimientos!$M$5:$M$2001,MATCH(A729&amp;"ENTRADA",Movimientos!$R$5:$R$2001,0))),"S/D")</f>
        <v>S/D</v>
      </c>
      <c r="I729" s="16" t="str">
        <f t="shared" ca="1" si="24"/>
        <v>S/D</v>
      </c>
      <c r="J729" s="6">
        <f>IF(A729="","",SUMIFS(Movimientos!$K:$K,Movimientos!$H:$H,A729))</f>
        <v>0</v>
      </c>
      <c r="K729" s="14" t="str">
        <f t="shared" ca="1" si="25"/>
        <v>OK</v>
      </c>
    </row>
    <row r="730" spans="1:11">
      <c r="A730" s="18" t="s">
        <v>2803</v>
      </c>
      <c r="B730" s="3" t="str">
        <f>IFERROR(INDEX(Movimientos!$C$5:$C$2001,MATCH(A730&amp;"ENTRADA",Movimientos!$R$5:$R$2001,0)),"-")</f>
        <v>-</v>
      </c>
      <c r="C730" s="3" t="str">
        <f>IFERROR(INDEX(Movimientos!$D$5:$D$2001,MATCH(A730&amp;"ENTRADA",Movimientos!$R$5:$R$2001,0)),"-")</f>
        <v>-</v>
      </c>
      <c r="D730" s="3" t="str">
        <f>IFERROR(INDEX(Movimientos!$E$5:$E$2001,MATCH(A730&amp;"ENTRADA",Movimientos!$R$5:$R$2001,0)),"-")</f>
        <v>-</v>
      </c>
      <c r="E730" s="3" t="str">
        <f>IFERROR(INDEX(Movimientos!$F$5:$F$2001,MATCH(A730&amp;"ENTRADA",Movimientos!$R$5:$R$2001,0)),"-")</f>
        <v>-</v>
      </c>
      <c r="F730" s="3" t="str">
        <f>IFERROR(INDEX(Movimientos!$G$5:$G$2001,MATCH(A730&amp;"ENTRADA",Movimientos!$R$5:$R$2001,0)),"-")</f>
        <v>-</v>
      </c>
      <c r="G730" s="3" t="str">
        <f>IFERROR(INDEX(Movimientos!$L$5:$L$2001,MATCH(A730&amp;"ENTRADA",Movimientos!$R$5:$R$2001,0)),"-")</f>
        <v>-</v>
      </c>
      <c r="H730" s="19" t="str">
        <f>IFERROR(IF(INDEX(Movimientos!$M$5:$M$2001,MATCH(A730&amp;"ENTRADA",Movimientos!$R$5:$R$2001,0))=0,"S/D",INDEX(Movimientos!$M$5:$M$2001,MATCH(A730&amp;"ENTRADA",Movimientos!$R$5:$R$2001,0))),"S/D")</f>
        <v>S/D</v>
      </c>
      <c r="I730" s="16" t="str">
        <f t="shared" ca="1" si="24"/>
        <v>S/D</v>
      </c>
      <c r="J730" s="6">
        <f>IF(A730="","",SUMIFS(Movimientos!$K:$K,Movimientos!$H:$H,A730))</f>
        <v>0</v>
      </c>
      <c r="K730" s="14" t="str">
        <f t="shared" ca="1" si="25"/>
        <v>OK</v>
      </c>
    </row>
    <row r="731" spans="1:11">
      <c r="A731" s="18" t="s">
        <v>2804</v>
      </c>
      <c r="B731" s="3" t="str">
        <f>IFERROR(INDEX(Movimientos!$C$5:$C$2001,MATCH(A731&amp;"ENTRADA",Movimientos!$R$5:$R$2001,0)),"-")</f>
        <v>-</v>
      </c>
      <c r="C731" s="3" t="str">
        <f>IFERROR(INDEX(Movimientos!$D$5:$D$2001,MATCH(A731&amp;"ENTRADA",Movimientos!$R$5:$R$2001,0)),"-")</f>
        <v>-</v>
      </c>
      <c r="D731" s="3" t="str">
        <f>IFERROR(INDEX(Movimientos!$E$5:$E$2001,MATCH(A731&amp;"ENTRADA",Movimientos!$R$5:$R$2001,0)),"-")</f>
        <v>-</v>
      </c>
      <c r="E731" s="3" t="str">
        <f>IFERROR(INDEX(Movimientos!$F$5:$F$2001,MATCH(A731&amp;"ENTRADA",Movimientos!$R$5:$R$2001,0)),"-")</f>
        <v>-</v>
      </c>
      <c r="F731" s="3" t="str">
        <f>IFERROR(INDEX(Movimientos!$G$5:$G$2001,MATCH(A731&amp;"ENTRADA",Movimientos!$R$5:$R$2001,0)),"-")</f>
        <v>-</v>
      </c>
      <c r="G731" s="3" t="str">
        <f>IFERROR(INDEX(Movimientos!$L$5:$L$2001,MATCH(A731&amp;"ENTRADA",Movimientos!$R$5:$R$2001,0)),"-")</f>
        <v>-</v>
      </c>
      <c r="H731" s="19" t="str">
        <f>IFERROR(IF(INDEX(Movimientos!$M$5:$M$2001,MATCH(A731&amp;"ENTRADA",Movimientos!$R$5:$R$2001,0))=0,"S/D",INDEX(Movimientos!$M$5:$M$2001,MATCH(A731&amp;"ENTRADA",Movimientos!$R$5:$R$2001,0))),"S/D")</f>
        <v>S/D</v>
      </c>
      <c r="I731" s="16" t="str">
        <f t="shared" ca="1" si="24"/>
        <v>S/D</v>
      </c>
      <c r="J731" s="6">
        <f>IF(A731="","",SUMIFS(Movimientos!$K:$K,Movimientos!$H:$H,A731))</f>
        <v>0</v>
      </c>
      <c r="K731" s="14" t="str">
        <f t="shared" ca="1" si="25"/>
        <v>OK</v>
      </c>
    </row>
    <row r="732" spans="1:11">
      <c r="A732" s="18" t="s">
        <v>2805</v>
      </c>
      <c r="B732" s="3" t="str">
        <f>IFERROR(INDEX(Movimientos!$C$5:$C$2001,MATCH(A732&amp;"ENTRADA",Movimientos!$R$5:$R$2001,0)),"-")</f>
        <v>-</v>
      </c>
      <c r="C732" s="3" t="str">
        <f>IFERROR(INDEX(Movimientos!$D$5:$D$2001,MATCH(A732&amp;"ENTRADA",Movimientos!$R$5:$R$2001,0)),"-")</f>
        <v>-</v>
      </c>
      <c r="D732" s="3" t="str">
        <f>IFERROR(INDEX(Movimientos!$E$5:$E$2001,MATCH(A732&amp;"ENTRADA",Movimientos!$R$5:$R$2001,0)),"-")</f>
        <v>-</v>
      </c>
      <c r="E732" s="3" t="str">
        <f>IFERROR(INDEX(Movimientos!$F$5:$F$2001,MATCH(A732&amp;"ENTRADA",Movimientos!$R$5:$R$2001,0)),"-")</f>
        <v>-</v>
      </c>
      <c r="F732" s="3" t="str">
        <f>IFERROR(INDEX(Movimientos!$G$5:$G$2001,MATCH(A732&amp;"ENTRADA",Movimientos!$R$5:$R$2001,0)),"-")</f>
        <v>-</v>
      </c>
      <c r="G732" s="3" t="str">
        <f>IFERROR(INDEX(Movimientos!$L$5:$L$2001,MATCH(A732&amp;"ENTRADA",Movimientos!$R$5:$R$2001,0)),"-")</f>
        <v>-</v>
      </c>
      <c r="H732" s="19" t="str">
        <f>IFERROR(IF(INDEX(Movimientos!$M$5:$M$2001,MATCH(A732&amp;"ENTRADA",Movimientos!$R$5:$R$2001,0))=0,"S/D",INDEX(Movimientos!$M$5:$M$2001,MATCH(A732&amp;"ENTRADA",Movimientos!$R$5:$R$2001,0))),"S/D")</f>
        <v>S/D</v>
      </c>
      <c r="I732" s="16" t="str">
        <f t="shared" ca="1" si="24"/>
        <v>S/D</v>
      </c>
      <c r="J732" s="6">
        <f>IF(A732="","",SUMIFS(Movimientos!$K:$K,Movimientos!$H:$H,A732))</f>
        <v>0</v>
      </c>
      <c r="K732" s="14" t="str">
        <f t="shared" ca="1" si="25"/>
        <v>OK</v>
      </c>
    </row>
    <row r="733" spans="1:11">
      <c r="A733" s="18" t="s">
        <v>2806</v>
      </c>
      <c r="B733" s="3" t="str">
        <f>IFERROR(INDEX(Movimientos!$C$5:$C$2001,MATCH(A733&amp;"ENTRADA",Movimientos!$R$5:$R$2001,0)),"-")</f>
        <v>-</v>
      </c>
      <c r="C733" s="3" t="str">
        <f>IFERROR(INDEX(Movimientos!$D$5:$D$2001,MATCH(A733&amp;"ENTRADA",Movimientos!$R$5:$R$2001,0)),"-")</f>
        <v>-</v>
      </c>
      <c r="D733" s="3" t="str">
        <f>IFERROR(INDEX(Movimientos!$E$5:$E$2001,MATCH(A733&amp;"ENTRADA",Movimientos!$R$5:$R$2001,0)),"-")</f>
        <v>-</v>
      </c>
      <c r="E733" s="3" t="str">
        <f>IFERROR(INDEX(Movimientos!$F$5:$F$2001,MATCH(A733&amp;"ENTRADA",Movimientos!$R$5:$R$2001,0)),"-")</f>
        <v>-</v>
      </c>
      <c r="F733" s="3" t="str">
        <f>IFERROR(INDEX(Movimientos!$G$5:$G$2001,MATCH(A733&amp;"ENTRADA",Movimientos!$R$5:$R$2001,0)),"-")</f>
        <v>-</v>
      </c>
      <c r="G733" s="3" t="str">
        <f>IFERROR(INDEX(Movimientos!$L$5:$L$2001,MATCH(A733&amp;"ENTRADA",Movimientos!$R$5:$R$2001,0)),"-")</f>
        <v>-</v>
      </c>
      <c r="H733" s="19" t="str">
        <f>IFERROR(IF(INDEX(Movimientos!$M$5:$M$2001,MATCH(A733&amp;"ENTRADA",Movimientos!$R$5:$R$2001,0))=0,"S/D",INDEX(Movimientos!$M$5:$M$2001,MATCH(A733&amp;"ENTRADA",Movimientos!$R$5:$R$2001,0))),"S/D")</f>
        <v>S/D</v>
      </c>
      <c r="I733" s="16" t="str">
        <f t="shared" ca="1" si="24"/>
        <v>S/D</v>
      </c>
      <c r="J733" s="6">
        <f>IF(A733="","",SUMIFS(Movimientos!$K:$K,Movimientos!$H:$H,A733))</f>
        <v>0</v>
      </c>
      <c r="K733" s="14" t="str">
        <f t="shared" ca="1" si="25"/>
        <v>OK</v>
      </c>
    </row>
    <row r="734" spans="1:11">
      <c r="A734" s="18" t="s">
        <v>2807</v>
      </c>
      <c r="B734" s="3" t="str">
        <f>IFERROR(INDEX(Movimientos!$C$5:$C$2001,MATCH(A734&amp;"ENTRADA",Movimientos!$R$5:$R$2001,0)),"-")</f>
        <v>-</v>
      </c>
      <c r="C734" s="3" t="str">
        <f>IFERROR(INDEX(Movimientos!$D$5:$D$2001,MATCH(A734&amp;"ENTRADA",Movimientos!$R$5:$R$2001,0)),"-")</f>
        <v>-</v>
      </c>
      <c r="D734" s="3" t="str">
        <f>IFERROR(INDEX(Movimientos!$E$5:$E$2001,MATCH(A734&amp;"ENTRADA",Movimientos!$R$5:$R$2001,0)),"-")</f>
        <v>-</v>
      </c>
      <c r="E734" s="3" t="str">
        <f>IFERROR(INDEX(Movimientos!$F$5:$F$2001,MATCH(A734&amp;"ENTRADA",Movimientos!$R$5:$R$2001,0)),"-")</f>
        <v>-</v>
      </c>
      <c r="F734" s="3" t="str">
        <f>IFERROR(INDEX(Movimientos!$G$5:$G$2001,MATCH(A734&amp;"ENTRADA",Movimientos!$R$5:$R$2001,0)),"-")</f>
        <v>-</v>
      </c>
      <c r="G734" s="3" t="str">
        <f>IFERROR(INDEX(Movimientos!$L$5:$L$2001,MATCH(A734&amp;"ENTRADA",Movimientos!$R$5:$R$2001,0)),"-")</f>
        <v>-</v>
      </c>
      <c r="H734" s="19" t="str">
        <f>IFERROR(IF(INDEX(Movimientos!$M$5:$M$2001,MATCH(A734&amp;"ENTRADA",Movimientos!$R$5:$R$2001,0))=0,"S/D",INDEX(Movimientos!$M$5:$M$2001,MATCH(A734&amp;"ENTRADA",Movimientos!$R$5:$R$2001,0))),"S/D")</f>
        <v>S/D</v>
      </c>
      <c r="I734" s="16" t="str">
        <f t="shared" ca="1" si="24"/>
        <v>S/D</v>
      </c>
      <c r="J734" s="6">
        <f>IF(A734="","",SUMIFS(Movimientos!$K:$K,Movimientos!$H:$H,A734))</f>
        <v>0</v>
      </c>
      <c r="K734" s="14" t="str">
        <f t="shared" ca="1" si="25"/>
        <v>OK</v>
      </c>
    </row>
    <row r="735" spans="1:11">
      <c r="A735" s="18" t="s">
        <v>2808</v>
      </c>
      <c r="B735" s="3" t="str">
        <f>IFERROR(INDEX(Movimientos!$C$5:$C$2001,MATCH(A735&amp;"ENTRADA",Movimientos!$R$5:$R$2001,0)),"-")</f>
        <v>-</v>
      </c>
      <c r="C735" s="3" t="str">
        <f>IFERROR(INDEX(Movimientos!$D$5:$D$2001,MATCH(A735&amp;"ENTRADA",Movimientos!$R$5:$R$2001,0)),"-")</f>
        <v>-</v>
      </c>
      <c r="D735" s="3" t="str">
        <f>IFERROR(INDEX(Movimientos!$E$5:$E$2001,MATCH(A735&amp;"ENTRADA",Movimientos!$R$5:$R$2001,0)),"-")</f>
        <v>-</v>
      </c>
      <c r="E735" s="3" t="str">
        <f>IFERROR(INDEX(Movimientos!$F$5:$F$2001,MATCH(A735&amp;"ENTRADA",Movimientos!$R$5:$R$2001,0)),"-")</f>
        <v>-</v>
      </c>
      <c r="F735" s="3" t="str">
        <f>IFERROR(INDEX(Movimientos!$G$5:$G$2001,MATCH(A735&amp;"ENTRADA",Movimientos!$R$5:$R$2001,0)),"-")</f>
        <v>-</v>
      </c>
      <c r="G735" s="3" t="str">
        <f>IFERROR(INDEX(Movimientos!$L$5:$L$2001,MATCH(A735&amp;"ENTRADA",Movimientos!$R$5:$R$2001,0)),"-")</f>
        <v>-</v>
      </c>
      <c r="H735" s="19" t="str">
        <f>IFERROR(IF(INDEX(Movimientos!$M$5:$M$2001,MATCH(A735&amp;"ENTRADA",Movimientos!$R$5:$R$2001,0))=0,"S/D",INDEX(Movimientos!$M$5:$M$2001,MATCH(A735&amp;"ENTRADA",Movimientos!$R$5:$R$2001,0))),"S/D")</f>
        <v>S/D</v>
      </c>
      <c r="I735" s="16" t="str">
        <f t="shared" ca="1" si="24"/>
        <v>S/D</v>
      </c>
      <c r="J735" s="6">
        <f>IF(A735="","",SUMIFS(Movimientos!$K:$K,Movimientos!$H:$H,A735))</f>
        <v>0</v>
      </c>
      <c r="K735" s="14" t="str">
        <f t="shared" ca="1" si="25"/>
        <v>OK</v>
      </c>
    </row>
    <row r="736" spans="1:11">
      <c r="A736" s="18" t="s">
        <v>2809</v>
      </c>
      <c r="B736" s="3" t="str">
        <f>IFERROR(INDEX(Movimientos!$C$5:$C$2001,MATCH(A736&amp;"ENTRADA",Movimientos!$R$5:$R$2001,0)),"-")</f>
        <v>-</v>
      </c>
      <c r="C736" s="3" t="str">
        <f>IFERROR(INDEX(Movimientos!$D$5:$D$2001,MATCH(A736&amp;"ENTRADA",Movimientos!$R$5:$R$2001,0)),"-")</f>
        <v>-</v>
      </c>
      <c r="D736" s="3" t="str">
        <f>IFERROR(INDEX(Movimientos!$E$5:$E$2001,MATCH(A736&amp;"ENTRADA",Movimientos!$R$5:$R$2001,0)),"-")</f>
        <v>-</v>
      </c>
      <c r="E736" s="3" t="str">
        <f>IFERROR(INDEX(Movimientos!$F$5:$F$2001,MATCH(A736&amp;"ENTRADA",Movimientos!$R$5:$R$2001,0)),"-")</f>
        <v>-</v>
      </c>
      <c r="F736" s="3" t="str">
        <f>IFERROR(INDEX(Movimientos!$G$5:$G$2001,MATCH(A736&amp;"ENTRADA",Movimientos!$R$5:$R$2001,0)),"-")</f>
        <v>-</v>
      </c>
      <c r="G736" s="3" t="str">
        <f>IFERROR(INDEX(Movimientos!$L$5:$L$2001,MATCH(A736&amp;"ENTRADA",Movimientos!$R$5:$R$2001,0)),"-")</f>
        <v>-</v>
      </c>
      <c r="H736" s="19" t="str">
        <f>IFERROR(IF(INDEX(Movimientos!$M$5:$M$2001,MATCH(A736&amp;"ENTRADA",Movimientos!$R$5:$R$2001,0))=0,"S/D",INDEX(Movimientos!$M$5:$M$2001,MATCH(A736&amp;"ENTRADA",Movimientos!$R$5:$R$2001,0))),"S/D")</f>
        <v>S/D</v>
      </c>
      <c r="I736" s="16" t="str">
        <f t="shared" ca="1" si="24"/>
        <v>S/D</v>
      </c>
      <c r="J736" s="6">
        <f>IF(A736="","",SUMIFS(Movimientos!$K:$K,Movimientos!$H:$H,A736))</f>
        <v>0</v>
      </c>
      <c r="K736" s="14" t="str">
        <f t="shared" ca="1" si="25"/>
        <v>OK</v>
      </c>
    </row>
    <row r="737" spans="1:11">
      <c r="A737" s="18" t="s">
        <v>2810</v>
      </c>
      <c r="B737" s="3" t="str">
        <f>IFERROR(INDEX(Movimientos!$C$5:$C$2001,MATCH(A737&amp;"ENTRADA",Movimientos!$R$5:$R$2001,0)),"-")</f>
        <v>-</v>
      </c>
      <c r="C737" s="3" t="str">
        <f>IFERROR(INDEX(Movimientos!$D$5:$D$2001,MATCH(A737&amp;"ENTRADA",Movimientos!$R$5:$R$2001,0)),"-")</f>
        <v>-</v>
      </c>
      <c r="D737" s="3" t="str">
        <f>IFERROR(INDEX(Movimientos!$E$5:$E$2001,MATCH(A737&amp;"ENTRADA",Movimientos!$R$5:$R$2001,0)),"-")</f>
        <v>-</v>
      </c>
      <c r="E737" s="3" t="str">
        <f>IFERROR(INDEX(Movimientos!$F$5:$F$2001,MATCH(A737&amp;"ENTRADA",Movimientos!$R$5:$R$2001,0)),"-")</f>
        <v>-</v>
      </c>
      <c r="F737" s="3" t="str">
        <f>IFERROR(INDEX(Movimientos!$G$5:$G$2001,MATCH(A737&amp;"ENTRADA",Movimientos!$R$5:$R$2001,0)),"-")</f>
        <v>-</v>
      </c>
      <c r="G737" s="3" t="str">
        <f>IFERROR(INDEX(Movimientos!$L$5:$L$2001,MATCH(A737&amp;"ENTRADA",Movimientos!$R$5:$R$2001,0)),"-")</f>
        <v>-</v>
      </c>
      <c r="H737" s="19" t="str">
        <f>IFERROR(IF(INDEX(Movimientos!$M$5:$M$2001,MATCH(A737&amp;"ENTRADA",Movimientos!$R$5:$R$2001,0))=0,"S/D",INDEX(Movimientos!$M$5:$M$2001,MATCH(A737&amp;"ENTRADA",Movimientos!$R$5:$R$2001,0))),"S/D")</f>
        <v>S/D</v>
      </c>
      <c r="I737" s="16" t="str">
        <f t="shared" ca="1" si="24"/>
        <v>S/D</v>
      </c>
      <c r="J737" s="6">
        <f>IF(A737="","",SUMIFS(Movimientos!$K:$K,Movimientos!$H:$H,A737))</f>
        <v>0</v>
      </c>
      <c r="K737" s="14" t="str">
        <f t="shared" ca="1" si="25"/>
        <v>OK</v>
      </c>
    </row>
    <row r="738" spans="1:11">
      <c r="A738" s="18" t="s">
        <v>2811</v>
      </c>
      <c r="B738" s="3" t="str">
        <f>IFERROR(INDEX(Movimientos!$C$5:$C$2001,MATCH(A738&amp;"ENTRADA",Movimientos!$R$5:$R$2001,0)),"-")</f>
        <v>-</v>
      </c>
      <c r="C738" s="3" t="str">
        <f>IFERROR(INDEX(Movimientos!$D$5:$D$2001,MATCH(A738&amp;"ENTRADA",Movimientos!$R$5:$R$2001,0)),"-")</f>
        <v>-</v>
      </c>
      <c r="D738" s="3" t="str">
        <f>IFERROR(INDEX(Movimientos!$E$5:$E$2001,MATCH(A738&amp;"ENTRADA",Movimientos!$R$5:$R$2001,0)),"-")</f>
        <v>-</v>
      </c>
      <c r="E738" s="3" t="str">
        <f>IFERROR(INDEX(Movimientos!$F$5:$F$2001,MATCH(A738&amp;"ENTRADA",Movimientos!$R$5:$R$2001,0)),"-")</f>
        <v>-</v>
      </c>
      <c r="F738" s="3" t="str">
        <f>IFERROR(INDEX(Movimientos!$G$5:$G$2001,MATCH(A738&amp;"ENTRADA",Movimientos!$R$5:$R$2001,0)),"-")</f>
        <v>-</v>
      </c>
      <c r="G738" s="3" t="str">
        <f>IFERROR(INDEX(Movimientos!$L$5:$L$2001,MATCH(A738&amp;"ENTRADA",Movimientos!$R$5:$R$2001,0)),"-")</f>
        <v>-</v>
      </c>
      <c r="H738" s="19" t="str">
        <f>IFERROR(IF(INDEX(Movimientos!$M$5:$M$2001,MATCH(A738&amp;"ENTRADA",Movimientos!$R$5:$R$2001,0))=0,"S/D",INDEX(Movimientos!$M$5:$M$2001,MATCH(A738&amp;"ENTRADA",Movimientos!$R$5:$R$2001,0))),"S/D")</f>
        <v>S/D</v>
      </c>
      <c r="I738" s="16" t="str">
        <f t="shared" ca="1" si="24"/>
        <v>S/D</v>
      </c>
      <c r="J738" s="6">
        <f>IF(A738="","",SUMIFS(Movimientos!$K:$K,Movimientos!$H:$H,A738))</f>
        <v>0</v>
      </c>
      <c r="K738" s="14" t="str">
        <f t="shared" ca="1" si="25"/>
        <v>OK</v>
      </c>
    </row>
    <row r="739" spans="1:11">
      <c r="A739" s="18" t="s">
        <v>2812</v>
      </c>
      <c r="B739" s="3" t="str">
        <f>IFERROR(INDEX(Movimientos!$C$5:$C$2001,MATCH(A739&amp;"ENTRADA",Movimientos!$R$5:$R$2001,0)),"-")</f>
        <v>-</v>
      </c>
      <c r="C739" s="3" t="str">
        <f>IFERROR(INDEX(Movimientos!$D$5:$D$2001,MATCH(A739&amp;"ENTRADA",Movimientos!$R$5:$R$2001,0)),"-")</f>
        <v>-</v>
      </c>
      <c r="D739" s="3" t="str">
        <f>IFERROR(INDEX(Movimientos!$E$5:$E$2001,MATCH(A739&amp;"ENTRADA",Movimientos!$R$5:$R$2001,0)),"-")</f>
        <v>-</v>
      </c>
      <c r="E739" s="3" t="str">
        <f>IFERROR(INDEX(Movimientos!$F$5:$F$2001,MATCH(A739&amp;"ENTRADA",Movimientos!$R$5:$R$2001,0)),"-")</f>
        <v>-</v>
      </c>
      <c r="F739" s="3" t="str">
        <f>IFERROR(INDEX(Movimientos!$G$5:$G$2001,MATCH(A739&amp;"ENTRADA",Movimientos!$R$5:$R$2001,0)),"-")</f>
        <v>-</v>
      </c>
      <c r="G739" s="3" t="str">
        <f>IFERROR(INDEX(Movimientos!$L$5:$L$2001,MATCH(A739&amp;"ENTRADA",Movimientos!$R$5:$R$2001,0)),"-")</f>
        <v>-</v>
      </c>
      <c r="H739" s="19" t="str">
        <f>IFERROR(IF(INDEX(Movimientos!$M$5:$M$2001,MATCH(A739&amp;"ENTRADA",Movimientos!$R$5:$R$2001,0))=0,"S/D",INDEX(Movimientos!$M$5:$M$2001,MATCH(A739&amp;"ENTRADA",Movimientos!$R$5:$R$2001,0))),"S/D")</f>
        <v>S/D</v>
      </c>
      <c r="I739" s="16" t="str">
        <f t="shared" ca="1" si="24"/>
        <v>S/D</v>
      </c>
      <c r="J739" s="6">
        <f>IF(A739="","",SUMIFS(Movimientos!$K:$K,Movimientos!$H:$H,A739))</f>
        <v>0</v>
      </c>
      <c r="K739" s="14" t="str">
        <f t="shared" ca="1" si="25"/>
        <v>OK</v>
      </c>
    </row>
    <row r="740" spans="1:11">
      <c r="A740" s="18" t="s">
        <v>2813</v>
      </c>
      <c r="B740" s="3" t="str">
        <f>IFERROR(INDEX(Movimientos!$C$5:$C$2001,MATCH(A740&amp;"ENTRADA",Movimientos!$R$5:$R$2001,0)),"-")</f>
        <v>-</v>
      </c>
      <c r="C740" s="3" t="str">
        <f>IFERROR(INDEX(Movimientos!$D$5:$D$2001,MATCH(A740&amp;"ENTRADA",Movimientos!$R$5:$R$2001,0)),"-")</f>
        <v>-</v>
      </c>
      <c r="D740" s="3" t="str">
        <f>IFERROR(INDEX(Movimientos!$E$5:$E$2001,MATCH(A740&amp;"ENTRADA",Movimientos!$R$5:$R$2001,0)),"-")</f>
        <v>-</v>
      </c>
      <c r="E740" s="3" t="str">
        <f>IFERROR(INDEX(Movimientos!$F$5:$F$2001,MATCH(A740&amp;"ENTRADA",Movimientos!$R$5:$R$2001,0)),"-")</f>
        <v>-</v>
      </c>
      <c r="F740" s="3" t="str">
        <f>IFERROR(INDEX(Movimientos!$G$5:$G$2001,MATCH(A740&amp;"ENTRADA",Movimientos!$R$5:$R$2001,0)),"-")</f>
        <v>-</v>
      </c>
      <c r="G740" s="3" t="str">
        <f>IFERROR(INDEX(Movimientos!$L$5:$L$2001,MATCH(A740&amp;"ENTRADA",Movimientos!$R$5:$R$2001,0)),"-")</f>
        <v>-</v>
      </c>
      <c r="H740" s="19" t="str">
        <f>IFERROR(IF(INDEX(Movimientos!$M$5:$M$2001,MATCH(A740&amp;"ENTRADA",Movimientos!$R$5:$R$2001,0))=0,"S/D",INDEX(Movimientos!$M$5:$M$2001,MATCH(A740&amp;"ENTRADA",Movimientos!$R$5:$R$2001,0))),"S/D")</f>
        <v>S/D</v>
      </c>
      <c r="I740" s="16" t="str">
        <f t="shared" ca="1" si="24"/>
        <v>S/D</v>
      </c>
      <c r="J740" s="6">
        <f>IF(A740="","",SUMIFS(Movimientos!$K:$K,Movimientos!$H:$H,A740))</f>
        <v>0</v>
      </c>
      <c r="K740" s="14" t="str">
        <f t="shared" ca="1" si="25"/>
        <v>OK</v>
      </c>
    </row>
    <row r="741" spans="1:11">
      <c r="A741" s="18" t="s">
        <v>2814</v>
      </c>
      <c r="B741" s="3" t="str">
        <f>IFERROR(INDEX(Movimientos!$C$5:$C$2001,MATCH(A741&amp;"ENTRADA",Movimientos!$R$5:$R$2001,0)),"-")</f>
        <v>-</v>
      </c>
      <c r="C741" s="3" t="str">
        <f>IFERROR(INDEX(Movimientos!$D$5:$D$2001,MATCH(A741&amp;"ENTRADA",Movimientos!$R$5:$R$2001,0)),"-")</f>
        <v>-</v>
      </c>
      <c r="D741" s="3" t="str">
        <f>IFERROR(INDEX(Movimientos!$E$5:$E$2001,MATCH(A741&amp;"ENTRADA",Movimientos!$R$5:$R$2001,0)),"-")</f>
        <v>-</v>
      </c>
      <c r="E741" s="3" t="str">
        <f>IFERROR(INDEX(Movimientos!$F$5:$F$2001,MATCH(A741&amp;"ENTRADA",Movimientos!$R$5:$R$2001,0)),"-")</f>
        <v>-</v>
      </c>
      <c r="F741" s="3" t="str">
        <f>IFERROR(INDEX(Movimientos!$G$5:$G$2001,MATCH(A741&amp;"ENTRADA",Movimientos!$R$5:$R$2001,0)),"-")</f>
        <v>-</v>
      </c>
      <c r="G741" s="3" t="str">
        <f>IFERROR(INDEX(Movimientos!$L$5:$L$2001,MATCH(A741&amp;"ENTRADA",Movimientos!$R$5:$R$2001,0)),"-")</f>
        <v>-</v>
      </c>
      <c r="H741" s="19" t="str">
        <f>IFERROR(IF(INDEX(Movimientos!$M$5:$M$2001,MATCH(A741&amp;"ENTRADA",Movimientos!$R$5:$R$2001,0))=0,"S/D",INDEX(Movimientos!$M$5:$M$2001,MATCH(A741&amp;"ENTRADA",Movimientos!$R$5:$R$2001,0))),"S/D")</f>
        <v>S/D</v>
      </c>
      <c r="I741" s="16" t="str">
        <f t="shared" ca="1" si="24"/>
        <v>S/D</v>
      </c>
      <c r="J741" s="6">
        <f>IF(A741="","",SUMIFS(Movimientos!$K:$K,Movimientos!$H:$H,A741))</f>
        <v>0</v>
      </c>
      <c r="K741" s="14" t="str">
        <f t="shared" ca="1" si="25"/>
        <v>OK</v>
      </c>
    </row>
    <row r="742" spans="1:11">
      <c r="A742" s="18" t="s">
        <v>2815</v>
      </c>
      <c r="B742" s="3" t="str">
        <f>IFERROR(INDEX(Movimientos!$C$5:$C$2001,MATCH(A742&amp;"ENTRADA",Movimientos!$R$5:$R$2001,0)),"-")</f>
        <v>-</v>
      </c>
      <c r="C742" s="3" t="str">
        <f>IFERROR(INDEX(Movimientos!$D$5:$D$2001,MATCH(A742&amp;"ENTRADA",Movimientos!$R$5:$R$2001,0)),"-")</f>
        <v>-</v>
      </c>
      <c r="D742" s="3" t="str">
        <f>IFERROR(INDEX(Movimientos!$E$5:$E$2001,MATCH(A742&amp;"ENTRADA",Movimientos!$R$5:$R$2001,0)),"-")</f>
        <v>-</v>
      </c>
      <c r="E742" s="3" t="str">
        <f>IFERROR(INDEX(Movimientos!$F$5:$F$2001,MATCH(A742&amp;"ENTRADA",Movimientos!$R$5:$R$2001,0)),"-")</f>
        <v>-</v>
      </c>
      <c r="F742" s="3" t="str">
        <f>IFERROR(INDEX(Movimientos!$G$5:$G$2001,MATCH(A742&amp;"ENTRADA",Movimientos!$R$5:$R$2001,0)),"-")</f>
        <v>-</v>
      </c>
      <c r="G742" s="3" t="str">
        <f>IFERROR(INDEX(Movimientos!$L$5:$L$2001,MATCH(A742&amp;"ENTRADA",Movimientos!$R$5:$R$2001,0)),"-")</f>
        <v>-</v>
      </c>
      <c r="H742" s="19" t="str">
        <f>IFERROR(IF(INDEX(Movimientos!$M$5:$M$2001,MATCH(A742&amp;"ENTRADA",Movimientos!$R$5:$R$2001,0))=0,"S/D",INDEX(Movimientos!$M$5:$M$2001,MATCH(A742&amp;"ENTRADA",Movimientos!$R$5:$R$2001,0))),"S/D")</f>
        <v>S/D</v>
      </c>
      <c r="I742" s="16" t="str">
        <f t="shared" ca="1" si="24"/>
        <v>S/D</v>
      </c>
      <c r="J742" s="6">
        <f>IF(A742="","",SUMIFS(Movimientos!$K:$K,Movimientos!$H:$H,A742))</f>
        <v>0</v>
      </c>
      <c r="K742" s="14" t="str">
        <f t="shared" ca="1" si="25"/>
        <v>OK</v>
      </c>
    </row>
    <row r="743" spans="1:11">
      <c r="A743" s="18" t="s">
        <v>2816</v>
      </c>
      <c r="B743" s="3" t="str">
        <f>IFERROR(INDEX(Movimientos!$C$5:$C$2001,MATCH(A743&amp;"ENTRADA",Movimientos!$R$5:$R$2001,0)),"-")</f>
        <v>-</v>
      </c>
      <c r="C743" s="3" t="str">
        <f>IFERROR(INDEX(Movimientos!$D$5:$D$2001,MATCH(A743&amp;"ENTRADA",Movimientos!$R$5:$R$2001,0)),"-")</f>
        <v>-</v>
      </c>
      <c r="D743" s="3" t="str">
        <f>IFERROR(INDEX(Movimientos!$E$5:$E$2001,MATCH(A743&amp;"ENTRADA",Movimientos!$R$5:$R$2001,0)),"-")</f>
        <v>-</v>
      </c>
      <c r="E743" s="3" t="str">
        <f>IFERROR(INDEX(Movimientos!$F$5:$F$2001,MATCH(A743&amp;"ENTRADA",Movimientos!$R$5:$R$2001,0)),"-")</f>
        <v>-</v>
      </c>
      <c r="F743" s="3" t="str">
        <f>IFERROR(INDEX(Movimientos!$G$5:$G$2001,MATCH(A743&amp;"ENTRADA",Movimientos!$R$5:$R$2001,0)),"-")</f>
        <v>-</v>
      </c>
      <c r="G743" s="3" t="str">
        <f>IFERROR(INDEX(Movimientos!$L$5:$L$2001,MATCH(A743&amp;"ENTRADA",Movimientos!$R$5:$R$2001,0)),"-")</f>
        <v>-</v>
      </c>
      <c r="H743" s="19" t="str">
        <f>IFERROR(IF(INDEX(Movimientos!$M$5:$M$2001,MATCH(A743&amp;"ENTRADA",Movimientos!$R$5:$R$2001,0))=0,"S/D",INDEX(Movimientos!$M$5:$M$2001,MATCH(A743&amp;"ENTRADA",Movimientos!$R$5:$R$2001,0))),"S/D")</f>
        <v>S/D</v>
      </c>
      <c r="I743" s="16" t="str">
        <f t="shared" ca="1" si="24"/>
        <v>S/D</v>
      </c>
      <c r="J743" s="6">
        <f>IF(A743="","",SUMIFS(Movimientos!$K:$K,Movimientos!$H:$H,A743))</f>
        <v>0</v>
      </c>
      <c r="K743" s="14" t="str">
        <f t="shared" ca="1" si="25"/>
        <v>OK</v>
      </c>
    </row>
    <row r="744" spans="1:11">
      <c r="A744" s="18" t="s">
        <v>2817</v>
      </c>
      <c r="B744" s="3" t="str">
        <f>IFERROR(INDEX(Movimientos!$C$5:$C$2001,MATCH(A744&amp;"ENTRADA",Movimientos!$R$5:$R$2001,0)),"-")</f>
        <v>-</v>
      </c>
      <c r="C744" s="3" t="str">
        <f>IFERROR(INDEX(Movimientos!$D$5:$D$2001,MATCH(A744&amp;"ENTRADA",Movimientos!$R$5:$R$2001,0)),"-")</f>
        <v>-</v>
      </c>
      <c r="D744" s="3" t="str">
        <f>IFERROR(INDEX(Movimientos!$E$5:$E$2001,MATCH(A744&amp;"ENTRADA",Movimientos!$R$5:$R$2001,0)),"-")</f>
        <v>-</v>
      </c>
      <c r="E744" s="3" t="str">
        <f>IFERROR(INDEX(Movimientos!$F$5:$F$2001,MATCH(A744&amp;"ENTRADA",Movimientos!$R$5:$R$2001,0)),"-")</f>
        <v>-</v>
      </c>
      <c r="F744" s="3" t="str">
        <f>IFERROR(INDEX(Movimientos!$G$5:$G$2001,MATCH(A744&amp;"ENTRADA",Movimientos!$R$5:$R$2001,0)),"-")</f>
        <v>-</v>
      </c>
      <c r="G744" s="3" t="str">
        <f>IFERROR(INDEX(Movimientos!$L$5:$L$2001,MATCH(A744&amp;"ENTRADA",Movimientos!$R$5:$R$2001,0)),"-")</f>
        <v>-</v>
      </c>
      <c r="H744" s="19" t="str">
        <f>IFERROR(IF(INDEX(Movimientos!$M$5:$M$2001,MATCH(A744&amp;"ENTRADA",Movimientos!$R$5:$R$2001,0))=0,"S/D",INDEX(Movimientos!$M$5:$M$2001,MATCH(A744&amp;"ENTRADA",Movimientos!$R$5:$R$2001,0))),"S/D")</f>
        <v>S/D</v>
      </c>
      <c r="I744" s="16" t="str">
        <f t="shared" ca="1" si="24"/>
        <v>S/D</v>
      </c>
      <c r="J744" s="6">
        <f>IF(A744="","",SUMIFS(Movimientos!$K:$K,Movimientos!$H:$H,A744))</f>
        <v>0</v>
      </c>
      <c r="K744" s="14" t="str">
        <f t="shared" ca="1" si="25"/>
        <v>OK</v>
      </c>
    </row>
    <row r="745" spans="1:11">
      <c r="A745" s="18" t="s">
        <v>2818</v>
      </c>
      <c r="B745" s="3" t="str">
        <f>IFERROR(INDEX(Movimientos!$C$5:$C$2001,MATCH(A745&amp;"ENTRADA",Movimientos!$R$5:$R$2001,0)),"-")</f>
        <v>-</v>
      </c>
      <c r="C745" s="3" t="str">
        <f>IFERROR(INDEX(Movimientos!$D$5:$D$2001,MATCH(A745&amp;"ENTRADA",Movimientos!$R$5:$R$2001,0)),"-")</f>
        <v>-</v>
      </c>
      <c r="D745" s="3" t="str">
        <f>IFERROR(INDEX(Movimientos!$E$5:$E$2001,MATCH(A745&amp;"ENTRADA",Movimientos!$R$5:$R$2001,0)),"-")</f>
        <v>-</v>
      </c>
      <c r="E745" s="3" t="str">
        <f>IFERROR(INDEX(Movimientos!$F$5:$F$2001,MATCH(A745&amp;"ENTRADA",Movimientos!$R$5:$R$2001,0)),"-")</f>
        <v>-</v>
      </c>
      <c r="F745" s="3" t="str">
        <f>IFERROR(INDEX(Movimientos!$G$5:$G$2001,MATCH(A745&amp;"ENTRADA",Movimientos!$R$5:$R$2001,0)),"-")</f>
        <v>-</v>
      </c>
      <c r="G745" s="3" t="str">
        <f>IFERROR(INDEX(Movimientos!$L$5:$L$2001,MATCH(A745&amp;"ENTRADA",Movimientos!$R$5:$R$2001,0)),"-")</f>
        <v>-</v>
      </c>
      <c r="H745" s="19" t="str">
        <f>IFERROR(IF(INDEX(Movimientos!$M$5:$M$2001,MATCH(A745&amp;"ENTRADA",Movimientos!$R$5:$R$2001,0))=0,"S/D",INDEX(Movimientos!$M$5:$M$2001,MATCH(A745&amp;"ENTRADA",Movimientos!$R$5:$R$2001,0))),"S/D")</f>
        <v>S/D</v>
      </c>
      <c r="I745" s="16" t="str">
        <f t="shared" ca="1" si="24"/>
        <v>S/D</v>
      </c>
      <c r="J745" s="6">
        <f>IF(A745="","",SUMIFS(Movimientos!$K:$K,Movimientos!$H:$H,A745))</f>
        <v>0</v>
      </c>
      <c r="K745" s="14" t="str">
        <f t="shared" ca="1" si="25"/>
        <v>OK</v>
      </c>
    </row>
    <row r="746" spans="1:11">
      <c r="A746" s="18" t="s">
        <v>2819</v>
      </c>
      <c r="B746" s="3" t="str">
        <f>IFERROR(INDEX(Movimientos!$C$5:$C$2001,MATCH(A746&amp;"ENTRADA",Movimientos!$R$5:$R$2001,0)),"-")</f>
        <v>-</v>
      </c>
      <c r="C746" s="3" t="str">
        <f>IFERROR(INDEX(Movimientos!$D$5:$D$2001,MATCH(A746&amp;"ENTRADA",Movimientos!$R$5:$R$2001,0)),"-")</f>
        <v>-</v>
      </c>
      <c r="D746" s="3" t="str">
        <f>IFERROR(INDEX(Movimientos!$E$5:$E$2001,MATCH(A746&amp;"ENTRADA",Movimientos!$R$5:$R$2001,0)),"-")</f>
        <v>-</v>
      </c>
      <c r="E746" s="3" t="str">
        <f>IFERROR(INDEX(Movimientos!$F$5:$F$2001,MATCH(A746&amp;"ENTRADA",Movimientos!$R$5:$R$2001,0)),"-")</f>
        <v>-</v>
      </c>
      <c r="F746" s="3" t="str">
        <f>IFERROR(INDEX(Movimientos!$G$5:$G$2001,MATCH(A746&amp;"ENTRADA",Movimientos!$R$5:$R$2001,0)),"-")</f>
        <v>-</v>
      </c>
      <c r="G746" s="3" t="str">
        <f>IFERROR(INDEX(Movimientos!$L$5:$L$2001,MATCH(A746&amp;"ENTRADA",Movimientos!$R$5:$R$2001,0)),"-")</f>
        <v>-</v>
      </c>
      <c r="H746" s="19" t="str">
        <f>IFERROR(IF(INDEX(Movimientos!$M$5:$M$2001,MATCH(A746&amp;"ENTRADA",Movimientos!$R$5:$R$2001,0))=0,"S/D",INDEX(Movimientos!$M$5:$M$2001,MATCH(A746&amp;"ENTRADA",Movimientos!$R$5:$R$2001,0))),"S/D")</f>
        <v>S/D</v>
      </c>
      <c r="I746" s="16" t="str">
        <f t="shared" ca="1" si="24"/>
        <v>S/D</v>
      </c>
      <c r="J746" s="6">
        <f>IF(A746="","",SUMIFS(Movimientos!$K:$K,Movimientos!$H:$H,A746))</f>
        <v>0</v>
      </c>
      <c r="K746" s="14" t="str">
        <f t="shared" ca="1" si="25"/>
        <v>OK</v>
      </c>
    </row>
    <row r="747" spans="1:11">
      <c r="A747" s="18" t="s">
        <v>2820</v>
      </c>
      <c r="B747" s="3" t="str">
        <f>IFERROR(INDEX(Movimientos!$C$5:$C$2001,MATCH(A747&amp;"ENTRADA",Movimientos!$R$5:$R$2001,0)),"-")</f>
        <v>-</v>
      </c>
      <c r="C747" s="3" t="str">
        <f>IFERROR(INDEX(Movimientos!$D$5:$D$2001,MATCH(A747&amp;"ENTRADA",Movimientos!$R$5:$R$2001,0)),"-")</f>
        <v>-</v>
      </c>
      <c r="D747" s="3" t="str">
        <f>IFERROR(INDEX(Movimientos!$E$5:$E$2001,MATCH(A747&amp;"ENTRADA",Movimientos!$R$5:$R$2001,0)),"-")</f>
        <v>-</v>
      </c>
      <c r="E747" s="3" t="str">
        <f>IFERROR(INDEX(Movimientos!$F$5:$F$2001,MATCH(A747&amp;"ENTRADA",Movimientos!$R$5:$R$2001,0)),"-")</f>
        <v>-</v>
      </c>
      <c r="F747" s="3" t="str">
        <f>IFERROR(INDEX(Movimientos!$G$5:$G$2001,MATCH(A747&amp;"ENTRADA",Movimientos!$R$5:$R$2001,0)),"-")</f>
        <v>-</v>
      </c>
      <c r="G747" s="3" t="str">
        <f>IFERROR(INDEX(Movimientos!$L$5:$L$2001,MATCH(A747&amp;"ENTRADA",Movimientos!$R$5:$R$2001,0)),"-")</f>
        <v>-</v>
      </c>
      <c r="H747" s="19" t="str">
        <f>IFERROR(IF(INDEX(Movimientos!$M$5:$M$2001,MATCH(A747&amp;"ENTRADA",Movimientos!$R$5:$R$2001,0))=0,"S/D",INDEX(Movimientos!$M$5:$M$2001,MATCH(A747&amp;"ENTRADA",Movimientos!$R$5:$R$2001,0))),"S/D")</f>
        <v>S/D</v>
      </c>
      <c r="I747" s="16" t="str">
        <f t="shared" ca="1" si="24"/>
        <v>S/D</v>
      </c>
      <c r="J747" s="6">
        <f>IF(A747="","",SUMIFS(Movimientos!$K:$K,Movimientos!$H:$H,A747))</f>
        <v>0</v>
      </c>
      <c r="K747" s="14" t="str">
        <f t="shared" ca="1" si="25"/>
        <v>OK</v>
      </c>
    </row>
    <row r="748" spans="1:11">
      <c r="A748" s="18" t="s">
        <v>2821</v>
      </c>
      <c r="B748" s="3" t="str">
        <f>IFERROR(INDEX(Movimientos!$C$5:$C$2001,MATCH(A748&amp;"ENTRADA",Movimientos!$R$5:$R$2001,0)),"-")</f>
        <v>-</v>
      </c>
      <c r="C748" s="3" t="str">
        <f>IFERROR(INDEX(Movimientos!$D$5:$D$2001,MATCH(A748&amp;"ENTRADA",Movimientos!$R$5:$R$2001,0)),"-")</f>
        <v>-</v>
      </c>
      <c r="D748" s="3" t="str">
        <f>IFERROR(INDEX(Movimientos!$E$5:$E$2001,MATCH(A748&amp;"ENTRADA",Movimientos!$R$5:$R$2001,0)),"-")</f>
        <v>-</v>
      </c>
      <c r="E748" s="3" t="str">
        <f>IFERROR(INDEX(Movimientos!$F$5:$F$2001,MATCH(A748&amp;"ENTRADA",Movimientos!$R$5:$R$2001,0)),"-")</f>
        <v>-</v>
      </c>
      <c r="F748" s="3" t="str">
        <f>IFERROR(INDEX(Movimientos!$G$5:$G$2001,MATCH(A748&amp;"ENTRADA",Movimientos!$R$5:$R$2001,0)),"-")</f>
        <v>-</v>
      </c>
      <c r="G748" s="3" t="str">
        <f>IFERROR(INDEX(Movimientos!$L$5:$L$2001,MATCH(A748&amp;"ENTRADA",Movimientos!$R$5:$R$2001,0)),"-")</f>
        <v>-</v>
      </c>
      <c r="H748" s="19" t="str">
        <f>IFERROR(IF(INDEX(Movimientos!$M$5:$M$2001,MATCH(A748&amp;"ENTRADA",Movimientos!$R$5:$R$2001,0))=0,"S/D",INDEX(Movimientos!$M$5:$M$2001,MATCH(A748&amp;"ENTRADA",Movimientos!$R$5:$R$2001,0))),"S/D")</f>
        <v>S/D</v>
      </c>
      <c r="I748" s="16" t="str">
        <f t="shared" ca="1" si="24"/>
        <v>S/D</v>
      </c>
      <c r="J748" s="6">
        <f>IF(A748="","",SUMIFS(Movimientos!$K:$K,Movimientos!$H:$H,A748))</f>
        <v>0</v>
      </c>
      <c r="K748" s="14" t="str">
        <f t="shared" ca="1" si="25"/>
        <v>OK</v>
      </c>
    </row>
    <row r="749" spans="1:11">
      <c r="A749" s="18" t="s">
        <v>2822</v>
      </c>
      <c r="B749" s="3" t="str">
        <f>IFERROR(INDEX(Movimientos!$C$5:$C$2001,MATCH(A749&amp;"ENTRADA",Movimientos!$R$5:$R$2001,0)),"-")</f>
        <v>-</v>
      </c>
      <c r="C749" s="3" t="str">
        <f>IFERROR(INDEX(Movimientos!$D$5:$D$2001,MATCH(A749&amp;"ENTRADA",Movimientos!$R$5:$R$2001,0)),"-")</f>
        <v>-</v>
      </c>
      <c r="D749" s="3" t="str">
        <f>IFERROR(INDEX(Movimientos!$E$5:$E$2001,MATCH(A749&amp;"ENTRADA",Movimientos!$R$5:$R$2001,0)),"-")</f>
        <v>-</v>
      </c>
      <c r="E749" s="3" t="str">
        <f>IFERROR(INDEX(Movimientos!$F$5:$F$2001,MATCH(A749&amp;"ENTRADA",Movimientos!$R$5:$R$2001,0)),"-")</f>
        <v>-</v>
      </c>
      <c r="F749" s="3" t="str">
        <f>IFERROR(INDEX(Movimientos!$G$5:$G$2001,MATCH(A749&amp;"ENTRADA",Movimientos!$R$5:$R$2001,0)),"-")</f>
        <v>-</v>
      </c>
      <c r="G749" s="3" t="str">
        <f>IFERROR(INDEX(Movimientos!$L$5:$L$2001,MATCH(A749&amp;"ENTRADA",Movimientos!$R$5:$R$2001,0)),"-")</f>
        <v>-</v>
      </c>
      <c r="H749" s="19" t="str">
        <f>IFERROR(IF(INDEX(Movimientos!$M$5:$M$2001,MATCH(A749&amp;"ENTRADA",Movimientos!$R$5:$R$2001,0))=0,"S/D",INDEX(Movimientos!$M$5:$M$2001,MATCH(A749&amp;"ENTRADA",Movimientos!$R$5:$R$2001,0))),"S/D")</f>
        <v>S/D</v>
      </c>
      <c r="I749" s="16" t="str">
        <f t="shared" ca="1" si="24"/>
        <v>S/D</v>
      </c>
      <c r="J749" s="6">
        <f>IF(A749="","",SUMIFS(Movimientos!$K:$K,Movimientos!$H:$H,A749))</f>
        <v>0</v>
      </c>
      <c r="K749" s="14" t="str">
        <f t="shared" ca="1" si="25"/>
        <v>OK</v>
      </c>
    </row>
    <row r="750" spans="1:11">
      <c r="A750" s="18" t="s">
        <v>2823</v>
      </c>
      <c r="B750" s="3" t="str">
        <f>IFERROR(INDEX(Movimientos!$C$5:$C$2001,MATCH(A750&amp;"ENTRADA",Movimientos!$R$5:$R$2001,0)),"-")</f>
        <v>-</v>
      </c>
      <c r="C750" s="3" t="str">
        <f>IFERROR(INDEX(Movimientos!$D$5:$D$2001,MATCH(A750&amp;"ENTRADA",Movimientos!$R$5:$R$2001,0)),"-")</f>
        <v>-</v>
      </c>
      <c r="D750" s="3" t="str">
        <f>IFERROR(INDEX(Movimientos!$E$5:$E$2001,MATCH(A750&amp;"ENTRADA",Movimientos!$R$5:$R$2001,0)),"-")</f>
        <v>-</v>
      </c>
      <c r="E750" s="3" t="str">
        <f>IFERROR(INDEX(Movimientos!$F$5:$F$2001,MATCH(A750&amp;"ENTRADA",Movimientos!$R$5:$R$2001,0)),"-")</f>
        <v>-</v>
      </c>
      <c r="F750" s="3" t="str">
        <f>IFERROR(INDEX(Movimientos!$G$5:$G$2001,MATCH(A750&amp;"ENTRADA",Movimientos!$R$5:$R$2001,0)),"-")</f>
        <v>-</v>
      </c>
      <c r="G750" s="3" t="str">
        <f>IFERROR(INDEX(Movimientos!$L$5:$L$2001,MATCH(A750&amp;"ENTRADA",Movimientos!$R$5:$R$2001,0)),"-")</f>
        <v>-</v>
      </c>
      <c r="H750" s="19" t="str">
        <f>IFERROR(IF(INDEX(Movimientos!$M$5:$M$2001,MATCH(A750&amp;"ENTRADA",Movimientos!$R$5:$R$2001,0))=0,"S/D",INDEX(Movimientos!$M$5:$M$2001,MATCH(A750&amp;"ENTRADA",Movimientos!$R$5:$R$2001,0))),"S/D")</f>
        <v>S/D</v>
      </c>
      <c r="I750" s="16" t="str">
        <f t="shared" ca="1" si="24"/>
        <v>S/D</v>
      </c>
      <c r="J750" s="6">
        <f>IF(A750="","",SUMIFS(Movimientos!$K:$K,Movimientos!$H:$H,A750))</f>
        <v>0</v>
      </c>
      <c r="K750" s="14" t="str">
        <f t="shared" ca="1" si="25"/>
        <v>OK</v>
      </c>
    </row>
    <row r="751" spans="1:11">
      <c r="A751" s="18" t="s">
        <v>2824</v>
      </c>
      <c r="B751" s="3" t="str">
        <f>IFERROR(INDEX(Movimientos!$C$5:$C$2001,MATCH(A751&amp;"ENTRADA",Movimientos!$R$5:$R$2001,0)),"-")</f>
        <v>-</v>
      </c>
      <c r="C751" s="3" t="str">
        <f>IFERROR(INDEX(Movimientos!$D$5:$D$2001,MATCH(A751&amp;"ENTRADA",Movimientos!$R$5:$R$2001,0)),"-")</f>
        <v>-</v>
      </c>
      <c r="D751" s="3" t="str">
        <f>IFERROR(INDEX(Movimientos!$E$5:$E$2001,MATCH(A751&amp;"ENTRADA",Movimientos!$R$5:$R$2001,0)),"-")</f>
        <v>-</v>
      </c>
      <c r="E751" s="3" t="str">
        <f>IFERROR(INDEX(Movimientos!$F$5:$F$2001,MATCH(A751&amp;"ENTRADA",Movimientos!$R$5:$R$2001,0)),"-")</f>
        <v>-</v>
      </c>
      <c r="F751" s="3" t="str">
        <f>IFERROR(INDEX(Movimientos!$G$5:$G$2001,MATCH(A751&amp;"ENTRADA",Movimientos!$R$5:$R$2001,0)),"-")</f>
        <v>-</v>
      </c>
      <c r="G751" s="3" t="str">
        <f>IFERROR(INDEX(Movimientos!$L$5:$L$2001,MATCH(A751&amp;"ENTRADA",Movimientos!$R$5:$R$2001,0)),"-")</f>
        <v>-</v>
      </c>
      <c r="H751" s="19" t="str">
        <f>IFERROR(IF(INDEX(Movimientos!$M$5:$M$2001,MATCH(A751&amp;"ENTRADA",Movimientos!$R$5:$R$2001,0))=0,"S/D",INDEX(Movimientos!$M$5:$M$2001,MATCH(A751&amp;"ENTRADA",Movimientos!$R$5:$R$2001,0))),"S/D")</f>
        <v>S/D</v>
      </c>
      <c r="I751" s="16" t="str">
        <f t="shared" ca="1" si="24"/>
        <v>S/D</v>
      </c>
      <c r="J751" s="6">
        <f>IF(A751="","",SUMIFS(Movimientos!$K:$K,Movimientos!$H:$H,A751))</f>
        <v>0</v>
      </c>
      <c r="K751" s="14" t="str">
        <f t="shared" ca="1" si="25"/>
        <v>OK</v>
      </c>
    </row>
    <row r="752" spans="1:11">
      <c r="A752" s="18" t="s">
        <v>2825</v>
      </c>
      <c r="B752" s="3" t="str">
        <f>IFERROR(INDEX(Movimientos!$C$5:$C$2001,MATCH(A752&amp;"ENTRADA",Movimientos!$R$5:$R$2001,0)),"-")</f>
        <v>-</v>
      </c>
      <c r="C752" s="3" t="str">
        <f>IFERROR(INDEX(Movimientos!$D$5:$D$2001,MATCH(A752&amp;"ENTRADA",Movimientos!$R$5:$R$2001,0)),"-")</f>
        <v>-</v>
      </c>
      <c r="D752" s="3" t="str">
        <f>IFERROR(INDEX(Movimientos!$E$5:$E$2001,MATCH(A752&amp;"ENTRADA",Movimientos!$R$5:$R$2001,0)),"-")</f>
        <v>-</v>
      </c>
      <c r="E752" s="3" t="str">
        <f>IFERROR(INDEX(Movimientos!$F$5:$F$2001,MATCH(A752&amp;"ENTRADA",Movimientos!$R$5:$R$2001,0)),"-")</f>
        <v>-</v>
      </c>
      <c r="F752" s="3" t="str">
        <f>IFERROR(INDEX(Movimientos!$G$5:$G$2001,MATCH(A752&amp;"ENTRADA",Movimientos!$R$5:$R$2001,0)),"-")</f>
        <v>-</v>
      </c>
      <c r="G752" s="3" t="str">
        <f>IFERROR(INDEX(Movimientos!$L$5:$L$2001,MATCH(A752&amp;"ENTRADA",Movimientos!$R$5:$R$2001,0)),"-")</f>
        <v>-</v>
      </c>
      <c r="H752" s="19" t="str">
        <f>IFERROR(IF(INDEX(Movimientos!$M$5:$M$2001,MATCH(A752&amp;"ENTRADA",Movimientos!$R$5:$R$2001,0))=0,"S/D",INDEX(Movimientos!$M$5:$M$2001,MATCH(A752&amp;"ENTRADA",Movimientos!$R$5:$R$2001,0))),"S/D")</f>
        <v>S/D</v>
      </c>
      <c r="I752" s="16" t="str">
        <f t="shared" ca="1" si="24"/>
        <v>S/D</v>
      </c>
      <c r="J752" s="6">
        <f>IF(A752="","",SUMIFS(Movimientos!$K:$K,Movimientos!$H:$H,A752))</f>
        <v>0</v>
      </c>
      <c r="K752" s="14" t="str">
        <f t="shared" ca="1" si="25"/>
        <v>OK</v>
      </c>
    </row>
    <row r="753" spans="1:11">
      <c r="A753" s="18" t="s">
        <v>2826</v>
      </c>
      <c r="B753" s="3" t="str">
        <f>IFERROR(INDEX(Movimientos!$C$5:$C$2001,MATCH(A753&amp;"ENTRADA",Movimientos!$R$5:$R$2001,0)),"-")</f>
        <v>-</v>
      </c>
      <c r="C753" s="3" t="str">
        <f>IFERROR(INDEX(Movimientos!$D$5:$D$2001,MATCH(A753&amp;"ENTRADA",Movimientos!$R$5:$R$2001,0)),"-")</f>
        <v>-</v>
      </c>
      <c r="D753" s="3" t="str">
        <f>IFERROR(INDEX(Movimientos!$E$5:$E$2001,MATCH(A753&amp;"ENTRADA",Movimientos!$R$5:$R$2001,0)),"-")</f>
        <v>-</v>
      </c>
      <c r="E753" s="3" t="str">
        <f>IFERROR(INDEX(Movimientos!$F$5:$F$2001,MATCH(A753&amp;"ENTRADA",Movimientos!$R$5:$R$2001,0)),"-")</f>
        <v>-</v>
      </c>
      <c r="F753" s="3" t="str">
        <f>IFERROR(INDEX(Movimientos!$G$5:$G$2001,MATCH(A753&amp;"ENTRADA",Movimientos!$R$5:$R$2001,0)),"-")</f>
        <v>-</v>
      </c>
      <c r="G753" s="3" t="str">
        <f>IFERROR(INDEX(Movimientos!$L$5:$L$2001,MATCH(A753&amp;"ENTRADA",Movimientos!$R$5:$R$2001,0)),"-")</f>
        <v>-</v>
      </c>
      <c r="H753" s="19" t="str">
        <f>IFERROR(IF(INDEX(Movimientos!$M$5:$M$2001,MATCH(A753&amp;"ENTRADA",Movimientos!$R$5:$R$2001,0))=0,"S/D",INDEX(Movimientos!$M$5:$M$2001,MATCH(A753&amp;"ENTRADA",Movimientos!$R$5:$R$2001,0))),"S/D")</f>
        <v>S/D</v>
      </c>
      <c r="I753" s="16" t="str">
        <f t="shared" ca="1" si="24"/>
        <v>S/D</v>
      </c>
      <c r="J753" s="6">
        <f>IF(A753="","",SUMIFS(Movimientos!$K:$K,Movimientos!$H:$H,A753))</f>
        <v>0</v>
      </c>
      <c r="K753" s="14" t="str">
        <f t="shared" ca="1" si="25"/>
        <v>OK</v>
      </c>
    </row>
    <row r="754" spans="1:11">
      <c r="A754" s="18" t="s">
        <v>2827</v>
      </c>
      <c r="B754" s="3" t="str">
        <f>IFERROR(INDEX(Movimientos!$C$5:$C$2001,MATCH(A754&amp;"ENTRADA",Movimientos!$R$5:$R$2001,0)),"-")</f>
        <v>-</v>
      </c>
      <c r="C754" s="3" t="str">
        <f>IFERROR(INDEX(Movimientos!$D$5:$D$2001,MATCH(A754&amp;"ENTRADA",Movimientos!$R$5:$R$2001,0)),"-")</f>
        <v>-</v>
      </c>
      <c r="D754" s="3" t="str">
        <f>IFERROR(INDEX(Movimientos!$E$5:$E$2001,MATCH(A754&amp;"ENTRADA",Movimientos!$R$5:$R$2001,0)),"-")</f>
        <v>-</v>
      </c>
      <c r="E754" s="3" t="str">
        <f>IFERROR(INDEX(Movimientos!$F$5:$F$2001,MATCH(A754&amp;"ENTRADA",Movimientos!$R$5:$R$2001,0)),"-")</f>
        <v>-</v>
      </c>
      <c r="F754" s="3" t="str">
        <f>IFERROR(INDEX(Movimientos!$G$5:$G$2001,MATCH(A754&amp;"ENTRADA",Movimientos!$R$5:$R$2001,0)),"-")</f>
        <v>-</v>
      </c>
      <c r="G754" s="3" t="str">
        <f>IFERROR(INDEX(Movimientos!$L$5:$L$2001,MATCH(A754&amp;"ENTRADA",Movimientos!$R$5:$R$2001,0)),"-")</f>
        <v>-</v>
      </c>
      <c r="H754" s="19" t="str">
        <f>IFERROR(IF(INDEX(Movimientos!$M$5:$M$2001,MATCH(A754&amp;"ENTRADA",Movimientos!$R$5:$R$2001,0))=0,"S/D",INDEX(Movimientos!$M$5:$M$2001,MATCH(A754&amp;"ENTRADA",Movimientos!$R$5:$R$2001,0))),"S/D")</f>
        <v>S/D</v>
      </c>
      <c r="I754" s="16" t="str">
        <f t="shared" ca="1" si="24"/>
        <v>S/D</v>
      </c>
      <c r="J754" s="6">
        <f>IF(A754="","",SUMIFS(Movimientos!$K:$K,Movimientos!$H:$H,A754))</f>
        <v>0</v>
      </c>
      <c r="K754" s="14" t="str">
        <f t="shared" ca="1" si="25"/>
        <v>OK</v>
      </c>
    </row>
    <row r="755" spans="1:11">
      <c r="A755" s="18" t="s">
        <v>2828</v>
      </c>
      <c r="B755" s="3" t="str">
        <f>IFERROR(INDEX(Movimientos!$C$5:$C$2001,MATCH(A755&amp;"ENTRADA",Movimientos!$R$5:$R$2001,0)),"-")</f>
        <v>-</v>
      </c>
      <c r="C755" s="3" t="str">
        <f>IFERROR(INDEX(Movimientos!$D$5:$D$2001,MATCH(A755&amp;"ENTRADA",Movimientos!$R$5:$R$2001,0)),"-")</f>
        <v>-</v>
      </c>
      <c r="D755" s="3" t="str">
        <f>IFERROR(INDEX(Movimientos!$E$5:$E$2001,MATCH(A755&amp;"ENTRADA",Movimientos!$R$5:$R$2001,0)),"-")</f>
        <v>-</v>
      </c>
      <c r="E755" s="3" t="str">
        <f>IFERROR(INDEX(Movimientos!$F$5:$F$2001,MATCH(A755&amp;"ENTRADA",Movimientos!$R$5:$R$2001,0)),"-")</f>
        <v>-</v>
      </c>
      <c r="F755" s="3" t="str">
        <f>IFERROR(INDEX(Movimientos!$G$5:$G$2001,MATCH(A755&amp;"ENTRADA",Movimientos!$R$5:$R$2001,0)),"-")</f>
        <v>-</v>
      </c>
      <c r="G755" s="3" t="str">
        <f>IFERROR(INDEX(Movimientos!$L$5:$L$2001,MATCH(A755&amp;"ENTRADA",Movimientos!$R$5:$R$2001,0)),"-")</f>
        <v>-</v>
      </c>
      <c r="H755" s="19" t="str">
        <f>IFERROR(IF(INDEX(Movimientos!$M$5:$M$2001,MATCH(A755&amp;"ENTRADA",Movimientos!$R$5:$R$2001,0))=0,"S/D",INDEX(Movimientos!$M$5:$M$2001,MATCH(A755&amp;"ENTRADA",Movimientos!$R$5:$R$2001,0))),"S/D")</f>
        <v>S/D</v>
      </c>
      <c r="I755" s="16" t="str">
        <f t="shared" ca="1" si="24"/>
        <v>S/D</v>
      </c>
      <c r="J755" s="6">
        <f>IF(A755="","",SUMIFS(Movimientos!$K:$K,Movimientos!$H:$H,A755))</f>
        <v>0</v>
      </c>
      <c r="K755" s="14" t="str">
        <f t="shared" ca="1" si="25"/>
        <v>OK</v>
      </c>
    </row>
    <row r="756" spans="1:11">
      <c r="A756" s="18" t="s">
        <v>2829</v>
      </c>
      <c r="B756" s="3" t="str">
        <f>IFERROR(INDEX(Movimientos!$C$5:$C$2001,MATCH(A756&amp;"ENTRADA",Movimientos!$R$5:$R$2001,0)),"-")</f>
        <v>-</v>
      </c>
      <c r="C756" s="3" t="str">
        <f>IFERROR(INDEX(Movimientos!$D$5:$D$2001,MATCH(A756&amp;"ENTRADA",Movimientos!$R$5:$R$2001,0)),"-")</f>
        <v>-</v>
      </c>
      <c r="D756" s="3" t="str">
        <f>IFERROR(INDEX(Movimientos!$E$5:$E$2001,MATCH(A756&amp;"ENTRADA",Movimientos!$R$5:$R$2001,0)),"-")</f>
        <v>-</v>
      </c>
      <c r="E756" s="3" t="str">
        <f>IFERROR(INDEX(Movimientos!$F$5:$F$2001,MATCH(A756&amp;"ENTRADA",Movimientos!$R$5:$R$2001,0)),"-")</f>
        <v>-</v>
      </c>
      <c r="F756" s="3" t="str">
        <f>IFERROR(INDEX(Movimientos!$G$5:$G$2001,MATCH(A756&amp;"ENTRADA",Movimientos!$R$5:$R$2001,0)),"-")</f>
        <v>-</v>
      </c>
      <c r="G756" s="3" t="str">
        <f>IFERROR(INDEX(Movimientos!$L$5:$L$2001,MATCH(A756&amp;"ENTRADA",Movimientos!$R$5:$R$2001,0)),"-")</f>
        <v>-</v>
      </c>
      <c r="H756" s="19" t="str">
        <f>IFERROR(IF(INDEX(Movimientos!$M$5:$M$2001,MATCH(A756&amp;"ENTRADA",Movimientos!$R$5:$R$2001,0))=0,"S/D",INDEX(Movimientos!$M$5:$M$2001,MATCH(A756&amp;"ENTRADA",Movimientos!$R$5:$R$2001,0))),"S/D")</f>
        <v>S/D</v>
      </c>
      <c r="I756" s="16" t="str">
        <f t="shared" ca="1" si="24"/>
        <v>S/D</v>
      </c>
      <c r="J756" s="6">
        <f>IF(A756="","",SUMIFS(Movimientos!$K:$K,Movimientos!$H:$H,A756))</f>
        <v>0</v>
      </c>
      <c r="K756" s="14" t="str">
        <f t="shared" ca="1" si="25"/>
        <v>OK</v>
      </c>
    </row>
    <row r="757" spans="1:11">
      <c r="A757" s="18" t="s">
        <v>2830</v>
      </c>
      <c r="B757" s="3" t="str">
        <f>IFERROR(INDEX(Movimientos!$C$5:$C$2001,MATCH(A757&amp;"ENTRADA",Movimientos!$R$5:$R$2001,0)),"-")</f>
        <v>-</v>
      </c>
      <c r="C757" s="3" t="str">
        <f>IFERROR(INDEX(Movimientos!$D$5:$D$2001,MATCH(A757&amp;"ENTRADA",Movimientos!$R$5:$R$2001,0)),"-")</f>
        <v>-</v>
      </c>
      <c r="D757" s="3" t="str">
        <f>IFERROR(INDEX(Movimientos!$E$5:$E$2001,MATCH(A757&amp;"ENTRADA",Movimientos!$R$5:$R$2001,0)),"-")</f>
        <v>-</v>
      </c>
      <c r="E757" s="3" t="str">
        <f>IFERROR(INDEX(Movimientos!$F$5:$F$2001,MATCH(A757&amp;"ENTRADA",Movimientos!$R$5:$R$2001,0)),"-")</f>
        <v>-</v>
      </c>
      <c r="F757" s="3" t="str">
        <f>IFERROR(INDEX(Movimientos!$G$5:$G$2001,MATCH(A757&amp;"ENTRADA",Movimientos!$R$5:$R$2001,0)),"-")</f>
        <v>-</v>
      </c>
      <c r="G757" s="3" t="str">
        <f>IFERROR(INDEX(Movimientos!$L$5:$L$2001,MATCH(A757&amp;"ENTRADA",Movimientos!$R$5:$R$2001,0)),"-")</f>
        <v>-</v>
      </c>
      <c r="H757" s="19" t="str">
        <f>IFERROR(IF(INDEX(Movimientos!$M$5:$M$2001,MATCH(A757&amp;"ENTRADA",Movimientos!$R$5:$R$2001,0))=0,"S/D",INDEX(Movimientos!$M$5:$M$2001,MATCH(A757&amp;"ENTRADA",Movimientos!$R$5:$R$2001,0))),"S/D")</f>
        <v>S/D</v>
      </c>
      <c r="I757" s="16" t="str">
        <f t="shared" ca="1" si="24"/>
        <v>S/D</v>
      </c>
      <c r="J757" s="6">
        <f>IF(A757="","",SUMIFS(Movimientos!$K:$K,Movimientos!$H:$H,A757))</f>
        <v>0</v>
      </c>
      <c r="K757" s="14" t="str">
        <f t="shared" ca="1" si="25"/>
        <v>OK</v>
      </c>
    </row>
    <row r="758" spans="1:11">
      <c r="A758" s="18" t="s">
        <v>2831</v>
      </c>
      <c r="B758" s="3" t="str">
        <f>IFERROR(INDEX(Movimientos!$C$5:$C$2001,MATCH(A758&amp;"ENTRADA",Movimientos!$R$5:$R$2001,0)),"-")</f>
        <v>-</v>
      </c>
      <c r="C758" s="3" t="str">
        <f>IFERROR(INDEX(Movimientos!$D$5:$D$2001,MATCH(A758&amp;"ENTRADA",Movimientos!$R$5:$R$2001,0)),"-")</f>
        <v>-</v>
      </c>
      <c r="D758" s="3" t="str">
        <f>IFERROR(INDEX(Movimientos!$E$5:$E$2001,MATCH(A758&amp;"ENTRADA",Movimientos!$R$5:$R$2001,0)),"-")</f>
        <v>-</v>
      </c>
      <c r="E758" s="3" t="str">
        <f>IFERROR(INDEX(Movimientos!$F$5:$F$2001,MATCH(A758&amp;"ENTRADA",Movimientos!$R$5:$R$2001,0)),"-")</f>
        <v>-</v>
      </c>
      <c r="F758" s="3" t="str">
        <f>IFERROR(INDEX(Movimientos!$G$5:$G$2001,MATCH(A758&amp;"ENTRADA",Movimientos!$R$5:$R$2001,0)),"-")</f>
        <v>-</v>
      </c>
      <c r="G758" s="3" t="str">
        <f>IFERROR(INDEX(Movimientos!$L$5:$L$2001,MATCH(A758&amp;"ENTRADA",Movimientos!$R$5:$R$2001,0)),"-")</f>
        <v>-</v>
      </c>
      <c r="H758" s="19" t="str">
        <f>IFERROR(IF(INDEX(Movimientos!$M$5:$M$2001,MATCH(A758&amp;"ENTRADA",Movimientos!$R$5:$R$2001,0))=0,"S/D",INDEX(Movimientos!$M$5:$M$2001,MATCH(A758&amp;"ENTRADA",Movimientos!$R$5:$R$2001,0))),"S/D")</f>
        <v>S/D</v>
      </c>
      <c r="I758" s="16" t="str">
        <f t="shared" ca="1" si="24"/>
        <v>S/D</v>
      </c>
      <c r="J758" s="6">
        <f>IF(A758="","",SUMIFS(Movimientos!$K:$K,Movimientos!$H:$H,A758))</f>
        <v>0</v>
      </c>
      <c r="K758" s="14" t="str">
        <f t="shared" ca="1" si="25"/>
        <v>OK</v>
      </c>
    </row>
    <row r="759" spans="1:11">
      <c r="A759" s="18" t="s">
        <v>2832</v>
      </c>
      <c r="B759" s="3" t="str">
        <f>IFERROR(INDEX(Movimientos!$C$5:$C$2001,MATCH(A759&amp;"ENTRADA",Movimientos!$R$5:$R$2001,0)),"-")</f>
        <v>-</v>
      </c>
      <c r="C759" s="3" t="str">
        <f>IFERROR(INDEX(Movimientos!$D$5:$D$2001,MATCH(A759&amp;"ENTRADA",Movimientos!$R$5:$R$2001,0)),"-")</f>
        <v>-</v>
      </c>
      <c r="D759" s="3" t="str">
        <f>IFERROR(INDEX(Movimientos!$E$5:$E$2001,MATCH(A759&amp;"ENTRADA",Movimientos!$R$5:$R$2001,0)),"-")</f>
        <v>-</v>
      </c>
      <c r="E759" s="3" t="str">
        <f>IFERROR(INDEX(Movimientos!$F$5:$F$2001,MATCH(A759&amp;"ENTRADA",Movimientos!$R$5:$R$2001,0)),"-")</f>
        <v>-</v>
      </c>
      <c r="F759" s="3" t="str">
        <f>IFERROR(INDEX(Movimientos!$G$5:$G$2001,MATCH(A759&amp;"ENTRADA",Movimientos!$R$5:$R$2001,0)),"-")</f>
        <v>-</v>
      </c>
      <c r="G759" s="3" t="str">
        <f>IFERROR(INDEX(Movimientos!$L$5:$L$2001,MATCH(A759&amp;"ENTRADA",Movimientos!$R$5:$R$2001,0)),"-")</f>
        <v>-</v>
      </c>
      <c r="H759" s="19" t="str">
        <f>IFERROR(IF(INDEX(Movimientos!$M$5:$M$2001,MATCH(A759&amp;"ENTRADA",Movimientos!$R$5:$R$2001,0))=0,"S/D",INDEX(Movimientos!$M$5:$M$2001,MATCH(A759&amp;"ENTRADA",Movimientos!$R$5:$R$2001,0))),"S/D")</f>
        <v>S/D</v>
      </c>
      <c r="I759" s="16" t="str">
        <f t="shared" ca="1" si="24"/>
        <v>S/D</v>
      </c>
      <c r="J759" s="6">
        <f>IF(A759="","",SUMIFS(Movimientos!$K:$K,Movimientos!$H:$H,A759))</f>
        <v>0</v>
      </c>
      <c r="K759" s="14" t="str">
        <f t="shared" ca="1" si="25"/>
        <v>OK</v>
      </c>
    </row>
    <row r="760" spans="1:11">
      <c r="A760" s="18" t="s">
        <v>2833</v>
      </c>
      <c r="B760" s="3" t="str">
        <f>IFERROR(INDEX(Movimientos!$C$5:$C$2001,MATCH(A760&amp;"ENTRADA",Movimientos!$R$5:$R$2001,0)),"-")</f>
        <v>-</v>
      </c>
      <c r="C760" s="3" t="str">
        <f>IFERROR(INDEX(Movimientos!$D$5:$D$2001,MATCH(A760&amp;"ENTRADA",Movimientos!$R$5:$R$2001,0)),"-")</f>
        <v>-</v>
      </c>
      <c r="D760" s="3" t="str">
        <f>IFERROR(INDEX(Movimientos!$E$5:$E$2001,MATCH(A760&amp;"ENTRADA",Movimientos!$R$5:$R$2001,0)),"-")</f>
        <v>-</v>
      </c>
      <c r="E760" s="3" t="str">
        <f>IFERROR(INDEX(Movimientos!$F$5:$F$2001,MATCH(A760&amp;"ENTRADA",Movimientos!$R$5:$R$2001,0)),"-")</f>
        <v>-</v>
      </c>
      <c r="F760" s="3" t="str">
        <f>IFERROR(INDEX(Movimientos!$G$5:$G$2001,MATCH(A760&amp;"ENTRADA",Movimientos!$R$5:$R$2001,0)),"-")</f>
        <v>-</v>
      </c>
      <c r="G760" s="3" t="str">
        <f>IFERROR(INDEX(Movimientos!$L$5:$L$2001,MATCH(A760&amp;"ENTRADA",Movimientos!$R$5:$R$2001,0)),"-")</f>
        <v>-</v>
      </c>
      <c r="H760" s="19" t="str">
        <f>IFERROR(IF(INDEX(Movimientos!$M$5:$M$2001,MATCH(A760&amp;"ENTRADA",Movimientos!$R$5:$R$2001,0))=0,"S/D",INDEX(Movimientos!$M$5:$M$2001,MATCH(A760&amp;"ENTRADA",Movimientos!$R$5:$R$2001,0))),"S/D")</f>
        <v>S/D</v>
      </c>
      <c r="I760" s="16" t="str">
        <f t="shared" ca="1" si="24"/>
        <v>S/D</v>
      </c>
      <c r="J760" s="6">
        <f>IF(A760="","",SUMIFS(Movimientos!$K:$K,Movimientos!$H:$H,A760))</f>
        <v>0</v>
      </c>
      <c r="K760" s="14" t="str">
        <f t="shared" ca="1" si="25"/>
        <v>OK</v>
      </c>
    </row>
    <row r="761" spans="1:11">
      <c r="A761" s="18" t="s">
        <v>2834</v>
      </c>
      <c r="B761" s="3" t="str">
        <f>IFERROR(INDEX(Movimientos!$C$5:$C$2001,MATCH(A761&amp;"ENTRADA",Movimientos!$R$5:$R$2001,0)),"-")</f>
        <v>-</v>
      </c>
      <c r="C761" s="3" t="str">
        <f>IFERROR(INDEX(Movimientos!$D$5:$D$2001,MATCH(A761&amp;"ENTRADA",Movimientos!$R$5:$R$2001,0)),"-")</f>
        <v>-</v>
      </c>
      <c r="D761" s="3" t="str">
        <f>IFERROR(INDEX(Movimientos!$E$5:$E$2001,MATCH(A761&amp;"ENTRADA",Movimientos!$R$5:$R$2001,0)),"-")</f>
        <v>-</v>
      </c>
      <c r="E761" s="3" t="str">
        <f>IFERROR(INDEX(Movimientos!$F$5:$F$2001,MATCH(A761&amp;"ENTRADA",Movimientos!$R$5:$R$2001,0)),"-")</f>
        <v>-</v>
      </c>
      <c r="F761" s="3" t="str">
        <f>IFERROR(INDEX(Movimientos!$G$5:$G$2001,MATCH(A761&amp;"ENTRADA",Movimientos!$R$5:$R$2001,0)),"-")</f>
        <v>-</v>
      </c>
      <c r="G761" s="3" t="str">
        <f>IFERROR(INDEX(Movimientos!$L$5:$L$2001,MATCH(A761&amp;"ENTRADA",Movimientos!$R$5:$R$2001,0)),"-")</f>
        <v>-</v>
      </c>
      <c r="H761" s="19" t="str">
        <f>IFERROR(IF(INDEX(Movimientos!$M$5:$M$2001,MATCH(A761&amp;"ENTRADA",Movimientos!$R$5:$R$2001,0))=0,"S/D",INDEX(Movimientos!$M$5:$M$2001,MATCH(A761&amp;"ENTRADA",Movimientos!$R$5:$R$2001,0))),"S/D")</f>
        <v>S/D</v>
      </c>
      <c r="I761" s="16" t="str">
        <f t="shared" ca="1" si="24"/>
        <v>S/D</v>
      </c>
      <c r="J761" s="6">
        <f>IF(A761="","",SUMIFS(Movimientos!$K:$K,Movimientos!$H:$H,A761))</f>
        <v>0</v>
      </c>
      <c r="K761" s="14" t="str">
        <f t="shared" ca="1" si="25"/>
        <v>OK</v>
      </c>
    </row>
    <row r="762" spans="1:11">
      <c r="A762" s="18" t="s">
        <v>2835</v>
      </c>
      <c r="B762" s="3" t="str">
        <f>IFERROR(INDEX(Movimientos!$C$5:$C$2001,MATCH(A762&amp;"ENTRADA",Movimientos!$R$5:$R$2001,0)),"-")</f>
        <v>-</v>
      </c>
      <c r="C762" s="3" t="str">
        <f>IFERROR(INDEX(Movimientos!$D$5:$D$2001,MATCH(A762&amp;"ENTRADA",Movimientos!$R$5:$R$2001,0)),"-")</f>
        <v>-</v>
      </c>
      <c r="D762" s="3" t="str">
        <f>IFERROR(INDEX(Movimientos!$E$5:$E$2001,MATCH(A762&amp;"ENTRADA",Movimientos!$R$5:$R$2001,0)),"-")</f>
        <v>-</v>
      </c>
      <c r="E762" s="3" t="str">
        <f>IFERROR(INDEX(Movimientos!$F$5:$F$2001,MATCH(A762&amp;"ENTRADA",Movimientos!$R$5:$R$2001,0)),"-")</f>
        <v>-</v>
      </c>
      <c r="F762" s="3" t="str">
        <f>IFERROR(INDEX(Movimientos!$G$5:$G$2001,MATCH(A762&amp;"ENTRADA",Movimientos!$R$5:$R$2001,0)),"-")</f>
        <v>-</v>
      </c>
      <c r="G762" s="3" t="str">
        <f>IFERROR(INDEX(Movimientos!$L$5:$L$2001,MATCH(A762&amp;"ENTRADA",Movimientos!$R$5:$R$2001,0)),"-")</f>
        <v>-</v>
      </c>
      <c r="H762" s="19" t="str">
        <f>IFERROR(IF(INDEX(Movimientos!$M$5:$M$2001,MATCH(A762&amp;"ENTRADA",Movimientos!$R$5:$R$2001,0))=0,"S/D",INDEX(Movimientos!$M$5:$M$2001,MATCH(A762&amp;"ENTRADA",Movimientos!$R$5:$R$2001,0))),"S/D")</f>
        <v>S/D</v>
      </c>
      <c r="I762" s="16" t="str">
        <f t="shared" ca="1" si="24"/>
        <v>S/D</v>
      </c>
      <c r="J762" s="6">
        <f>IF(A762="","",SUMIFS(Movimientos!$K:$K,Movimientos!$H:$H,A762))</f>
        <v>0</v>
      </c>
      <c r="K762" s="14" t="str">
        <f t="shared" ca="1" si="25"/>
        <v>OK</v>
      </c>
    </row>
    <row r="763" spans="1:11">
      <c r="A763" s="18" t="s">
        <v>2836</v>
      </c>
      <c r="B763" s="3" t="str">
        <f>IFERROR(INDEX(Movimientos!$C$5:$C$2001,MATCH(A763&amp;"ENTRADA",Movimientos!$R$5:$R$2001,0)),"-")</f>
        <v>-</v>
      </c>
      <c r="C763" s="3" t="str">
        <f>IFERROR(INDEX(Movimientos!$D$5:$D$2001,MATCH(A763&amp;"ENTRADA",Movimientos!$R$5:$R$2001,0)),"-")</f>
        <v>-</v>
      </c>
      <c r="D763" s="3" t="str">
        <f>IFERROR(INDEX(Movimientos!$E$5:$E$2001,MATCH(A763&amp;"ENTRADA",Movimientos!$R$5:$R$2001,0)),"-")</f>
        <v>-</v>
      </c>
      <c r="E763" s="3" t="str">
        <f>IFERROR(INDEX(Movimientos!$F$5:$F$2001,MATCH(A763&amp;"ENTRADA",Movimientos!$R$5:$R$2001,0)),"-")</f>
        <v>-</v>
      </c>
      <c r="F763" s="3" t="str">
        <f>IFERROR(INDEX(Movimientos!$G$5:$G$2001,MATCH(A763&amp;"ENTRADA",Movimientos!$R$5:$R$2001,0)),"-")</f>
        <v>-</v>
      </c>
      <c r="G763" s="3" t="str">
        <f>IFERROR(INDEX(Movimientos!$L$5:$L$2001,MATCH(A763&amp;"ENTRADA",Movimientos!$R$5:$R$2001,0)),"-")</f>
        <v>-</v>
      </c>
      <c r="H763" s="19" t="str">
        <f>IFERROR(IF(INDEX(Movimientos!$M$5:$M$2001,MATCH(A763&amp;"ENTRADA",Movimientos!$R$5:$R$2001,0))=0,"S/D",INDEX(Movimientos!$M$5:$M$2001,MATCH(A763&amp;"ENTRADA",Movimientos!$R$5:$R$2001,0))),"S/D")</f>
        <v>S/D</v>
      </c>
      <c r="I763" s="16" t="str">
        <f t="shared" ca="1" si="24"/>
        <v>S/D</v>
      </c>
      <c r="J763" s="6">
        <f>IF(A763="","",SUMIFS(Movimientos!$K:$K,Movimientos!$H:$H,A763))</f>
        <v>0</v>
      </c>
      <c r="K763" s="14" t="str">
        <f t="shared" ca="1" si="25"/>
        <v>OK</v>
      </c>
    </row>
    <row r="764" spans="1:11">
      <c r="A764" s="18" t="s">
        <v>2837</v>
      </c>
      <c r="B764" s="3" t="str">
        <f>IFERROR(INDEX(Movimientos!$C$5:$C$2001,MATCH(A764&amp;"ENTRADA",Movimientos!$R$5:$R$2001,0)),"-")</f>
        <v>-</v>
      </c>
      <c r="C764" s="3" t="str">
        <f>IFERROR(INDEX(Movimientos!$D$5:$D$2001,MATCH(A764&amp;"ENTRADA",Movimientos!$R$5:$R$2001,0)),"-")</f>
        <v>-</v>
      </c>
      <c r="D764" s="3" t="str">
        <f>IFERROR(INDEX(Movimientos!$E$5:$E$2001,MATCH(A764&amp;"ENTRADA",Movimientos!$R$5:$R$2001,0)),"-")</f>
        <v>-</v>
      </c>
      <c r="E764" s="3" t="str">
        <f>IFERROR(INDEX(Movimientos!$F$5:$F$2001,MATCH(A764&amp;"ENTRADA",Movimientos!$R$5:$R$2001,0)),"-")</f>
        <v>-</v>
      </c>
      <c r="F764" s="3" t="str">
        <f>IFERROR(INDEX(Movimientos!$G$5:$G$2001,MATCH(A764&amp;"ENTRADA",Movimientos!$R$5:$R$2001,0)),"-")</f>
        <v>-</v>
      </c>
      <c r="G764" s="3" t="str">
        <f>IFERROR(INDEX(Movimientos!$L$5:$L$2001,MATCH(A764&amp;"ENTRADA",Movimientos!$R$5:$R$2001,0)),"-")</f>
        <v>-</v>
      </c>
      <c r="H764" s="19" t="str">
        <f>IFERROR(IF(INDEX(Movimientos!$M$5:$M$2001,MATCH(A764&amp;"ENTRADA",Movimientos!$R$5:$R$2001,0))=0,"S/D",INDEX(Movimientos!$M$5:$M$2001,MATCH(A764&amp;"ENTRADA",Movimientos!$R$5:$R$2001,0))),"S/D")</f>
        <v>S/D</v>
      </c>
      <c r="I764" s="16" t="str">
        <f t="shared" ca="1" si="24"/>
        <v>S/D</v>
      </c>
      <c r="J764" s="6">
        <f>IF(A764="","",SUMIFS(Movimientos!$K:$K,Movimientos!$H:$H,A764))</f>
        <v>0</v>
      </c>
      <c r="K764" s="14" t="str">
        <f t="shared" ca="1" si="25"/>
        <v>OK</v>
      </c>
    </row>
    <row r="765" spans="1:11">
      <c r="A765" s="18" t="s">
        <v>2838</v>
      </c>
      <c r="B765" s="3" t="str">
        <f>IFERROR(INDEX(Movimientos!$C$5:$C$2001,MATCH(A765&amp;"ENTRADA",Movimientos!$R$5:$R$2001,0)),"-")</f>
        <v>-</v>
      </c>
      <c r="C765" s="3" t="str">
        <f>IFERROR(INDEX(Movimientos!$D$5:$D$2001,MATCH(A765&amp;"ENTRADA",Movimientos!$R$5:$R$2001,0)),"-")</f>
        <v>-</v>
      </c>
      <c r="D765" s="3" t="str">
        <f>IFERROR(INDEX(Movimientos!$E$5:$E$2001,MATCH(A765&amp;"ENTRADA",Movimientos!$R$5:$R$2001,0)),"-")</f>
        <v>-</v>
      </c>
      <c r="E765" s="3" t="str">
        <f>IFERROR(INDEX(Movimientos!$F$5:$F$2001,MATCH(A765&amp;"ENTRADA",Movimientos!$R$5:$R$2001,0)),"-")</f>
        <v>-</v>
      </c>
      <c r="F765" s="3" t="str">
        <f>IFERROR(INDEX(Movimientos!$G$5:$G$2001,MATCH(A765&amp;"ENTRADA",Movimientos!$R$5:$R$2001,0)),"-")</f>
        <v>-</v>
      </c>
      <c r="G765" s="3" t="str">
        <f>IFERROR(INDEX(Movimientos!$L$5:$L$2001,MATCH(A765&amp;"ENTRADA",Movimientos!$R$5:$R$2001,0)),"-")</f>
        <v>-</v>
      </c>
      <c r="H765" s="19" t="str">
        <f>IFERROR(IF(INDEX(Movimientos!$M$5:$M$2001,MATCH(A765&amp;"ENTRADA",Movimientos!$R$5:$R$2001,0))=0,"S/D",INDEX(Movimientos!$M$5:$M$2001,MATCH(A765&amp;"ENTRADA",Movimientos!$R$5:$R$2001,0))),"S/D")</f>
        <v>S/D</v>
      </c>
      <c r="I765" s="16" t="str">
        <f t="shared" ca="1" si="24"/>
        <v>S/D</v>
      </c>
      <c r="J765" s="6">
        <f>IF(A765="","",SUMIFS(Movimientos!$K:$K,Movimientos!$H:$H,A765))</f>
        <v>0</v>
      </c>
      <c r="K765" s="14" t="str">
        <f t="shared" ca="1" si="25"/>
        <v>OK</v>
      </c>
    </row>
    <row r="766" spans="1:11">
      <c r="A766" s="18" t="s">
        <v>2839</v>
      </c>
      <c r="B766" s="3" t="str">
        <f>IFERROR(INDEX(Movimientos!$C$5:$C$2001,MATCH(A766&amp;"ENTRADA",Movimientos!$R$5:$R$2001,0)),"-")</f>
        <v>-</v>
      </c>
      <c r="C766" s="3" t="str">
        <f>IFERROR(INDEX(Movimientos!$D$5:$D$2001,MATCH(A766&amp;"ENTRADA",Movimientos!$R$5:$R$2001,0)),"-")</f>
        <v>-</v>
      </c>
      <c r="D766" s="3" t="str">
        <f>IFERROR(INDEX(Movimientos!$E$5:$E$2001,MATCH(A766&amp;"ENTRADA",Movimientos!$R$5:$R$2001,0)),"-")</f>
        <v>-</v>
      </c>
      <c r="E766" s="3" t="str">
        <f>IFERROR(INDEX(Movimientos!$F$5:$F$2001,MATCH(A766&amp;"ENTRADA",Movimientos!$R$5:$R$2001,0)),"-")</f>
        <v>-</v>
      </c>
      <c r="F766" s="3" t="str">
        <f>IFERROR(INDEX(Movimientos!$G$5:$G$2001,MATCH(A766&amp;"ENTRADA",Movimientos!$R$5:$R$2001,0)),"-")</f>
        <v>-</v>
      </c>
      <c r="G766" s="3" t="str">
        <f>IFERROR(INDEX(Movimientos!$L$5:$L$2001,MATCH(A766&amp;"ENTRADA",Movimientos!$R$5:$R$2001,0)),"-")</f>
        <v>-</v>
      </c>
      <c r="H766" s="19" t="str">
        <f>IFERROR(IF(INDEX(Movimientos!$M$5:$M$2001,MATCH(A766&amp;"ENTRADA",Movimientos!$R$5:$R$2001,0))=0,"S/D",INDEX(Movimientos!$M$5:$M$2001,MATCH(A766&amp;"ENTRADA",Movimientos!$R$5:$R$2001,0))),"S/D")</f>
        <v>S/D</v>
      </c>
      <c r="I766" s="16" t="str">
        <f t="shared" ca="1" si="24"/>
        <v>S/D</v>
      </c>
      <c r="J766" s="6">
        <f>IF(A766="","",SUMIFS(Movimientos!$K:$K,Movimientos!$H:$H,A766))</f>
        <v>0</v>
      </c>
      <c r="K766" s="14" t="str">
        <f t="shared" ca="1" si="25"/>
        <v>OK</v>
      </c>
    </row>
    <row r="767" spans="1:11">
      <c r="A767" s="18" t="s">
        <v>2840</v>
      </c>
      <c r="B767" s="3" t="str">
        <f>IFERROR(INDEX(Movimientos!$C$5:$C$2001,MATCH(A767&amp;"ENTRADA",Movimientos!$R$5:$R$2001,0)),"-")</f>
        <v>-</v>
      </c>
      <c r="C767" s="3" t="str">
        <f>IFERROR(INDEX(Movimientos!$D$5:$D$2001,MATCH(A767&amp;"ENTRADA",Movimientos!$R$5:$R$2001,0)),"-")</f>
        <v>-</v>
      </c>
      <c r="D767" s="3" t="str">
        <f>IFERROR(INDEX(Movimientos!$E$5:$E$2001,MATCH(A767&amp;"ENTRADA",Movimientos!$R$5:$R$2001,0)),"-")</f>
        <v>-</v>
      </c>
      <c r="E767" s="3" t="str">
        <f>IFERROR(INDEX(Movimientos!$F$5:$F$2001,MATCH(A767&amp;"ENTRADA",Movimientos!$R$5:$R$2001,0)),"-")</f>
        <v>-</v>
      </c>
      <c r="F767" s="3" t="str">
        <f>IFERROR(INDEX(Movimientos!$G$5:$G$2001,MATCH(A767&amp;"ENTRADA",Movimientos!$R$5:$R$2001,0)),"-")</f>
        <v>-</v>
      </c>
      <c r="G767" s="3" t="str">
        <f>IFERROR(INDEX(Movimientos!$L$5:$L$2001,MATCH(A767&amp;"ENTRADA",Movimientos!$R$5:$R$2001,0)),"-")</f>
        <v>-</v>
      </c>
      <c r="H767" s="19" t="str">
        <f>IFERROR(IF(INDEX(Movimientos!$M$5:$M$2001,MATCH(A767&amp;"ENTRADA",Movimientos!$R$5:$R$2001,0))=0,"S/D",INDEX(Movimientos!$M$5:$M$2001,MATCH(A767&amp;"ENTRADA",Movimientos!$R$5:$R$2001,0))),"S/D")</f>
        <v>S/D</v>
      </c>
      <c r="I767" s="16" t="str">
        <f t="shared" ca="1" si="24"/>
        <v>S/D</v>
      </c>
      <c r="J767" s="6">
        <f>IF(A767="","",SUMIFS(Movimientos!$K:$K,Movimientos!$H:$H,A767))</f>
        <v>0</v>
      </c>
      <c r="K767" s="14" t="str">
        <f t="shared" ca="1" si="25"/>
        <v>OK</v>
      </c>
    </row>
    <row r="768" spans="1:11">
      <c r="A768" s="18" t="s">
        <v>2841</v>
      </c>
      <c r="B768" s="3" t="str">
        <f>IFERROR(INDEX(Movimientos!$C$5:$C$2001,MATCH(A768&amp;"ENTRADA",Movimientos!$R$5:$R$2001,0)),"-")</f>
        <v>-</v>
      </c>
      <c r="C768" s="3" t="str">
        <f>IFERROR(INDEX(Movimientos!$D$5:$D$2001,MATCH(A768&amp;"ENTRADA",Movimientos!$R$5:$R$2001,0)),"-")</f>
        <v>-</v>
      </c>
      <c r="D768" s="3" t="str">
        <f>IFERROR(INDEX(Movimientos!$E$5:$E$2001,MATCH(A768&amp;"ENTRADA",Movimientos!$R$5:$R$2001,0)),"-")</f>
        <v>-</v>
      </c>
      <c r="E768" s="3" t="str">
        <f>IFERROR(INDEX(Movimientos!$F$5:$F$2001,MATCH(A768&amp;"ENTRADA",Movimientos!$R$5:$R$2001,0)),"-")</f>
        <v>-</v>
      </c>
      <c r="F768" s="3" t="str">
        <f>IFERROR(INDEX(Movimientos!$G$5:$G$2001,MATCH(A768&amp;"ENTRADA",Movimientos!$R$5:$R$2001,0)),"-")</f>
        <v>-</v>
      </c>
      <c r="G768" s="3" t="str">
        <f>IFERROR(INDEX(Movimientos!$L$5:$L$2001,MATCH(A768&amp;"ENTRADA",Movimientos!$R$5:$R$2001,0)),"-")</f>
        <v>-</v>
      </c>
      <c r="H768" s="19" t="str">
        <f>IFERROR(IF(INDEX(Movimientos!$M$5:$M$2001,MATCH(A768&amp;"ENTRADA",Movimientos!$R$5:$R$2001,0))=0,"S/D",INDEX(Movimientos!$M$5:$M$2001,MATCH(A768&amp;"ENTRADA",Movimientos!$R$5:$R$2001,0))),"S/D")</f>
        <v>S/D</v>
      </c>
      <c r="I768" s="16" t="str">
        <f t="shared" ca="1" si="24"/>
        <v>S/D</v>
      </c>
      <c r="J768" s="6">
        <f>IF(A768="","",SUMIFS(Movimientos!$K:$K,Movimientos!$H:$H,A768))</f>
        <v>0</v>
      </c>
      <c r="K768" s="14" t="str">
        <f t="shared" ca="1" si="25"/>
        <v>OK</v>
      </c>
    </row>
    <row r="769" spans="1:11">
      <c r="A769" s="18" t="s">
        <v>2842</v>
      </c>
      <c r="B769" s="3" t="str">
        <f>IFERROR(INDEX(Movimientos!$C$5:$C$2001,MATCH(A769&amp;"ENTRADA",Movimientos!$R$5:$R$2001,0)),"-")</f>
        <v>-</v>
      </c>
      <c r="C769" s="3" t="str">
        <f>IFERROR(INDEX(Movimientos!$D$5:$D$2001,MATCH(A769&amp;"ENTRADA",Movimientos!$R$5:$R$2001,0)),"-")</f>
        <v>-</v>
      </c>
      <c r="D769" s="3" t="str">
        <f>IFERROR(INDEX(Movimientos!$E$5:$E$2001,MATCH(A769&amp;"ENTRADA",Movimientos!$R$5:$R$2001,0)),"-")</f>
        <v>-</v>
      </c>
      <c r="E769" s="3" t="str">
        <f>IFERROR(INDEX(Movimientos!$F$5:$F$2001,MATCH(A769&amp;"ENTRADA",Movimientos!$R$5:$R$2001,0)),"-")</f>
        <v>-</v>
      </c>
      <c r="F769" s="3" t="str">
        <f>IFERROR(INDEX(Movimientos!$G$5:$G$2001,MATCH(A769&amp;"ENTRADA",Movimientos!$R$5:$R$2001,0)),"-")</f>
        <v>-</v>
      </c>
      <c r="G769" s="3" t="str">
        <f>IFERROR(INDEX(Movimientos!$L$5:$L$2001,MATCH(A769&amp;"ENTRADA",Movimientos!$R$5:$R$2001,0)),"-")</f>
        <v>-</v>
      </c>
      <c r="H769" s="19" t="str">
        <f>IFERROR(IF(INDEX(Movimientos!$M$5:$M$2001,MATCH(A769&amp;"ENTRADA",Movimientos!$R$5:$R$2001,0))=0,"S/D",INDEX(Movimientos!$M$5:$M$2001,MATCH(A769&amp;"ENTRADA",Movimientos!$R$5:$R$2001,0))),"S/D")</f>
        <v>S/D</v>
      </c>
      <c r="I769" s="16" t="str">
        <f t="shared" ca="1" si="24"/>
        <v>S/D</v>
      </c>
      <c r="J769" s="6">
        <f>IF(A769="","",SUMIFS(Movimientos!$K:$K,Movimientos!$H:$H,A769))</f>
        <v>0</v>
      </c>
      <c r="K769" s="14" t="str">
        <f t="shared" ca="1" si="25"/>
        <v>OK</v>
      </c>
    </row>
    <row r="770" spans="1:11">
      <c r="A770" s="18" t="s">
        <v>2843</v>
      </c>
      <c r="B770" s="3" t="str">
        <f>IFERROR(INDEX(Movimientos!$C$5:$C$2001,MATCH(A770&amp;"ENTRADA",Movimientos!$R$5:$R$2001,0)),"-")</f>
        <v>-</v>
      </c>
      <c r="C770" s="3" t="str">
        <f>IFERROR(INDEX(Movimientos!$D$5:$D$2001,MATCH(A770&amp;"ENTRADA",Movimientos!$R$5:$R$2001,0)),"-")</f>
        <v>-</v>
      </c>
      <c r="D770" s="3" t="str">
        <f>IFERROR(INDEX(Movimientos!$E$5:$E$2001,MATCH(A770&amp;"ENTRADA",Movimientos!$R$5:$R$2001,0)),"-")</f>
        <v>-</v>
      </c>
      <c r="E770" s="3" t="str">
        <f>IFERROR(INDEX(Movimientos!$F$5:$F$2001,MATCH(A770&amp;"ENTRADA",Movimientos!$R$5:$R$2001,0)),"-")</f>
        <v>-</v>
      </c>
      <c r="F770" s="3" t="str">
        <f>IFERROR(INDEX(Movimientos!$G$5:$G$2001,MATCH(A770&amp;"ENTRADA",Movimientos!$R$5:$R$2001,0)),"-")</f>
        <v>-</v>
      </c>
      <c r="G770" s="3" t="str">
        <f>IFERROR(INDEX(Movimientos!$L$5:$L$2001,MATCH(A770&amp;"ENTRADA",Movimientos!$R$5:$R$2001,0)),"-")</f>
        <v>-</v>
      </c>
      <c r="H770" s="19" t="str">
        <f>IFERROR(IF(INDEX(Movimientos!$M$5:$M$2001,MATCH(A770&amp;"ENTRADA",Movimientos!$R$5:$R$2001,0))=0,"S/D",INDEX(Movimientos!$M$5:$M$2001,MATCH(A770&amp;"ENTRADA",Movimientos!$R$5:$R$2001,0))),"S/D")</f>
        <v>S/D</v>
      </c>
      <c r="I770" s="16" t="str">
        <f t="shared" ca="1" si="24"/>
        <v>S/D</v>
      </c>
      <c r="J770" s="6">
        <f>IF(A770="","",SUMIFS(Movimientos!$K:$K,Movimientos!$H:$H,A770))</f>
        <v>0</v>
      </c>
      <c r="K770" s="14" t="str">
        <f t="shared" ca="1" si="25"/>
        <v>OK</v>
      </c>
    </row>
    <row r="771" spans="1:11">
      <c r="A771" s="18" t="s">
        <v>2844</v>
      </c>
      <c r="B771" s="3" t="str">
        <f>IFERROR(INDEX(Movimientos!$C$5:$C$2001,MATCH(A771&amp;"ENTRADA",Movimientos!$R$5:$R$2001,0)),"-")</f>
        <v>-</v>
      </c>
      <c r="C771" s="3" t="str">
        <f>IFERROR(INDEX(Movimientos!$D$5:$D$2001,MATCH(A771&amp;"ENTRADA",Movimientos!$R$5:$R$2001,0)),"-")</f>
        <v>-</v>
      </c>
      <c r="D771" s="3" t="str">
        <f>IFERROR(INDEX(Movimientos!$E$5:$E$2001,MATCH(A771&amp;"ENTRADA",Movimientos!$R$5:$R$2001,0)),"-")</f>
        <v>-</v>
      </c>
      <c r="E771" s="3" t="str">
        <f>IFERROR(INDEX(Movimientos!$F$5:$F$2001,MATCH(A771&amp;"ENTRADA",Movimientos!$R$5:$R$2001,0)),"-")</f>
        <v>-</v>
      </c>
      <c r="F771" s="3" t="str">
        <f>IFERROR(INDEX(Movimientos!$G$5:$G$2001,MATCH(A771&amp;"ENTRADA",Movimientos!$R$5:$R$2001,0)),"-")</f>
        <v>-</v>
      </c>
      <c r="G771" s="3" t="str">
        <f>IFERROR(INDEX(Movimientos!$L$5:$L$2001,MATCH(A771&amp;"ENTRADA",Movimientos!$R$5:$R$2001,0)),"-")</f>
        <v>-</v>
      </c>
      <c r="H771" s="19" t="str">
        <f>IFERROR(IF(INDEX(Movimientos!$M$5:$M$2001,MATCH(A771&amp;"ENTRADA",Movimientos!$R$5:$R$2001,0))=0,"S/D",INDEX(Movimientos!$M$5:$M$2001,MATCH(A771&amp;"ENTRADA",Movimientos!$R$5:$R$2001,0))),"S/D")</f>
        <v>S/D</v>
      </c>
      <c r="I771" s="16" t="str">
        <f t="shared" ca="1" si="24"/>
        <v>S/D</v>
      </c>
      <c r="J771" s="6">
        <f>IF(A771="","",SUMIFS(Movimientos!$K:$K,Movimientos!$H:$H,A771))</f>
        <v>0</v>
      </c>
      <c r="K771" s="14" t="str">
        <f t="shared" ca="1" si="25"/>
        <v>OK</v>
      </c>
    </row>
    <row r="772" spans="1:11">
      <c r="A772" s="18" t="s">
        <v>2845</v>
      </c>
      <c r="B772" s="3" t="str">
        <f>IFERROR(INDEX(Movimientos!$C$5:$C$2001,MATCH(A772&amp;"ENTRADA",Movimientos!$R$5:$R$2001,0)),"-")</f>
        <v>-</v>
      </c>
      <c r="C772" s="3" t="str">
        <f>IFERROR(INDEX(Movimientos!$D$5:$D$2001,MATCH(A772&amp;"ENTRADA",Movimientos!$R$5:$R$2001,0)),"-")</f>
        <v>-</v>
      </c>
      <c r="D772" s="3" t="str">
        <f>IFERROR(INDEX(Movimientos!$E$5:$E$2001,MATCH(A772&amp;"ENTRADA",Movimientos!$R$5:$R$2001,0)),"-")</f>
        <v>-</v>
      </c>
      <c r="E772" s="3" t="str">
        <f>IFERROR(INDEX(Movimientos!$F$5:$F$2001,MATCH(A772&amp;"ENTRADA",Movimientos!$R$5:$R$2001,0)),"-")</f>
        <v>-</v>
      </c>
      <c r="F772" s="3" t="str">
        <f>IFERROR(INDEX(Movimientos!$G$5:$G$2001,MATCH(A772&amp;"ENTRADA",Movimientos!$R$5:$R$2001,0)),"-")</f>
        <v>-</v>
      </c>
      <c r="G772" s="3" t="str">
        <f>IFERROR(INDEX(Movimientos!$L$5:$L$2001,MATCH(A772&amp;"ENTRADA",Movimientos!$R$5:$R$2001,0)),"-")</f>
        <v>-</v>
      </c>
      <c r="H772" s="19" t="str">
        <f>IFERROR(IF(INDEX(Movimientos!$M$5:$M$2001,MATCH(A772&amp;"ENTRADA",Movimientos!$R$5:$R$2001,0))=0,"S/D",INDEX(Movimientos!$M$5:$M$2001,MATCH(A772&amp;"ENTRADA",Movimientos!$R$5:$R$2001,0))),"S/D")</f>
        <v>S/D</v>
      </c>
      <c r="I772" s="16" t="str">
        <f t="shared" ca="1" si="24"/>
        <v>S/D</v>
      </c>
      <c r="J772" s="6">
        <f>IF(A772="","",SUMIFS(Movimientos!$K:$K,Movimientos!$H:$H,A772))</f>
        <v>0</v>
      </c>
      <c r="K772" s="14" t="str">
        <f t="shared" ca="1" si="25"/>
        <v>OK</v>
      </c>
    </row>
    <row r="773" spans="1:11">
      <c r="A773" s="18" t="s">
        <v>2846</v>
      </c>
      <c r="B773" s="3" t="str">
        <f>IFERROR(INDEX(Movimientos!$C$5:$C$2001,MATCH(A773&amp;"ENTRADA",Movimientos!$R$5:$R$2001,0)),"-")</f>
        <v>-</v>
      </c>
      <c r="C773" s="3" t="str">
        <f>IFERROR(INDEX(Movimientos!$D$5:$D$2001,MATCH(A773&amp;"ENTRADA",Movimientos!$R$5:$R$2001,0)),"-")</f>
        <v>-</v>
      </c>
      <c r="D773" s="3" t="str">
        <f>IFERROR(INDEX(Movimientos!$E$5:$E$2001,MATCH(A773&amp;"ENTRADA",Movimientos!$R$5:$R$2001,0)),"-")</f>
        <v>-</v>
      </c>
      <c r="E773" s="3" t="str">
        <f>IFERROR(INDEX(Movimientos!$F$5:$F$2001,MATCH(A773&amp;"ENTRADA",Movimientos!$R$5:$R$2001,0)),"-")</f>
        <v>-</v>
      </c>
      <c r="F773" s="3" t="str">
        <f>IFERROR(INDEX(Movimientos!$G$5:$G$2001,MATCH(A773&amp;"ENTRADA",Movimientos!$R$5:$R$2001,0)),"-")</f>
        <v>-</v>
      </c>
      <c r="G773" s="3" t="str">
        <f>IFERROR(INDEX(Movimientos!$L$5:$L$2001,MATCH(A773&amp;"ENTRADA",Movimientos!$R$5:$R$2001,0)),"-")</f>
        <v>-</v>
      </c>
      <c r="H773" s="19" t="str">
        <f>IFERROR(IF(INDEX(Movimientos!$M$5:$M$2001,MATCH(A773&amp;"ENTRADA",Movimientos!$R$5:$R$2001,0))=0,"S/D",INDEX(Movimientos!$M$5:$M$2001,MATCH(A773&amp;"ENTRADA",Movimientos!$R$5:$R$2001,0))),"S/D")</f>
        <v>S/D</v>
      </c>
      <c r="I773" s="16" t="str">
        <f t="shared" ca="1" si="24"/>
        <v>S/D</v>
      </c>
      <c r="J773" s="6">
        <f>IF(A773="","",SUMIFS(Movimientos!$K:$K,Movimientos!$H:$H,A773))</f>
        <v>0</v>
      </c>
      <c r="K773" s="14" t="str">
        <f t="shared" ca="1" si="25"/>
        <v>OK</v>
      </c>
    </row>
    <row r="774" spans="1:11">
      <c r="A774" s="18" t="s">
        <v>2847</v>
      </c>
      <c r="B774" s="3" t="str">
        <f>IFERROR(INDEX(Movimientos!$C$5:$C$2001,MATCH(A774&amp;"ENTRADA",Movimientos!$R$5:$R$2001,0)),"-")</f>
        <v>-</v>
      </c>
      <c r="C774" s="3" t="str">
        <f>IFERROR(INDEX(Movimientos!$D$5:$D$2001,MATCH(A774&amp;"ENTRADA",Movimientos!$R$5:$R$2001,0)),"-")</f>
        <v>-</v>
      </c>
      <c r="D774" s="3" t="str">
        <f>IFERROR(INDEX(Movimientos!$E$5:$E$2001,MATCH(A774&amp;"ENTRADA",Movimientos!$R$5:$R$2001,0)),"-")</f>
        <v>-</v>
      </c>
      <c r="E774" s="3" t="str">
        <f>IFERROR(INDEX(Movimientos!$F$5:$F$2001,MATCH(A774&amp;"ENTRADA",Movimientos!$R$5:$R$2001,0)),"-")</f>
        <v>-</v>
      </c>
      <c r="F774" s="3" t="str">
        <f>IFERROR(INDEX(Movimientos!$G$5:$G$2001,MATCH(A774&amp;"ENTRADA",Movimientos!$R$5:$R$2001,0)),"-")</f>
        <v>-</v>
      </c>
      <c r="G774" s="3" t="str">
        <f>IFERROR(INDEX(Movimientos!$L$5:$L$2001,MATCH(A774&amp;"ENTRADA",Movimientos!$R$5:$R$2001,0)),"-")</f>
        <v>-</v>
      </c>
      <c r="H774" s="19" t="str">
        <f>IFERROR(IF(INDEX(Movimientos!$M$5:$M$2001,MATCH(A774&amp;"ENTRADA",Movimientos!$R$5:$R$2001,0))=0,"S/D",INDEX(Movimientos!$M$5:$M$2001,MATCH(A774&amp;"ENTRADA",Movimientos!$R$5:$R$2001,0))),"S/D")</f>
        <v>S/D</v>
      </c>
      <c r="I774" s="16" t="str">
        <f t="shared" ca="1" si="24"/>
        <v>S/D</v>
      </c>
      <c r="J774" s="6">
        <f>IF(A774="","",SUMIFS(Movimientos!$K:$K,Movimientos!$H:$H,A774))</f>
        <v>0</v>
      </c>
      <c r="K774" s="14" t="str">
        <f t="shared" ca="1" si="25"/>
        <v>OK</v>
      </c>
    </row>
    <row r="775" spans="1:11">
      <c r="A775" s="18" t="s">
        <v>2848</v>
      </c>
      <c r="B775" s="3" t="str">
        <f>IFERROR(INDEX(Movimientos!$C$5:$C$2001,MATCH(A775&amp;"ENTRADA",Movimientos!$R$5:$R$2001,0)),"-")</f>
        <v>-</v>
      </c>
      <c r="C775" s="3" t="str">
        <f>IFERROR(INDEX(Movimientos!$D$5:$D$2001,MATCH(A775&amp;"ENTRADA",Movimientos!$R$5:$R$2001,0)),"-")</f>
        <v>-</v>
      </c>
      <c r="D775" s="3" t="str">
        <f>IFERROR(INDEX(Movimientos!$E$5:$E$2001,MATCH(A775&amp;"ENTRADA",Movimientos!$R$5:$R$2001,0)),"-")</f>
        <v>-</v>
      </c>
      <c r="E775" s="3" t="str">
        <f>IFERROR(INDEX(Movimientos!$F$5:$F$2001,MATCH(A775&amp;"ENTRADA",Movimientos!$R$5:$R$2001,0)),"-")</f>
        <v>-</v>
      </c>
      <c r="F775" s="3" t="str">
        <f>IFERROR(INDEX(Movimientos!$G$5:$G$2001,MATCH(A775&amp;"ENTRADA",Movimientos!$R$5:$R$2001,0)),"-")</f>
        <v>-</v>
      </c>
      <c r="G775" s="3" t="str">
        <f>IFERROR(INDEX(Movimientos!$L$5:$L$2001,MATCH(A775&amp;"ENTRADA",Movimientos!$R$5:$R$2001,0)),"-")</f>
        <v>-</v>
      </c>
      <c r="H775" s="19" t="str">
        <f>IFERROR(IF(INDEX(Movimientos!$M$5:$M$2001,MATCH(A775&amp;"ENTRADA",Movimientos!$R$5:$R$2001,0))=0,"S/D",INDEX(Movimientos!$M$5:$M$2001,MATCH(A775&amp;"ENTRADA",Movimientos!$R$5:$R$2001,0))),"S/D")</f>
        <v>S/D</v>
      </c>
      <c r="I775" s="16" t="str">
        <f t="shared" ca="1" si="24"/>
        <v>S/D</v>
      </c>
      <c r="J775" s="6">
        <f>IF(A775="","",SUMIFS(Movimientos!$K:$K,Movimientos!$H:$H,A775))</f>
        <v>0</v>
      </c>
      <c r="K775" s="14" t="str">
        <f t="shared" ca="1" si="25"/>
        <v>OK</v>
      </c>
    </row>
    <row r="776" spans="1:11">
      <c r="A776" s="18" t="s">
        <v>2849</v>
      </c>
      <c r="B776" s="3" t="str">
        <f>IFERROR(INDEX(Movimientos!$C$5:$C$2001,MATCH(A776&amp;"ENTRADA",Movimientos!$R$5:$R$2001,0)),"-")</f>
        <v>-</v>
      </c>
      <c r="C776" s="3" t="str">
        <f>IFERROR(INDEX(Movimientos!$D$5:$D$2001,MATCH(A776&amp;"ENTRADA",Movimientos!$R$5:$R$2001,0)),"-")</f>
        <v>-</v>
      </c>
      <c r="D776" s="3" t="str">
        <f>IFERROR(INDEX(Movimientos!$E$5:$E$2001,MATCH(A776&amp;"ENTRADA",Movimientos!$R$5:$R$2001,0)),"-")</f>
        <v>-</v>
      </c>
      <c r="E776" s="3" t="str">
        <f>IFERROR(INDEX(Movimientos!$F$5:$F$2001,MATCH(A776&amp;"ENTRADA",Movimientos!$R$5:$R$2001,0)),"-")</f>
        <v>-</v>
      </c>
      <c r="F776" s="3" t="str">
        <f>IFERROR(INDEX(Movimientos!$G$5:$G$2001,MATCH(A776&amp;"ENTRADA",Movimientos!$R$5:$R$2001,0)),"-")</f>
        <v>-</v>
      </c>
      <c r="G776" s="3" t="str">
        <f>IFERROR(INDEX(Movimientos!$L$5:$L$2001,MATCH(A776&amp;"ENTRADA",Movimientos!$R$5:$R$2001,0)),"-")</f>
        <v>-</v>
      </c>
      <c r="H776" s="19" t="str">
        <f>IFERROR(IF(INDEX(Movimientos!$M$5:$M$2001,MATCH(A776&amp;"ENTRADA",Movimientos!$R$5:$R$2001,0))=0,"S/D",INDEX(Movimientos!$M$5:$M$2001,MATCH(A776&amp;"ENTRADA",Movimientos!$R$5:$R$2001,0))),"S/D")</f>
        <v>S/D</v>
      </c>
      <c r="I776" s="16" t="str">
        <f t="shared" ca="1" si="24"/>
        <v>S/D</v>
      </c>
      <c r="J776" s="6">
        <f>IF(A776="","",SUMIFS(Movimientos!$K:$K,Movimientos!$H:$H,A776))</f>
        <v>0</v>
      </c>
      <c r="K776" s="14" t="str">
        <f t="shared" ca="1" si="25"/>
        <v>OK</v>
      </c>
    </row>
    <row r="777" spans="1:11">
      <c r="A777" s="18" t="s">
        <v>2850</v>
      </c>
      <c r="B777" s="3" t="str">
        <f>IFERROR(INDEX(Movimientos!$C$5:$C$2001,MATCH(A777&amp;"ENTRADA",Movimientos!$R$5:$R$2001,0)),"-")</f>
        <v>-</v>
      </c>
      <c r="C777" s="3" t="str">
        <f>IFERROR(INDEX(Movimientos!$D$5:$D$2001,MATCH(A777&amp;"ENTRADA",Movimientos!$R$5:$R$2001,0)),"-")</f>
        <v>-</v>
      </c>
      <c r="D777" s="3" t="str">
        <f>IFERROR(INDEX(Movimientos!$E$5:$E$2001,MATCH(A777&amp;"ENTRADA",Movimientos!$R$5:$R$2001,0)),"-")</f>
        <v>-</v>
      </c>
      <c r="E777" s="3" t="str">
        <f>IFERROR(INDEX(Movimientos!$F$5:$F$2001,MATCH(A777&amp;"ENTRADA",Movimientos!$R$5:$R$2001,0)),"-")</f>
        <v>-</v>
      </c>
      <c r="F777" s="3" t="str">
        <f>IFERROR(INDEX(Movimientos!$G$5:$G$2001,MATCH(A777&amp;"ENTRADA",Movimientos!$R$5:$R$2001,0)),"-")</f>
        <v>-</v>
      </c>
      <c r="G777" s="3" t="str">
        <f>IFERROR(INDEX(Movimientos!$L$5:$L$2001,MATCH(A777&amp;"ENTRADA",Movimientos!$R$5:$R$2001,0)),"-")</f>
        <v>-</v>
      </c>
      <c r="H777" s="19" t="str">
        <f>IFERROR(IF(INDEX(Movimientos!$M$5:$M$2001,MATCH(A777&amp;"ENTRADA",Movimientos!$R$5:$R$2001,0))=0,"S/D",INDEX(Movimientos!$M$5:$M$2001,MATCH(A777&amp;"ENTRADA",Movimientos!$R$5:$R$2001,0))),"S/D")</f>
        <v>S/D</v>
      </c>
      <c r="I777" s="16" t="str">
        <f t="shared" ca="1" si="24"/>
        <v>S/D</v>
      </c>
      <c r="J777" s="6">
        <f>IF(A777="","",SUMIFS(Movimientos!$K:$K,Movimientos!$H:$H,A777))</f>
        <v>0</v>
      </c>
      <c r="K777" s="14" t="str">
        <f t="shared" ca="1" si="25"/>
        <v>OK</v>
      </c>
    </row>
    <row r="778" spans="1:11">
      <c r="A778" s="18" t="s">
        <v>2851</v>
      </c>
      <c r="B778" s="3" t="str">
        <f>IFERROR(INDEX(Movimientos!$C$5:$C$2001,MATCH(A778&amp;"ENTRADA",Movimientos!$R$5:$R$2001,0)),"-")</f>
        <v>-</v>
      </c>
      <c r="C778" s="3" t="str">
        <f>IFERROR(INDEX(Movimientos!$D$5:$D$2001,MATCH(A778&amp;"ENTRADA",Movimientos!$R$5:$R$2001,0)),"-")</f>
        <v>-</v>
      </c>
      <c r="D778" s="3" t="str">
        <f>IFERROR(INDEX(Movimientos!$E$5:$E$2001,MATCH(A778&amp;"ENTRADA",Movimientos!$R$5:$R$2001,0)),"-")</f>
        <v>-</v>
      </c>
      <c r="E778" s="3" t="str">
        <f>IFERROR(INDEX(Movimientos!$F$5:$F$2001,MATCH(A778&amp;"ENTRADA",Movimientos!$R$5:$R$2001,0)),"-")</f>
        <v>-</v>
      </c>
      <c r="F778" s="3" t="str">
        <f>IFERROR(INDEX(Movimientos!$G$5:$G$2001,MATCH(A778&amp;"ENTRADA",Movimientos!$R$5:$R$2001,0)),"-")</f>
        <v>-</v>
      </c>
      <c r="G778" s="3" t="str">
        <f>IFERROR(INDEX(Movimientos!$L$5:$L$2001,MATCH(A778&amp;"ENTRADA",Movimientos!$R$5:$R$2001,0)),"-")</f>
        <v>-</v>
      </c>
      <c r="H778" s="19" t="str">
        <f>IFERROR(IF(INDEX(Movimientos!$M$5:$M$2001,MATCH(A778&amp;"ENTRADA",Movimientos!$R$5:$R$2001,0))=0,"S/D",INDEX(Movimientos!$M$5:$M$2001,MATCH(A778&amp;"ENTRADA",Movimientos!$R$5:$R$2001,0))),"S/D")</f>
        <v>S/D</v>
      </c>
      <c r="I778" s="16" t="str">
        <f t="shared" ca="1" si="24"/>
        <v>S/D</v>
      </c>
      <c r="J778" s="6">
        <f>IF(A778="","",SUMIFS(Movimientos!$K:$K,Movimientos!$H:$H,A778))</f>
        <v>0</v>
      </c>
      <c r="K778" s="14" t="str">
        <f t="shared" ca="1" si="25"/>
        <v>OK</v>
      </c>
    </row>
    <row r="779" spans="1:11">
      <c r="A779" s="18" t="s">
        <v>2852</v>
      </c>
      <c r="B779" s="3" t="str">
        <f>IFERROR(INDEX(Movimientos!$C$5:$C$2001,MATCH(A779&amp;"ENTRADA",Movimientos!$R$5:$R$2001,0)),"-")</f>
        <v>-</v>
      </c>
      <c r="C779" s="3" t="str">
        <f>IFERROR(INDEX(Movimientos!$D$5:$D$2001,MATCH(A779&amp;"ENTRADA",Movimientos!$R$5:$R$2001,0)),"-")</f>
        <v>-</v>
      </c>
      <c r="D779" s="3" t="str">
        <f>IFERROR(INDEX(Movimientos!$E$5:$E$2001,MATCH(A779&amp;"ENTRADA",Movimientos!$R$5:$R$2001,0)),"-")</f>
        <v>-</v>
      </c>
      <c r="E779" s="3" t="str">
        <f>IFERROR(INDEX(Movimientos!$F$5:$F$2001,MATCH(A779&amp;"ENTRADA",Movimientos!$R$5:$R$2001,0)),"-")</f>
        <v>-</v>
      </c>
      <c r="F779" s="3" t="str">
        <f>IFERROR(INDEX(Movimientos!$G$5:$G$2001,MATCH(A779&amp;"ENTRADA",Movimientos!$R$5:$R$2001,0)),"-")</f>
        <v>-</v>
      </c>
      <c r="G779" s="3" t="str">
        <f>IFERROR(INDEX(Movimientos!$L$5:$L$2001,MATCH(A779&amp;"ENTRADA",Movimientos!$R$5:$R$2001,0)),"-")</f>
        <v>-</v>
      </c>
      <c r="H779" s="19" t="str">
        <f>IFERROR(IF(INDEX(Movimientos!$M$5:$M$2001,MATCH(A779&amp;"ENTRADA",Movimientos!$R$5:$R$2001,0))=0,"S/D",INDEX(Movimientos!$M$5:$M$2001,MATCH(A779&amp;"ENTRADA",Movimientos!$R$5:$R$2001,0))),"S/D")</f>
        <v>S/D</v>
      </c>
      <c r="I779" s="16" t="str">
        <f t="shared" ref="I779:I842" ca="1" si="26">IF(OR(A779="",H779="S/D"),"S/D",H779-TODAY())</f>
        <v>S/D</v>
      </c>
      <c r="J779" s="6">
        <f>IF(A779="","",SUMIFS(Movimientos!$K:$K,Movimientos!$H:$H,A779))</f>
        <v>0</v>
      </c>
      <c r="K779" s="14" t="str">
        <f t="shared" ref="K779:K842" ca="1" si="27">IF(A779="","",IF(H779="S/D","OK",IF(H779&lt;TODAY(),"VENCIDO",IF(J779&lt;=0,"SIN STOCK",IF(I779&gt;=180,"OK","PRÓXIMO A VENCER")))))</f>
        <v>OK</v>
      </c>
    </row>
    <row r="780" spans="1:11">
      <c r="A780" s="18" t="s">
        <v>2853</v>
      </c>
      <c r="B780" s="3" t="str">
        <f>IFERROR(INDEX(Movimientos!$C$5:$C$2001,MATCH(A780&amp;"ENTRADA",Movimientos!$R$5:$R$2001,0)),"-")</f>
        <v>-</v>
      </c>
      <c r="C780" s="3" t="str">
        <f>IFERROR(INDEX(Movimientos!$D$5:$D$2001,MATCH(A780&amp;"ENTRADA",Movimientos!$R$5:$R$2001,0)),"-")</f>
        <v>-</v>
      </c>
      <c r="D780" s="3" t="str">
        <f>IFERROR(INDEX(Movimientos!$E$5:$E$2001,MATCH(A780&amp;"ENTRADA",Movimientos!$R$5:$R$2001,0)),"-")</f>
        <v>-</v>
      </c>
      <c r="E780" s="3" t="str">
        <f>IFERROR(INDEX(Movimientos!$F$5:$F$2001,MATCH(A780&amp;"ENTRADA",Movimientos!$R$5:$R$2001,0)),"-")</f>
        <v>-</v>
      </c>
      <c r="F780" s="3" t="str">
        <f>IFERROR(INDEX(Movimientos!$G$5:$G$2001,MATCH(A780&amp;"ENTRADA",Movimientos!$R$5:$R$2001,0)),"-")</f>
        <v>-</v>
      </c>
      <c r="G780" s="3" t="str">
        <f>IFERROR(INDEX(Movimientos!$L$5:$L$2001,MATCH(A780&amp;"ENTRADA",Movimientos!$R$5:$R$2001,0)),"-")</f>
        <v>-</v>
      </c>
      <c r="H780" s="19" t="str">
        <f>IFERROR(IF(INDEX(Movimientos!$M$5:$M$2001,MATCH(A780&amp;"ENTRADA",Movimientos!$R$5:$R$2001,0))=0,"S/D",INDEX(Movimientos!$M$5:$M$2001,MATCH(A780&amp;"ENTRADA",Movimientos!$R$5:$R$2001,0))),"S/D")</f>
        <v>S/D</v>
      </c>
      <c r="I780" s="16" t="str">
        <f t="shared" ca="1" si="26"/>
        <v>S/D</v>
      </c>
      <c r="J780" s="6">
        <f>IF(A780="","",SUMIFS(Movimientos!$K:$K,Movimientos!$H:$H,A780))</f>
        <v>0</v>
      </c>
      <c r="K780" s="14" t="str">
        <f t="shared" ca="1" si="27"/>
        <v>OK</v>
      </c>
    </row>
    <row r="781" spans="1:11">
      <c r="A781" s="18" t="s">
        <v>2854</v>
      </c>
      <c r="B781" s="3" t="str">
        <f>IFERROR(INDEX(Movimientos!$C$5:$C$2001,MATCH(A781&amp;"ENTRADA",Movimientos!$R$5:$R$2001,0)),"-")</f>
        <v>-</v>
      </c>
      <c r="C781" s="3" t="str">
        <f>IFERROR(INDEX(Movimientos!$D$5:$D$2001,MATCH(A781&amp;"ENTRADA",Movimientos!$R$5:$R$2001,0)),"-")</f>
        <v>-</v>
      </c>
      <c r="D781" s="3" t="str">
        <f>IFERROR(INDEX(Movimientos!$E$5:$E$2001,MATCH(A781&amp;"ENTRADA",Movimientos!$R$5:$R$2001,0)),"-")</f>
        <v>-</v>
      </c>
      <c r="E781" s="3" t="str">
        <f>IFERROR(INDEX(Movimientos!$F$5:$F$2001,MATCH(A781&amp;"ENTRADA",Movimientos!$R$5:$R$2001,0)),"-")</f>
        <v>-</v>
      </c>
      <c r="F781" s="3" t="str">
        <f>IFERROR(INDEX(Movimientos!$G$5:$G$2001,MATCH(A781&amp;"ENTRADA",Movimientos!$R$5:$R$2001,0)),"-")</f>
        <v>-</v>
      </c>
      <c r="G781" s="3" t="str">
        <f>IFERROR(INDEX(Movimientos!$L$5:$L$2001,MATCH(A781&amp;"ENTRADA",Movimientos!$R$5:$R$2001,0)),"-")</f>
        <v>-</v>
      </c>
      <c r="H781" s="19" t="str">
        <f>IFERROR(IF(INDEX(Movimientos!$M$5:$M$2001,MATCH(A781&amp;"ENTRADA",Movimientos!$R$5:$R$2001,0))=0,"S/D",INDEX(Movimientos!$M$5:$M$2001,MATCH(A781&amp;"ENTRADA",Movimientos!$R$5:$R$2001,0))),"S/D")</f>
        <v>S/D</v>
      </c>
      <c r="I781" s="16" t="str">
        <f t="shared" ca="1" si="26"/>
        <v>S/D</v>
      </c>
      <c r="J781" s="6">
        <f>IF(A781="","",SUMIFS(Movimientos!$K:$K,Movimientos!$H:$H,A781))</f>
        <v>0</v>
      </c>
      <c r="K781" s="14" t="str">
        <f t="shared" ca="1" si="27"/>
        <v>OK</v>
      </c>
    </row>
    <row r="782" spans="1:11">
      <c r="A782" s="18" t="s">
        <v>2855</v>
      </c>
      <c r="B782" s="3" t="str">
        <f>IFERROR(INDEX(Movimientos!$C$5:$C$2001,MATCH(A782&amp;"ENTRADA",Movimientos!$R$5:$R$2001,0)),"-")</f>
        <v>-</v>
      </c>
      <c r="C782" s="3" t="str">
        <f>IFERROR(INDEX(Movimientos!$D$5:$D$2001,MATCH(A782&amp;"ENTRADA",Movimientos!$R$5:$R$2001,0)),"-")</f>
        <v>-</v>
      </c>
      <c r="D782" s="3" t="str">
        <f>IFERROR(INDEX(Movimientos!$E$5:$E$2001,MATCH(A782&amp;"ENTRADA",Movimientos!$R$5:$R$2001,0)),"-")</f>
        <v>-</v>
      </c>
      <c r="E782" s="3" t="str">
        <f>IFERROR(INDEX(Movimientos!$F$5:$F$2001,MATCH(A782&amp;"ENTRADA",Movimientos!$R$5:$R$2001,0)),"-")</f>
        <v>-</v>
      </c>
      <c r="F782" s="3" t="str">
        <f>IFERROR(INDEX(Movimientos!$G$5:$G$2001,MATCH(A782&amp;"ENTRADA",Movimientos!$R$5:$R$2001,0)),"-")</f>
        <v>-</v>
      </c>
      <c r="G782" s="3" t="str">
        <f>IFERROR(INDEX(Movimientos!$L$5:$L$2001,MATCH(A782&amp;"ENTRADA",Movimientos!$R$5:$R$2001,0)),"-")</f>
        <v>-</v>
      </c>
      <c r="H782" s="19" t="str">
        <f>IFERROR(IF(INDEX(Movimientos!$M$5:$M$2001,MATCH(A782&amp;"ENTRADA",Movimientos!$R$5:$R$2001,0))=0,"S/D",INDEX(Movimientos!$M$5:$M$2001,MATCH(A782&amp;"ENTRADA",Movimientos!$R$5:$R$2001,0))),"S/D")</f>
        <v>S/D</v>
      </c>
      <c r="I782" s="16" t="str">
        <f t="shared" ca="1" si="26"/>
        <v>S/D</v>
      </c>
      <c r="J782" s="6">
        <f>IF(A782="","",SUMIFS(Movimientos!$K:$K,Movimientos!$H:$H,A782))</f>
        <v>0</v>
      </c>
      <c r="K782" s="14" t="str">
        <f t="shared" ca="1" si="27"/>
        <v>OK</v>
      </c>
    </row>
    <row r="783" spans="1:11">
      <c r="A783" s="18" t="s">
        <v>2856</v>
      </c>
      <c r="B783" s="3" t="str">
        <f>IFERROR(INDEX(Movimientos!$C$5:$C$2001,MATCH(A783&amp;"ENTRADA",Movimientos!$R$5:$R$2001,0)),"-")</f>
        <v>-</v>
      </c>
      <c r="C783" s="3" t="str">
        <f>IFERROR(INDEX(Movimientos!$D$5:$D$2001,MATCH(A783&amp;"ENTRADA",Movimientos!$R$5:$R$2001,0)),"-")</f>
        <v>-</v>
      </c>
      <c r="D783" s="3" t="str">
        <f>IFERROR(INDEX(Movimientos!$E$5:$E$2001,MATCH(A783&amp;"ENTRADA",Movimientos!$R$5:$R$2001,0)),"-")</f>
        <v>-</v>
      </c>
      <c r="E783" s="3" t="str">
        <f>IFERROR(INDEX(Movimientos!$F$5:$F$2001,MATCH(A783&amp;"ENTRADA",Movimientos!$R$5:$R$2001,0)),"-")</f>
        <v>-</v>
      </c>
      <c r="F783" s="3" t="str">
        <f>IFERROR(INDEX(Movimientos!$G$5:$G$2001,MATCH(A783&amp;"ENTRADA",Movimientos!$R$5:$R$2001,0)),"-")</f>
        <v>-</v>
      </c>
      <c r="G783" s="3" t="str">
        <f>IFERROR(INDEX(Movimientos!$L$5:$L$2001,MATCH(A783&amp;"ENTRADA",Movimientos!$R$5:$R$2001,0)),"-")</f>
        <v>-</v>
      </c>
      <c r="H783" s="19" t="str">
        <f>IFERROR(IF(INDEX(Movimientos!$M$5:$M$2001,MATCH(A783&amp;"ENTRADA",Movimientos!$R$5:$R$2001,0))=0,"S/D",INDEX(Movimientos!$M$5:$M$2001,MATCH(A783&amp;"ENTRADA",Movimientos!$R$5:$R$2001,0))),"S/D")</f>
        <v>S/D</v>
      </c>
      <c r="I783" s="16" t="str">
        <f t="shared" ca="1" si="26"/>
        <v>S/D</v>
      </c>
      <c r="J783" s="6">
        <f>IF(A783="","",SUMIFS(Movimientos!$K:$K,Movimientos!$H:$H,A783))</f>
        <v>0</v>
      </c>
      <c r="K783" s="14" t="str">
        <f t="shared" ca="1" si="27"/>
        <v>OK</v>
      </c>
    </row>
    <row r="784" spans="1:11">
      <c r="A784" s="18" t="s">
        <v>2857</v>
      </c>
      <c r="B784" s="3" t="str">
        <f>IFERROR(INDEX(Movimientos!$C$5:$C$2001,MATCH(A784&amp;"ENTRADA",Movimientos!$R$5:$R$2001,0)),"-")</f>
        <v>-</v>
      </c>
      <c r="C784" s="3" t="str">
        <f>IFERROR(INDEX(Movimientos!$D$5:$D$2001,MATCH(A784&amp;"ENTRADA",Movimientos!$R$5:$R$2001,0)),"-")</f>
        <v>-</v>
      </c>
      <c r="D784" s="3" t="str">
        <f>IFERROR(INDEX(Movimientos!$E$5:$E$2001,MATCH(A784&amp;"ENTRADA",Movimientos!$R$5:$R$2001,0)),"-")</f>
        <v>-</v>
      </c>
      <c r="E784" s="3" t="str">
        <f>IFERROR(INDEX(Movimientos!$F$5:$F$2001,MATCH(A784&amp;"ENTRADA",Movimientos!$R$5:$R$2001,0)),"-")</f>
        <v>-</v>
      </c>
      <c r="F784" s="3" t="str">
        <f>IFERROR(INDEX(Movimientos!$G$5:$G$2001,MATCH(A784&amp;"ENTRADA",Movimientos!$R$5:$R$2001,0)),"-")</f>
        <v>-</v>
      </c>
      <c r="G784" s="3" t="str">
        <f>IFERROR(INDEX(Movimientos!$L$5:$L$2001,MATCH(A784&amp;"ENTRADA",Movimientos!$R$5:$R$2001,0)),"-")</f>
        <v>-</v>
      </c>
      <c r="H784" s="19" t="str">
        <f>IFERROR(IF(INDEX(Movimientos!$M$5:$M$2001,MATCH(A784&amp;"ENTRADA",Movimientos!$R$5:$R$2001,0))=0,"S/D",INDEX(Movimientos!$M$5:$M$2001,MATCH(A784&amp;"ENTRADA",Movimientos!$R$5:$R$2001,0))),"S/D")</f>
        <v>S/D</v>
      </c>
      <c r="I784" s="16" t="str">
        <f t="shared" ca="1" si="26"/>
        <v>S/D</v>
      </c>
      <c r="J784" s="6">
        <f>IF(A784="","",SUMIFS(Movimientos!$K:$K,Movimientos!$H:$H,A784))</f>
        <v>0</v>
      </c>
      <c r="K784" s="14" t="str">
        <f t="shared" ca="1" si="27"/>
        <v>OK</v>
      </c>
    </row>
    <row r="785" spans="1:11">
      <c r="A785" s="18" t="s">
        <v>2858</v>
      </c>
      <c r="B785" s="3" t="str">
        <f>IFERROR(INDEX(Movimientos!$C$5:$C$2001,MATCH(A785&amp;"ENTRADA",Movimientos!$R$5:$R$2001,0)),"-")</f>
        <v>-</v>
      </c>
      <c r="C785" s="3" t="str">
        <f>IFERROR(INDEX(Movimientos!$D$5:$D$2001,MATCH(A785&amp;"ENTRADA",Movimientos!$R$5:$R$2001,0)),"-")</f>
        <v>-</v>
      </c>
      <c r="D785" s="3" t="str">
        <f>IFERROR(INDEX(Movimientos!$E$5:$E$2001,MATCH(A785&amp;"ENTRADA",Movimientos!$R$5:$R$2001,0)),"-")</f>
        <v>-</v>
      </c>
      <c r="E785" s="3" t="str">
        <f>IFERROR(INDEX(Movimientos!$F$5:$F$2001,MATCH(A785&amp;"ENTRADA",Movimientos!$R$5:$R$2001,0)),"-")</f>
        <v>-</v>
      </c>
      <c r="F785" s="3" t="str">
        <f>IFERROR(INDEX(Movimientos!$G$5:$G$2001,MATCH(A785&amp;"ENTRADA",Movimientos!$R$5:$R$2001,0)),"-")</f>
        <v>-</v>
      </c>
      <c r="G785" s="3" t="str">
        <f>IFERROR(INDEX(Movimientos!$L$5:$L$2001,MATCH(A785&amp;"ENTRADA",Movimientos!$R$5:$R$2001,0)),"-")</f>
        <v>-</v>
      </c>
      <c r="H785" s="19" t="str">
        <f>IFERROR(IF(INDEX(Movimientos!$M$5:$M$2001,MATCH(A785&amp;"ENTRADA",Movimientos!$R$5:$R$2001,0))=0,"S/D",INDEX(Movimientos!$M$5:$M$2001,MATCH(A785&amp;"ENTRADA",Movimientos!$R$5:$R$2001,0))),"S/D")</f>
        <v>S/D</v>
      </c>
      <c r="I785" s="16" t="str">
        <f t="shared" ca="1" si="26"/>
        <v>S/D</v>
      </c>
      <c r="J785" s="6">
        <f>IF(A785="","",SUMIFS(Movimientos!$K:$K,Movimientos!$H:$H,A785))</f>
        <v>0</v>
      </c>
      <c r="K785" s="14" t="str">
        <f t="shared" ca="1" si="27"/>
        <v>OK</v>
      </c>
    </row>
    <row r="786" spans="1:11">
      <c r="A786" s="18" t="s">
        <v>2859</v>
      </c>
      <c r="B786" s="3" t="str">
        <f>IFERROR(INDEX(Movimientos!$C$5:$C$2001,MATCH(A786&amp;"ENTRADA",Movimientos!$R$5:$R$2001,0)),"-")</f>
        <v>-</v>
      </c>
      <c r="C786" s="3" t="str">
        <f>IFERROR(INDEX(Movimientos!$D$5:$D$2001,MATCH(A786&amp;"ENTRADA",Movimientos!$R$5:$R$2001,0)),"-")</f>
        <v>-</v>
      </c>
      <c r="D786" s="3" t="str">
        <f>IFERROR(INDEX(Movimientos!$E$5:$E$2001,MATCH(A786&amp;"ENTRADA",Movimientos!$R$5:$R$2001,0)),"-")</f>
        <v>-</v>
      </c>
      <c r="E786" s="3" t="str">
        <f>IFERROR(INDEX(Movimientos!$F$5:$F$2001,MATCH(A786&amp;"ENTRADA",Movimientos!$R$5:$R$2001,0)),"-")</f>
        <v>-</v>
      </c>
      <c r="F786" s="3" t="str">
        <f>IFERROR(INDEX(Movimientos!$G$5:$G$2001,MATCH(A786&amp;"ENTRADA",Movimientos!$R$5:$R$2001,0)),"-")</f>
        <v>-</v>
      </c>
      <c r="G786" s="3" t="str">
        <f>IFERROR(INDEX(Movimientos!$L$5:$L$2001,MATCH(A786&amp;"ENTRADA",Movimientos!$R$5:$R$2001,0)),"-")</f>
        <v>-</v>
      </c>
      <c r="H786" s="19" t="str">
        <f>IFERROR(IF(INDEX(Movimientos!$M$5:$M$2001,MATCH(A786&amp;"ENTRADA",Movimientos!$R$5:$R$2001,0))=0,"S/D",INDEX(Movimientos!$M$5:$M$2001,MATCH(A786&amp;"ENTRADA",Movimientos!$R$5:$R$2001,0))),"S/D")</f>
        <v>S/D</v>
      </c>
      <c r="I786" s="16" t="str">
        <f t="shared" ca="1" si="26"/>
        <v>S/D</v>
      </c>
      <c r="J786" s="6">
        <f>IF(A786="","",SUMIFS(Movimientos!$K:$K,Movimientos!$H:$H,A786))</f>
        <v>0</v>
      </c>
      <c r="K786" s="14" t="str">
        <f t="shared" ca="1" si="27"/>
        <v>OK</v>
      </c>
    </row>
    <row r="787" spans="1:11">
      <c r="A787" s="18" t="s">
        <v>2860</v>
      </c>
      <c r="B787" s="3" t="str">
        <f>IFERROR(INDEX(Movimientos!$C$5:$C$2001,MATCH(A787&amp;"ENTRADA",Movimientos!$R$5:$R$2001,0)),"-")</f>
        <v>-</v>
      </c>
      <c r="C787" s="3" t="str">
        <f>IFERROR(INDEX(Movimientos!$D$5:$D$2001,MATCH(A787&amp;"ENTRADA",Movimientos!$R$5:$R$2001,0)),"-")</f>
        <v>-</v>
      </c>
      <c r="D787" s="3" t="str">
        <f>IFERROR(INDEX(Movimientos!$E$5:$E$2001,MATCH(A787&amp;"ENTRADA",Movimientos!$R$5:$R$2001,0)),"-")</f>
        <v>-</v>
      </c>
      <c r="E787" s="3" t="str">
        <f>IFERROR(INDEX(Movimientos!$F$5:$F$2001,MATCH(A787&amp;"ENTRADA",Movimientos!$R$5:$R$2001,0)),"-")</f>
        <v>-</v>
      </c>
      <c r="F787" s="3" t="str">
        <f>IFERROR(INDEX(Movimientos!$G$5:$G$2001,MATCH(A787&amp;"ENTRADA",Movimientos!$R$5:$R$2001,0)),"-")</f>
        <v>-</v>
      </c>
      <c r="G787" s="3" t="str">
        <f>IFERROR(INDEX(Movimientos!$L$5:$L$2001,MATCH(A787&amp;"ENTRADA",Movimientos!$R$5:$R$2001,0)),"-")</f>
        <v>-</v>
      </c>
      <c r="H787" s="19" t="str">
        <f>IFERROR(IF(INDEX(Movimientos!$M$5:$M$2001,MATCH(A787&amp;"ENTRADA",Movimientos!$R$5:$R$2001,0))=0,"S/D",INDEX(Movimientos!$M$5:$M$2001,MATCH(A787&amp;"ENTRADA",Movimientos!$R$5:$R$2001,0))),"S/D")</f>
        <v>S/D</v>
      </c>
      <c r="I787" s="16" t="str">
        <f t="shared" ca="1" si="26"/>
        <v>S/D</v>
      </c>
      <c r="J787" s="6">
        <f>IF(A787="","",SUMIFS(Movimientos!$K:$K,Movimientos!$H:$H,A787))</f>
        <v>0</v>
      </c>
      <c r="K787" s="14" t="str">
        <f t="shared" ca="1" si="27"/>
        <v>OK</v>
      </c>
    </row>
    <row r="788" spans="1:11">
      <c r="A788" s="18" t="s">
        <v>2861</v>
      </c>
      <c r="B788" s="3" t="str">
        <f>IFERROR(INDEX(Movimientos!$C$5:$C$2001,MATCH(A788&amp;"ENTRADA",Movimientos!$R$5:$R$2001,0)),"-")</f>
        <v>-</v>
      </c>
      <c r="C788" s="3" t="str">
        <f>IFERROR(INDEX(Movimientos!$D$5:$D$2001,MATCH(A788&amp;"ENTRADA",Movimientos!$R$5:$R$2001,0)),"-")</f>
        <v>-</v>
      </c>
      <c r="D788" s="3" t="str">
        <f>IFERROR(INDEX(Movimientos!$E$5:$E$2001,MATCH(A788&amp;"ENTRADA",Movimientos!$R$5:$R$2001,0)),"-")</f>
        <v>-</v>
      </c>
      <c r="E788" s="3" t="str">
        <f>IFERROR(INDEX(Movimientos!$F$5:$F$2001,MATCH(A788&amp;"ENTRADA",Movimientos!$R$5:$R$2001,0)),"-")</f>
        <v>-</v>
      </c>
      <c r="F788" s="3" t="str">
        <f>IFERROR(INDEX(Movimientos!$G$5:$G$2001,MATCH(A788&amp;"ENTRADA",Movimientos!$R$5:$R$2001,0)),"-")</f>
        <v>-</v>
      </c>
      <c r="G788" s="3" t="str">
        <f>IFERROR(INDEX(Movimientos!$L$5:$L$2001,MATCH(A788&amp;"ENTRADA",Movimientos!$R$5:$R$2001,0)),"-")</f>
        <v>-</v>
      </c>
      <c r="H788" s="19" t="str">
        <f>IFERROR(IF(INDEX(Movimientos!$M$5:$M$2001,MATCH(A788&amp;"ENTRADA",Movimientos!$R$5:$R$2001,0))=0,"S/D",INDEX(Movimientos!$M$5:$M$2001,MATCH(A788&amp;"ENTRADA",Movimientos!$R$5:$R$2001,0))),"S/D")</f>
        <v>S/D</v>
      </c>
      <c r="I788" s="16" t="str">
        <f t="shared" ca="1" si="26"/>
        <v>S/D</v>
      </c>
      <c r="J788" s="6">
        <f>IF(A788="","",SUMIFS(Movimientos!$K:$K,Movimientos!$H:$H,A788))</f>
        <v>0</v>
      </c>
      <c r="K788" s="14" t="str">
        <f t="shared" ca="1" si="27"/>
        <v>OK</v>
      </c>
    </row>
    <row r="789" spans="1:11">
      <c r="A789" s="18" t="s">
        <v>2862</v>
      </c>
      <c r="B789" s="3" t="str">
        <f>IFERROR(INDEX(Movimientos!$C$5:$C$2001,MATCH(A789&amp;"ENTRADA",Movimientos!$R$5:$R$2001,0)),"-")</f>
        <v>-</v>
      </c>
      <c r="C789" s="3" t="str">
        <f>IFERROR(INDEX(Movimientos!$D$5:$D$2001,MATCH(A789&amp;"ENTRADA",Movimientos!$R$5:$R$2001,0)),"-")</f>
        <v>-</v>
      </c>
      <c r="D789" s="3" t="str">
        <f>IFERROR(INDEX(Movimientos!$E$5:$E$2001,MATCH(A789&amp;"ENTRADA",Movimientos!$R$5:$R$2001,0)),"-")</f>
        <v>-</v>
      </c>
      <c r="E789" s="3" t="str">
        <f>IFERROR(INDEX(Movimientos!$F$5:$F$2001,MATCH(A789&amp;"ENTRADA",Movimientos!$R$5:$R$2001,0)),"-")</f>
        <v>-</v>
      </c>
      <c r="F789" s="3" t="str">
        <f>IFERROR(INDEX(Movimientos!$G$5:$G$2001,MATCH(A789&amp;"ENTRADA",Movimientos!$R$5:$R$2001,0)),"-")</f>
        <v>-</v>
      </c>
      <c r="G789" s="3" t="str">
        <f>IFERROR(INDEX(Movimientos!$L$5:$L$2001,MATCH(A789&amp;"ENTRADA",Movimientos!$R$5:$R$2001,0)),"-")</f>
        <v>-</v>
      </c>
      <c r="H789" s="19" t="str">
        <f>IFERROR(IF(INDEX(Movimientos!$M$5:$M$2001,MATCH(A789&amp;"ENTRADA",Movimientos!$R$5:$R$2001,0))=0,"S/D",INDEX(Movimientos!$M$5:$M$2001,MATCH(A789&amp;"ENTRADA",Movimientos!$R$5:$R$2001,0))),"S/D")</f>
        <v>S/D</v>
      </c>
      <c r="I789" s="16" t="str">
        <f t="shared" ca="1" si="26"/>
        <v>S/D</v>
      </c>
      <c r="J789" s="6">
        <f>IF(A789="","",SUMIFS(Movimientos!$K:$K,Movimientos!$H:$H,A789))</f>
        <v>0</v>
      </c>
      <c r="K789" s="14" t="str">
        <f t="shared" ca="1" si="27"/>
        <v>OK</v>
      </c>
    </row>
    <row r="790" spans="1:11">
      <c r="A790" s="18" t="s">
        <v>2863</v>
      </c>
      <c r="B790" s="3" t="str">
        <f>IFERROR(INDEX(Movimientos!$C$5:$C$2001,MATCH(A790&amp;"ENTRADA",Movimientos!$R$5:$R$2001,0)),"-")</f>
        <v>-</v>
      </c>
      <c r="C790" s="3" t="str">
        <f>IFERROR(INDEX(Movimientos!$D$5:$D$2001,MATCH(A790&amp;"ENTRADA",Movimientos!$R$5:$R$2001,0)),"-")</f>
        <v>-</v>
      </c>
      <c r="D790" s="3" t="str">
        <f>IFERROR(INDEX(Movimientos!$E$5:$E$2001,MATCH(A790&amp;"ENTRADA",Movimientos!$R$5:$R$2001,0)),"-")</f>
        <v>-</v>
      </c>
      <c r="E790" s="3" t="str">
        <f>IFERROR(INDEX(Movimientos!$F$5:$F$2001,MATCH(A790&amp;"ENTRADA",Movimientos!$R$5:$R$2001,0)),"-")</f>
        <v>-</v>
      </c>
      <c r="F790" s="3" t="str">
        <f>IFERROR(INDEX(Movimientos!$G$5:$G$2001,MATCH(A790&amp;"ENTRADA",Movimientos!$R$5:$R$2001,0)),"-")</f>
        <v>-</v>
      </c>
      <c r="G790" s="3" t="str">
        <f>IFERROR(INDEX(Movimientos!$L$5:$L$2001,MATCH(A790&amp;"ENTRADA",Movimientos!$R$5:$R$2001,0)),"-")</f>
        <v>-</v>
      </c>
      <c r="H790" s="19" t="str">
        <f>IFERROR(IF(INDEX(Movimientos!$M$5:$M$2001,MATCH(A790&amp;"ENTRADA",Movimientos!$R$5:$R$2001,0))=0,"S/D",INDEX(Movimientos!$M$5:$M$2001,MATCH(A790&amp;"ENTRADA",Movimientos!$R$5:$R$2001,0))),"S/D")</f>
        <v>S/D</v>
      </c>
      <c r="I790" s="16" t="str">
        <f t="shared" ca="1" si="26"/>
        <v>S/D</v>
      </c>
      <c r="J790" s="6">
        <f>IF(A790="","",SUMIFS(Movimientos!$K:$K,Movimientos!$H:$H,A790))</f>
        <v>0</v>
      </c>
      <c r="K790" s="14" t="str">
        <f t="shared" ca="1" si="27"/>
        <v>OK</v>
      </c>
    </row>
    <row r="791" spans="1:11">
      <c r="A791" s="18" t="s">
        <v>2864</v>
      </c>
      <c r="B791" s="3" t="str">
        <f>IFERROR(INDEX(Movimientos!$C$5:$C$2001,MATCH(A791&amp;"ENTRADA",Movimientos!$R$5:$R$2001,0)),"-")</f>
        <v>-</v>
      </c>
      <c r="C791" s="3" t="str">
        <f>IFERROR(INDEX(Movimientos!$D$5:$D$2001,MATCH(A791&amp;"ENTRADA",Movimientos!$R$5:$R$2001,0)),"-")</f>
        <v>-</v>
      </c>
      <c r="D791" s="3" t="str">
        <f>IFERROR(INDEX(Movimientos!$E$5:$E$2001,MATCH(A791&amp;"ENTRADA",Movimientos!$R$5:$R$2001,0)),"-")</f>
        <v>-</v>
      </c>
      <c r="E791" s="3" t="str">
        <f>IFERROR(INDEX(Movimientos!$F$5:$F$2001,MATCH(A791&amp;"ENTRADA",Movimientos!$R$5:$R$2001,0)),"-")</f>
        <v>-</v>
      </c>
      <c r="F791" s="3" t="str">
        <f>IFERROR(INDEX(Movimientos!$G$5:$G$2001,MATCH(A791&amp;"ENTRADA",Movimientos!$R$5:$R$2001,0)),"-")</f>
        <v>-</v>
      </c>
      <c r="G791" s="3" t="str">
        <f>IFERROR(INDEX(Movimientos!$L$5:$L$2001,MATCH(A791&amp;"ENTRADA",Movimientos!$R$5:$R$2001,0)),"-")</f>
        <v>-</v>
      </c>
      <c r="H791" s="19" t="str">
        <f>IFERROR(IF(INDEX(Movimientos!$M$5:$M$2001,MATCH(A791&amp;"ENTRADA",Movimientos!$R$5:$R$2001,0))=0,"S/D",INDEX(Movimientos!$M$5:$M$2001,MATCH(A791&amp;"ENTRADA",Movimientos!$R$5:$R$2001,0))),"S/D")</f>
        <v>S/D</v>
      </c>
      <c r="I791" s="16" t="str">
        <f t="shared" ca="1" si="26"/>
        <v>S/D</v>
      </c>
      <c r="J791" s="6">
        <f>IF(A791="","",SUMIFS(Movimientos!$K:$K,Movimientos!$H:$H,A791))</f>
        <v>0</v>
      </c>
      <c r="K791" s="14" t="str">
        <f t="shared" ca="1" si="27"/>
        <v>OK</v>
      </c>
    </row>
    <row r="792" spans="1:11">
      <c r="A792" s="18" t="s">
        <v>2865</v>
      </c>
      <c r="B792" s="3" t="str">
        <f>IFERROR(INDEX(Movimientos!$C$5:$C$2001,MATCH(A792&amp;"ENTRADA",Movimientos!$R$5:$R$2001,0)),"-")</f>
        <v>-</v>
      </c>
      <c r="C792" s="3" t="str">
        <f>IFERROR(INDEX(Movimientos!$D$5:$D$2001,MATCH(A792&amp;"ENTRADA",Movimientos!$R$5:$R$2001,0)),"-")</f>
        <v>-</v>
      </c>
      <c r="D792" s="3" t="str">
        <f>IFERROR(INDEX(Movimientos!$E$5:$E$2001,MATCH(A792&amp;"ENTRADA",Movimientos!$R$5:$R$2001,0)),"-")</f>
        <v>-</v>
      </c>
      <c r="E792" s="3" t="str">
        <f>IFERROR(INDEX(Movimientos!$F$5:$F$2001,MATCH(A792&amp;"ENTRADA",Movimientos!$R$5:$R$2001,0)),"-")</f>
        <v>-</v>
      </c>
      <c r="F792" s="3" t="str">
        <f>IFERROR(INDEX(Movimientos!$G$5:$G$2001,MATCH(A792&amp;"ENTRADA",Movimientos!$R$5:$R$2001,0)),"-")</f>
        <v>-</v>
      </c>
      <c r="G792" s="3" t="str">
        <f>IFERROR(INDEX(Movimientos!$L$5:$L$2001,MATCH(A792&amp;"ENTRADA",Movimientos!$R$5:$R$2001,0)),"-")</f>
        <v>-</v>
      </c>
      <c r="H792" s="19" t="str">
        <f>IFERROR(IF(INDEX(Movimientos!$M$5:$M$2001,MATCH(A792&amp;"ENTRADA",Movimientos!$R$5:$R$2001,0))=0,"S/D",INDEX(Movimientos!$M$5:$M$2001,MATCH(A792&amp;"ENTRADA",Movimientos!$R$5:$R$2001,0))),"S/D")</f>
        <v>S/D</v>
      </c>
      <c r="I792" s="16" t="str">
        <f t="shared" ca="1" si="26"/>
        <v>S/D</v>
      </c>
      <c r="J792" s="6">
        <f>IF(A792="","",SUMIFS(Movimientos!$K:$K,Movimientos!$H:$H,A792))</f>
        <v>0</v>
      </c>
      <c r="K792" s="14" t="str">
        <f t="shared" ca="1" si="27"/>
        <v>OK</v>
      </c>
    </row>
    <row r="793" spans="1:11">
      <c r="A793" s="18" t="s">
        <v>2866</v>
      </c>
      <c r="B793" s="3" t="str">
        <f>IFERROR(INDEX(Movimientos!$C$5:$C$2001,MATCH(A793&amp;"ENTRADA",Movimientos!$R$5:$R$2001,0)),"-")</f>
        <v>-</v>
      </c>
      <c r="C793" s="3" t="str">
        <f>IFERROR(INDEX(Movimientos!$D$5:$D$2001,MATCH(A793&amp;"ENTRADA",Movimientos!$R$5:$R$2001,0)),"-")</f>
        <v>-</v>
      </c>
      <c r="D793" s="3" t="str">
        <f>IFERROR(INDEX(Movimientos!$E$5:$E$2001,MATCH(A793&amp;"ENTRADA",Movimientos!$R$5:$R$2001,0)),"-")</f>
        <v>-</v>
      </c>
      <c r="E793" s="3" t="str">
        <f>IFERROR(INDEX(Movimientos!$F$5:$F$2001,MATCH(A793&amp;"ENTRADA",Movimientos!$R$5:$R$2001,0)),"-")</f>
        <v>-</v>
      </c>
      <c r="F793" s="3" t="str">
        <f>IFERROR(INDEX(Movimientos!$G$5:$G$2001,MATCH(A793&amp;"ENTRADA",Movimientos!$R$5:$R$2001,0)),"-")</f>
        <v>-</v>
      </c>
      <c r="G793" s="3" t="str">
        <f>IFERROR(INDEX(Movimientos!$L$5:$L$2001,MATCH(A793&amp;"ENTRADA",Movimientos!$R$5:$R$2001,0)),"-")</f>
        <v>-</v>
      </c>
      <c r="H793" s="19" t="str">
        <f>IFERROR(IF(INDEX(Movimientos!$M$5:$M$2001,MATCH(A793&amp;"ENTRADA",Movimientos!$R$5:$R$2001,0))=0,"S/D",INDEX(Movimientos!$M$5:$M$2001,MATCH(A793&amp;"ENTRADA",Movimientos!$R$5:$R$2001,0))),"S/D")</f>
        <v>S/D</v>
      </c>
      <c r="I793" s="16" t="str">
        <f t="shared" ca="1" si="26"/>
        <v>S/D</v>
      </c>
      <c r="J793" s="6">
        <f>IF(A793="","",SUMIFS(Movimientos!$K:$K,Movimientos!$H:$H,A793))</f>
        <v>0</v>
      </c>
      <c r="K793" s="14" t="str">
        <f t="shared" ca="1" si="27"/>
        <v>OK</v>
      </c>
    </row>
    <row r="794" spans="1:11">
      <c r="A794" s="18" t="s">
        <v>2867</v>
      </c>
      <c r="B794" s="3" t="str">
        <f>IFERROR(INDEX(Movimientos!$C$5:$C$2001,MATCH(A794&amp;"ENTRADA",Movimientos!$R$5:$R$2001,0)),"-")</f>
        <v>-</v>
      </c>
      <c r="C794" s="3" t="str">
        <f>IFERROR(INDEX(Movimientos!$D$5:$D$2001,MATCH(A794&amp;"ENTRADA",Movimientos!$R$5:$R$2001,0)),"-")</f>
        <v>-</v>
      </c>
      <c r="D794" s="3" t="str">
        <f>IFERROR(INDEX(Movimientos!$E$5:$E$2001,MATCH(A794&amp;"ENTRADA",Movimientos!$R$5:$R$2001,0)),"-")</f>
        <v>-</v>
      </c>
      <c r="E794" s="3" t="str">
        <f>IFERROR(INDEX(Movimientos!$F$5:$F$2001,MATCH(A794&amp;"ENTRADA",Movimientos!$R$5:$R$2001,0)),"-")</f>
        <v>-</v>
      </c>
      <c r="F794" s="3" t="str">
        <f>IFERROR(INDEX(Movimientos!$G$5:$G$2001,MATCH(A794&amp;"ENTRADA",Movimientos!$R$5:$R$2001,0)),"-")</f>
        <v>-</v>
      </c>
      <c r="G794" s="3" t="str">
        <f>IFERROR(INDEX(Movimientos!$L$5:$L$2001,MATCH(A794&amp;"ENTRADA",Movimientos!$R$5:$R$2001,0)),"-")</f>
        <v>-</v>
      </c>
      <c r="H794" s="19" t="str">
        <f>IFERROR(IF(INDEX(Movimientos!$M$5:$M$2001,MATCH(A794&amp;"ENTRADA",Movimientos!$R$5:$R$2001,0))=0,"S/D",INDEX(Movimientos!$M$5:$M$2001,MATCH(A794&amp;"ENTRADA",Movimientos!$R$5:$R$2001,0))),"S/D")</f>
        <v>S/D</v>
      </c>
      <c r="I794" s="16" t="str">
        <f t="shared" ca="1" si="26"/>
        <v>S/D</v>
      </c>
      <c r="J794" s="6">
        <f>IF(A794="","",SUMIFS(Movimientos!$K:$K,Movimientos!$H:$H,A794))</f>
        <v>0</v>
      </c>
      <c r="K794" s="14" t="str">
        <f t="shared" ca="1" si="27"/>
        <v>OK</v>
      </c>
    </row>
    <row r="795" spans="1:11">
      <c r="A795" s="18" t="s">
        <v>2868</v>
      </c>
      <c r="B795" s="3" t="str">
        <f>IFERROR(INDEX(Movimientos!$C$5:$C$2001,MATCH(A795&amp;"ENTRADA",Movimientos!$R$5:$R$2001,0)),"-")</f>
        <v>-</v>
      </c>
      <c r="C795" s="3" t="str">
        <f>IFERROR(INDEX(Movimientos!$D$5:$D$2001,MATCH(A795&amp;"ENTRADA",Movimientos!$R$5:$R$2001,0)),"-")</f>
        <v>-</v>
      </c>
      <c r="D795" s="3" t="str">
        <f>IFERROR(INDEX(Movimientos!$E$5:$E$2001,MATCH(A795&amp;"ENTRADA",Movimientos!$R$5:$R$2001,0)),"-")</f>
        <v>-</v>
      </c>
      <c r="E795" s="3" t="str">
        <f>IFERROR(INDEX(Movimientos!$F$5:$F$2001,MATCH(A795&amp;"ENTRADA",Movimientos!$R$5:$R$2001,0)),"-")</f>
        <v>-</v>
      </c>
      <c r="F795" s="3" t="str">
        <f>IFERROR(INDEX(Movimientos!$G$5:$G$2001,MATCH(A795&amp;"ENTRADA",Movimientos!$R$5:$R$2001,0)),"-")</f>
        <v>-</v>
      </c>
      <c r="G795" s="3" t="str">
        <f>IFERROR(INDEX(Movimientos!$L$5:$L$2001,MATCH(A795&amp;"ENTRADA",Movimientos!$R$5:$R$2001,0)),"-")</f>
        <v>-</v>
      </c>
      <c r="H795" s="19" t="str">
        <f>IFERROR(IF(INDEX(Movimientos!$M$5:$M$2001,MATCH(A795&amp;"ENTRADA",Movimientos!$R$5:$R$2001,0))=0,"S/D",INDEX(Movimientos!$M$5:$M$2001,MATCH(A795&amp;"ENTRADA",Movimientos!$R$5:$R$2001,0))),"S/D")</f>
        <v>S/D</v>
      </c>
      <c r="I795" s="16" t="str">
        <f t="shared" ca="1" si="26"/>
        <v>S/D</v>
      </c>
      <c r="J795" s="6">
        <f>IF(A795="","",SUMIFS(Movimientos!$K:$K,Movimientos!$H:$H,A795))</f>
        <v>0</v>
      </c>
      <c r="K795" s="14" t="str">
        <f t="shared" ca="1" si="27"/>
        <v>OK</v>
      </c>
    </row>
    <row r="796" spans="1:11">
      <c r="A796" s="18" t="s">
        <v>2869</v>
      </c>
      <c r="B796" s="3" t="str">
        <f>IFERROR(INDEX(Movimientos!$C$5:$C$2001,MATCH(A796&amp;"ENTRADA",Movimientos!$R$5:$R$2001,0)),"-")</f>
        <v>-</v>
      </c>
      <c r="C796" s="3" t="str">
        <f>IFERROR(INDEX(Movimientos!$D$5:$D$2001,MATCH(A796&amp;"ENTRADA",Movimientos!$R$5:$R$2001,0)),"-")</f>
        <v>-</v>
      </c>
      <c r="D796" s="3" t="str">
        <f>IFERROR(INDEX(Movimientos!$E$5:$E$2001,MATCH(A796&amp;"ENTRADA",Movimientos!$R$5:$R$2001,0)),"-")</f>
        <v>-</v>
      </c>
      <c r="E796" s="3" t="str">
        <f>IFERROR(INDEX(Movimientos!$F$5:$F$2001,MATCH(A796&amp;"ENTRADA",Movimientos!$R$5:$R$2001,0)),"-")</f>
        <v>-</v>
      </c>
      <c r="F796" s="3" t="str">
        <f>IFERROR(INDEX(Movimientos!$G$5:$G$2001,MATCH(A796&amp;"ENTRADA",Movimientos!$R$5:$R$2001,0)),"-")</f>
        <v>-</v>
      </c>
      <c r="G796" s="3" t="str">
        <f>IFERROR(INDEX(Movimientos!$L$5:$L$2001,MATCH(A796&amp;"ENTRADA",Movimientos!$R$5:$R$2001,0)),"-")</f>
        <v>-</v>
      </c>
      <c r="H796" s="19" t="str">
        <f>IFERROR(IF(INDEX(Movimientos!$M$5:$M$2001,MATCH(A796&amp;"ENTRADA",Movimientos!$R$5:$R$2001,0))=0,"S/D",INDEX(Movimientos!$M$5:$M$2001,MATCH(A796&amp;"ENTRADA",Movimientos!$R$5:$R$2001,0))),"S/D")</f>
        <v>S/D</v>
      </c>
      <c r="I796" s="16" t="str">
        <f t="shared" ca="1" si="26"/>
        <v>S/D</v>
      </c>
      <c r="J796" s="6">
        <f>IF(A796="","",SUMIFS(Movimientos!$K:$K,Movimientos!$H:$H,A796))</f>
        <v>0</v>
      </c>
      <c r="K796" s="14" t="str">
        <f t="shared" ca="1" si="27"/>
        <v>OK</v>
      </c>
    </row>
    <row r="797" spans="1:11">
      <c r="A797" s="18" t="s">
        <v>2870</v>
      </c>
      <c r="B797" s="3" t="str">
        <f>IFERROR(INDEX(Movimientos!$C$5:$C$2001,MATCH(A797&amp;"ENTRADA",Movimientos!$R$5:$R$2001,0)),"-")</f>
        <v>-</v>
      </c>
      <c r="C797" s="3" t="str">
        <f>IFERROR(INDEX(Movimientos!$D$5:$D$2001,MATCH(A797&amp;"ENTRADA",Movimientos!$R$5:$R$2001,0)),"-")</f>
        <v>-</v>
      </c>
      <c r="D797" s="3" t="str">
        <f>IFERROR(INDEX(Movimientos!$E$5:$E$2001,MATCH(A797&amp;"ENTRADA",Movimientos!$R$5:$R$2001,0)),"-")</f>
        <v>-</v>
      </c>
      <c r="E797" s="3" t="str">
        <f>IFERROR(INDEX(Movimientos!$F$5:$F$2001,MATCH(A797&amp;"ENTRADA",Movimientos!$R$5:$R$2001,0)),"-")</f>
        <v>-</v>
      </c>
      <c r="F797" s="3" t="str">
        <f>IFERROR(INDEX(Movimientos!$G$5:$G$2001,MATCH(A797&amp;"ENTRADA",Movimientos!$R$5:$R$2001,0)),"-")</f>
        <v>-</v>
      </c>
      <c r="G797" s="3" t="str">
        <f>IFERROR(INDEX(Movimientos!$L$5:$L$2001,MATCH(A797&amp;"ENTRADA",Movimientos!$R$5:$R$2001,0)),"-")</f>
        <v>-</v>
      </c>
      <c r="H797" s="19" t="str">
        <f>IFERROR(IF(INDEX(Movimientos!$M$5:$M$2001,MATCH(A797&amp;"ENTRADA",Movimientos!$R$5:$R$2001,0))=0,"S/D",INDEX(Movimientos!$M$5:$M$2001,MATCH(A797&amp;"ENTRADA",Movimientos!$R$5:$R$2001,0))),"S/D")</f>
        <v>S/D</v>
      </c>
      <c r="I797" s="16" t="str">
        <f t="shared" ca="1" si="26"/>
        <v>S/D</v>
      </c>
      <c r="J797" s="6">
        <f>IF(A797="","",SUMIFS(Movimientos!$K:$K,Movimientos!$H:$H,A797))</f>
        <v>0</v>
      </c>
      <c r="K797" s="14" t="str">
        <f t="shared" ca="1" si="27"/>
        <v>OK</v>
      </c>
    </row>
    <row r="798" spans="1:11">
      <c r="A798" s="18" t="s">
        <v>2871</v>
      </c>
      <c r="B798" s="3" t="str">
        <f>IFERROR(INDEX(Movimientos!$C$5:$C$2001,MATCH(A798&amp;"ENTRADA",Movimientos!$R$5:$R$2001,0)),"-")</f>
        <v>-</v>
      </c>
      <c r="C798" s="3" t="str">
        <f>IFERROR(INDEX(Movimientos!$D$5:$D$2001,MATCH(A798&amp;"ENTRADA",Movimientos!$R$5:$R$2001,0)),"-")</f>
        <v>-</v>
      </c>
      <c r="D798" s="3" t="str">
        <f>IFERROR(INDEX(Movimientos!$E$5:$E$2001,MATCH(A798&amp;"ENTRADA",Movimientos!$R$5:$R$2001,0)),"-")</f>
        <v>-</v>
      </c>
      <c r="E798" s="3" t="str">
        <f>IFERROR(INDEX(Movimientos!$F$5:$F$2001,MATCH(A798&amp;"ENTRADA",Movimientos!$R$5:$R$2001,0)),"-")</f>
        <v>-</v>
      </c>
      <c r="F798" s="3" t="str">
        <f>IFERROR(INDEX(Movimientos!$G$5:$G$2001,MATCH(A798&amp;"ENTRADA",Movimientos!$R$5:$R$2001,0)),"-")</f>
        <v>-</v>
      </c>
      <c r="G798" s="3" t="str">
        <f>IFERROR(INDEX(Movimientos!$L$5:$L$2001,MATCH(A798&amp;"ENTRADA",Movimientos!$R$5:$R$2001,0)),"-")</f>
        <v>-</v>
      </c>
      <c r="H798" s="19" t="str">
        <f>IFERROR(IF(INDEX(Movimientos!$M$5:$M$2001,MATCH(A798&amp;"ENTRADA",Movimientos!$R$5:$R$2001,0))=0,"S/D",INDEX(Movimientos!$M$5:$M$2001,MATCH(A798&amp;"ENTRADA",Movimientos!$R$5:$R$2001,0))),"S/D")</f>
        <v>S/D</v>
      </c>
      <c r="I798" s="16" t="str">
        <f t="shared" ca="1" si="26"/>
        <v>S/D</v>
      </c>
      <c r="J798" s="6">
        <f>IF(A798="","",SUMIFS(Movimientos!$K:$K,Movimientos!$H:$H,A798))</f>
        <v>0</v>
      </c>
      <c r="K798" s="14" t="str">
        <f t="shared" ca="1" si="27"/>
        <v>OK</v>
      </c>
    </row>
    <row r="799" spans="1:11">
      <c r="A799" s="18" t="s">
        <v>2872</v>
      </c>
      <c r="B799" s="3" t="str">
        <f>IFERROR(INDEX(Movimientos!$C$5:$C$2001,MATCH(A799&amp;"ENTRADA",Movimientos!$R$5:$R$2001,0)),"-")</f>
        <v>-</v>
      </c>
      <c r="C799" s="3" t="str">
        <f>IFERROR(INDEX(Movimientos!$D$5:$D$2001,MATCH(A799&amp;"ENTRADA",Movimientos!$R$5:$R$2001,0)),"-")</f>
        <v>-</v>
      </c>
      <c r="D799" s="3" t="str">
        <f>IFERROR(INDEX(Movimientos!$E$5:$E$2001,MATCH(A799&amp;"ENTRADA",Movimientos!$R$5:$R$2001,0)),"-")</f>
        <v>-</v>
      </c>
      <c r="E799" s="3" t="str">
        <f>IFERROR(INDEX(Movimientos!$F$5:$F$2001,MATCH(A799&amp;"ENTRADA",Movimientos!$R$5:$R$2001,0)),"-")</f>
        <v>-</v>
      </c>
      <c r="F799" s="3" t="str">
        <f>IFERROR(INDEX(Movimientos!$G$5:$G$2001,MATCH(A799&amp;"ENTRADA",Movimientos!$R$5:$R$2001,0)),"-")</f>
        <v>-</v>
      </c>
      <c r="G799" s="3" t="str">
        <f>IFERROR(INDEX(Movimientos!$L$5:$L$2001,MATCH(A799&amp;"ENTRADA",Movimientos!$R$5:$R$2001,0)),"-")</f>
        <v>-</v>
      </c>
      <c r="H799" s="19" t="str">
        <f>IFERROR(IF(INDEX(Movimientos!$M$5:$M$2001,MATCH(A799&amp;"ENTRADA",Movimientos!$R$5:$R$2001,0))=0,"S/D",INDEX(Movimientos!$M$5:$M$2001,MATCH(A799&amp;"ENTRADA",Movimientos!$R$5:$R$2001,0))),"S/D")</f>
        <v>S/D</v>
      </c>
      <c r="I799" s="16" t="str">
        <f t="shared" ca="1" si="26"/>
        <v>S/D</v>
      </c>
      <c r="J799" s="6">
        <f>IF(A799="","",SUMIFS(Movimientos!$K:$K,Movimientos!$H:$H,A799))</f>
        <v>0</v>
      </c>
      <c r="K799" s="14" t="str">
        <f t="shared" ca="1" si="27"/>
        <v>OK</v>
      </c>
    </row>
    <row r="800" spans="1:11">
      <c r="A800" s="18" t="s">
        <v>2873</v>
      </c>
      <c r="B800" s="3" t="str">
        <f>IFERROR(INDEX(Movimientos!$C$5:$C$2001,MATCH(A800&amp;"ENTRADA",Movimientos!$R$5:$R$2001,0)),"-")</f>
        <v>-</v>
      </c>
      <c r="C800" s="3" t="str">
        <f>IFERROR(INDEX(Movimientos!$D$5:$D$2001,MATCH(A800&amp;"ENTRADA",Movimientos!$R$5:$R$2001,0)),"-")</f>
        <v>-</v>
      </c>
      <c r="D800" s="3" t="str">
        <f>IFERROR(INDEX(Movimientos!$E$5:$E$2001,MATCH(A800&amp;"ENTRADA",Movimientos!$R$5:$R$2001,0)),"-")</f>
        <v>-</v>
      </c>
      <c r="E800" s="3" t="str">
        <f>IFERROR(INDEX(Movimientos!$F$5:$F$2001,MATCH(A800&amp;"ENTRADA",Movimientos!$R$5:$R$2001,0)),"-")</f>
        <v>-</v>
      </c>
      <c r="F800" s="3" t="str">
        <f>IFERROR(INDEX(Movimientos!$G$5:$G$2001,MATCH(A800&amp;"ENTRADA",Movimientos!$R$5:$R$2001,0)),"-")</f>
        <v>-</v>
      </c>
      <c r="G800" s="3" t="str">
        <f>IFERROR(INDEX(Movimientos!$L$5:$L$2001,MATCH(A800&amp;"ENTRADA",Movimientos!$R$5:$R$2001,0)),"-")</f>
        <v>-</v>
      </c>
      <c r="H800" s="19" t="str">
        <f>IFERROR(IF(INDEX(Movimientos!$M$5:$M$2001,MATCH(A800&amp;"ENTRADA",Movimientos!$R$5:$R$2001,0))=0,"S/D",INDEX(Movimientos!$M$5:$M$2001,MATCH(A800&amp;"ENTRADA",Movimientos!$R$5:$R$2001,0))),"S/D")</f>
        <v>S/D</v>
      </c>
      <c r="I800" s="16" t="str">
        <f t="shared" ca="1" si="26"/>
        <v>S/D</v>
      </c>
      <c r="J800" s="6">
        <f>IF(A800="","",SUMIFS(Movimientos!$K:$K,Movimientos!$H:$H,A800))</f>
        <v>0</v>
      </c>
      <c r="K800" s="14" t="str">
        <f t="shared" ca="1" si="27"/>
        <v>OK</v>
      </c>
    </row>
    <row r="801" spans="1:11">
      <c r="A801" s="18" t="s">
        <v>2874</v>
      </c>
      <c r="B801" s="3" t="str">
        <f>IFERROR(INDEX(Movimientos!$C$5:$C$2001,MATCH(A801&amp;"ENTRADA",Movimientos!$R$5:$R$2001,0)),"-")</f>
        <v>-</v>
      </c>
      <c r="C801" s="3" t="str">
        <f>IFERROR(INDEX(Movimientos!$D$5:$D$2001,MATCH(A801&amp;"ENTRADA",Movimientos!$R$5:$R$2001,0)),"-")</f>
        <v>-</v>
      </c>
      <c r="D801" s="3" t="str">
        <f>IFERROR(INDEX(Movimientos!$E$5:$E$2001,MATCH(A801&amp;"ENTRADA",Movimientos!$R$5:$R$2001,0)),"-")</f>
        <v>-</v>
      </c>
      <c r="E801" s="3" t="str">
        <f>IFERROR(INDEX(Movimientos!$F$5:$F$2001,MATCH(A801&amp;"ENTRADA",Movimientos!$R$5:$R$2001,0)),"-")</f>
        <v>-</v>
      </c>
      <c r="F801" s="3" t="str">
        <f>IFERROR(INDEX(Movimientos!$G$5:$G$2001,MATCH(A801&amp;"ENTRADA",Movimientos!$R$5:$R$2001,0)),"-")</f>
        <v>-</v>
      </c>
      <c r="G801" s="3" t="str">
        <f>IFERROR(INDEX(Movimientos!$L$5:$L$2001,MATCH(A801&amp;"ENTRADA",Movimientos!$R$5:$R$2001,0)),"-")</f>
        <v>-</v>
      </c>
      <c r="H801" s="19" t="str">
        <f>IFERROR(IF(INDEX(Movimientos!$M$5:$M$2001,MATCH(A801&amp;"ENTRADA",Movimientos!$R$5:$R$2001,0))=0,"S/D",INDEX(Movimientos!$M$5:$M$2001,MATCH(A801&amp;"ENTRADA",Movimientos!$R$5:$R$2001,0))),"S/D")</f>
        <v>S/D</v>
      </c>
      <c r="I801" s="16" t="str">
        <f t="shared" ca="1" si="26"/>
        <v>S/D</v>
      </c>
      <c r="J801" s="6">
        <f>IF(A801="","",SUMIFS(Movimientos!$K:$K,Movimientos!$H:$H,A801))</f>
        <v>0</v>
      </c>
      <c r="K801" s="14" t="str">
        <f t="shared" ca="1" si="27"/>
        <v>OK</v>
      </c>
    </row>
    <row r="802" spans="1:11">
      <c r="A802" s="18" t="s">
        <v>2875</v>
      </c>
      <c r="B802" s="3" t="str">
        <f>IFERROR(INDEX(Movimientos!$C$5:$C$2001,MATCH(A802&amp;"ENTRADA",Movimientos!$R$5:$R$2001,0)),"-")</f>
        <v>-</v>
      </c>
      <c r="C802" s="3" t="str">
        <f>IFERROR(INDEX(Movimientos!$D$5:$D$2001,MATCH(A802&amp;"ENTRADA",Movimientos!$R$5:$R$2001,0)),"-")</f>
        <v>-</v>
      </c>
      <c r="D802" s="3" t="str">
        <f>IFERROR(INDEX(Movimientos!$E$5:$E$2001,MATCH(A802&amp;"ENTRADA",Movimientos!$R$5:$R$2001,0)),"-")</f>
        <v>-</v>
      </c>
      <c r="E802" s="3" t="str">
        <f>IFERROR(INDEX(Movimientos!$F$5:$F$2001,MATCH(A802&amp;"ENTRADA",Movimientos!$R$5:$R$2001,0)),"-")</f>
        <v>-</v>
      </c>
      <c r="F802" s="3" t="str">
        <f>IFERROR(INDEX(Movimientos!$G$5:$G$2001,MATCH(A802&amp;"ENTRADA",Movimientos!$R$5:$R$2001,0)),"-")</f>
        <v>-</v>
      </c>
      <c r="G802" s="3" t="str">
        <f>IFERROR(INDEX(Movimientos!$L$5:$L$2001,MATCH(A802&amp;"ENTRADA",Movimientos!$R$5:$R$2001,0)),"-")</f>
        <v>-</v>
      </c>
      <c r="H802" s="19" t="str">
        <f>IFERROR(IF(INDEX(Movimientos!$M$5:$M$2001,MATCH(A802&amp;"ENTRADA",Movimientos!$R$5:$R$2001,0))=0,"S/D",INDEX(Movimientos!$M$5:$M$2001,MATCH(A802&amp;"ENTRADA",Movimientos!$R$5:$R$2001,0))),"S/D")</f>
        <v>S/D</v>
      </c>
      <c r="I802" s="16" t="str">
        <f t="shared" ca="1" si="26"/>
        <v>S/D</v>
      </c>
      <c r="J802" s="6">
        <f>IF(A802="","",SUMIFS(Movimientos!$K:$K,Movimientos!$H:$H,A802))</f>
        <v>0</v>
      </c>
      <c r="K802" s="14" t="str">
        <f t="shared" ca="1" si="27"/>
        <v>OK</v>
      </c>
    </row>
    <row r="803" spans="1:11">
      <c r="A803" s="18" t="s">
        <v>2876</v>
      </c>
      <c r="B803" s="3" t="str">
        <f>IFERROR(INDEX(Movimientos!$C$5:$C$2001,MATCH(A803&amp;"ENTRADA",Movimientos!$R$5:$R$2001,0)),"-")</f>
        <v>-</v>
      </c>
      <c r="C803" s="3" t="str">
        <f>IFERROR(INDEX(Movimientos!$D$5:$D$2001,MATCH(A803&amp;"ENTRADA",Movimientos!$R$5:$R$2001,0)),"-")</f>
        <v>-</v>
      </c>
      <c r="D803" s="3" t="str">
        <f>IFERROR(INDEX(Movimientos!$E$5:$E$2001,MATCH(A803&amp;"ENTRADA",Movimientos!$R$5:$R$2001,0)),"-")</f>
        <v>-</v>
      </c>
      <c r="E803" s="3" t="str">
        <f>IFERROR(INDEX(Movimientos!$F$5:$F$2001,MATCH(A803&amp;"ENTRADA",Movimientos!$R$5:$R$2001,0)),"-")</f>
        <v>-</v>
      </c>
      <c r="F803" s="3" t="str">
        <f>IFERROR(INDEX(Movimientos!$G$5:$G$2001,MATCH(A803&amp;"ENTRADA",Movimientos!$R$5:$R$2001,0)),"-")</f>
        <v>-</v>
      </c>
      <c r="G803" s="3" t="str">
        <f>IFERROR(INDEX(Movimientos!$L$5:$L$2001,MATCH(A803&amp;"ENTRADA",Movimientos!$R$5:$R$2001,0)),"-")</f>
        <v>-</v>
      </c>
      <c r="H803" s="19" t="str">
        <f>IFERROR(IF(INDEX(Movimientos!$M$5:$M$2001,MATCH(A803&amp;"ENTRADA",Movimientos!$R$5:$R$2001,0))=0,"S/D",INDEX(Movimientos!$M$5:$M$2001,MATCH(A803&amp;"ENTRADA",Movimientos!$R$5:$R$2001,0))),"S/D")</f>
        <v>S/D</v>
      </c>
      <c r="I803" s="16" t="str">
        <f t="shared" ca="1" si="26"/>
        <v>S/D</v>
      </c>
      <c r="J803" s="6">
        <f>IF(A803="","",SUMIFS(Movimientos!$K:$K,Movimientos!$H:$H,A803))</f>
        <v>0</v>
      </c>
      <c r="K803" s="14" t="str">
        <f t="shared" ca="1" si="27"/>
        <v>OK</v>
      </c>
    </row>
    <row r="804" spans="1:11">
      <c r="A804" s="18" t="s">
        <v>2877</v>
      </c>
      <c r="B804" s="3" t="str">
        <f>IFERROR(INDEX(Movimientos!$C$5:$C$2001,MATCH(A804&amp;"ENTRADA",Movimientos!$R$5:$R$2001,0)),"-")</f>
        <v>-</v>
      </c>
      <c r="C804" s="3" t="str">
        <f>IFERROR(INDEX(Movimientos!$D$5:$D$2001,MATCH(A804&amp;"ENTRADA",Movimientos!$R$5:$R$2001,0)),"-")</f>
        <v>-</v>
      </c>
      <c r="D804" s="3" t="str">
        <f>IFERROR(INDEX(Movimientos!$E$5:$E$2001,MATCH(A804&amp;"ENTRADA",Movimientos!$R$5:$R$2001,0)),"-")</f>
        <v>-</v>
      </c>
      <c r="E804" s="3" t="str">
        <f>IFERROR(INDEX(Movimientos!$F$5:$F$2001,MATCH(A804&amp;"ENTRADA",Movimientos!$R$5:$R$2001,0)),"-")</f>
        <v>-</v>
      </c>
      <c r="F804" s="3" t="str">
        <f>IFERROR(INDEX(Movimientos!$G$5:$G$2001,MATCH(A804&amp;"ENTRADA",Movimientos!$R$5:$R$2001,0)),"-")</f>
        <v>-</v>
      </c>
      <c r="G804" s="3" t="str">
        <f>IFERROR(INDEX(Movimientos!$L$5:$L$2001,MATCH(A804&amp;"ENTRADA",Movimientos!$R$5:$R$2001,0)),"-")</f>
        <v>-</v>
      </c>
      <c r="H804" s="19" t="str">
        <f>IFERROR(IF(INDEX(Movimientos!$M$5:$M$2001,MATCH(A804&amp;"ENTRADA",Movimientos!$R$5:$R$2001,0))=0,"S/D",INDEX(Movimientos!$M$5:$M$2001,MATCH(A804&amp;"ENTRADA",Movimientos!$R$5:$R$2001,0))),"S/D")</f>
        <v>S/D</v>
      </c>
      <c r="I804" s="16" t="str">
        <f t="shared" ca="1" si="26"/>
        <v>S/D</v>
      </c>
      <c r="J804" s="6">
        <f>IF(A804="","",SUMIFS(Movimientos!$K:$K,Movimientos!$H:$H,A804))</f>
        <v>0</v>
      </c>
      <c r="K804" s="14" t="str">
        <f t="shared" ca="1" si="27"/>
        <v>OK</v>
      </c>
    </row>
    <row r="805" spans="1:11">
      <c r="A805" s="18" t="s">
        <v>2878</v>
      </c>
      <c r="B805" s="3" t="str">
        <f>IFERROR(INDEX(Movimientos!$C$5:$C$2001,MATCH(A805&amp;"ENTRADA",Movimientos!$R$5:$R$2001,0)),"-")</f>
        <v>-</v>
      </c>
      <c r="C805" s="3" t="str">
        <f>IFERROR(INDEX(Movimientos!$D$5:$D$2001,MATCH(A805&amp;"ENTRADA",Movimientos!$R$5:$R$2001,0)),"-")</f>
        <v>-</v>
      </c>
      <c r="D805" s="3" t="str">
        <f>IFERROR(INDEX(Movimientos!$E$5:$E$2001,MATCH(A805&amp;"ENTRADA",Movimientos!$R$5:$R$2001,0)),"-")</f>
        <v>-</v>
      </c>
      <c r="E805" s="3" t="str">
        <f>IFERROR(INDEX(Movimientos!$F$5:$F$2001,MATCH(A805&amp;"ENTRADA",Movimientos!$R$5:$R$2001,0)),"-")</f>
        <v>-</v>
      </c>
      <c r="F805" s="3" t="str">
        <f>IFERROR(INDEX(Movimientos!$G$5:$G$2001,MATCH(A805&amp;"ENTRADA",Movimientos!$R$5:$R$2001,0)),"-")</f>
        <v>-</v>
      </c>
      <c r="G805" s="3" t="str">
        <f>IFERROR(INDEX(Movimientos!$L$5:$L$2001,MATCH(A805&amp;"ENTRADA",Movimientos!$R$5:$R$2001,0)),"-")</f>
        <v>-</v>
      </c>
      <c r="H805" s="19" t="str">
        <f>IFERROR(IF(INDEX(Movimientos!$M$5:$M$2001,MATCH(A805&amp;"ENTRADA",Movimientos!$R$5:$R$2001,0))=0,"S/D",INDEX(Movimientos!$M$5:$M$2001,MATCH(A805&amp;"ENTRADA",Movimientos!$R$5:$R$2001,0))),"S/D")</f>
        <v>S/D</v>
      </c>
      <c r="I805" s="16" t="str">
        <f t="shared" ca="1" si="26"/>
        <v>S/D</v>
      </c>
      <c r="J805" s="6">
        <f>IF(A805="","",SUMIFS(Movimientos!$K:$K,Movimientos!$H:$H,A805))</f>
        <v>0</v>
      </c>
      <c r="K805" s="14" t="str">
        <f t="shared" ca="1" si="27"/>
        <v>OK</v>
      </c>
    </row>
    <row r="806" spans="1:11">
      <c r="A806" s="18" t="s">
        <v>2879</v>
      </c>
      <c r="B806" s="3" t="str">
        <f>IFERROR(INDEX(Movimientos!$C$5:$C$2001,MATCH(A806&amp;"ENTRADA",Movimientos!$R$5:$R$2001,0)),"-")</f>
        <v>-</v>
      </c>
      <c r="C806" s="3" t="str">
        <f>IFERROR(INDEX(Movimientos!$D$5:$D$2001,MATCH(A806&amp;"ENTRADA",Movimientos!$R$5:$R$2001,0)),"-")</f>
        <v>-</v>
      </c>
      <c r="D806" s="3" t="str">
        <f>IFERROR(INDEX(Movimientos!$E$5:$E$2001,MATCH(A806&amp;"ENTRADA",Movimientos!$R$5:$R$2001,0)),"-")</f>
        <v>-</v>
      </c>
      <c r="E806" s="3" t="str">
        <f>IFERROR(INDEX(Movimientos!$F$5:$F$2001,MATCH(A806&amp;"ENTRADA",Movimientos!$R$5:$R$2001,0)),"-")</f>
        <v>-</v>
      </c>
      <c r="F806" s="3" t="str">
        <f>IFERROR(INDEX(Movimientos!$G$5:$G$2001,MATCH(A806&amp;"ENTRADA",Movimientos!$R$5:$R$2001,0)),"-")</f>
        <v>-</v>
      </c>
      <c r="G806" s="3" t="str">
        <f>IFERROR(INDEX(Movimientos!$L$5:$L$2001,MATCH(A806&amp;"ENTRADA",Movimientos!$R$5:$R$2001,0)),"-")</f>
        <v>-</v>
      </c>
      <c r="H806" s="19" t="str">
        <f>IFERROR(IF(INDEX(Movimientos!$M$5:$M$2001,MATCH(A806&amp;"ENTRADA",Movimientos!$R$5:$R$2001,0))=0,"S/D",INDEX(Movimientos!$M$5:$M$2001,MATCH(A806&amp;"ENTRADA",Movimientos!$R$5:$R$2001,0))),"S/D")</f>
        <v>S/D</v>
      </c>
      <c r="I806" s="16" t="str">
        <f t="shared" ca="1" si="26"/>
        <v>S/D</v>
      </c>
      <c r="J806" s="6">
        <f>IF(A806="","",SUMIFS(Movimientos!$K:$K,Movimientos!$H:$H,A806))</f>
        <v>0</v>
      </c>
      <c r="K806" s="14" t="str">
        <f t="shared" ca="1" si="27"/>
        <v>OK</v>
      </c>
    </row>
    <row r="807" spans="1:11">
      <c r="A807" s="18" t="s">
        <v>2880</v>
      </c>
      <c r="B807" s="3" t="str">
        <f>IFERROR(INDEX(Movimientos!$C$5:$C$2001,MATCH(A807&amp;"ENTRADA",Movimientos!$R$5:$R$2001,0)),"-")</f>
        <v>-</v>
      </c>
      <c r="C807" s="3" t="str">
        <f>IFERROR(INDEX(Movimientos!$D$5:$D$2001,MATCH(A807&amp;"ENTRADA",Movimientos!$R$5:$R$2001,0)),"-")</f>
        <v>-</v>
      </c>
      <c r="D807" s="3" t="str">
        <f>IFERROR(INDEX(Movimientos!$E$5:$E$2001,MATCH(A807&amp;"ENTRADA",Movimientos!$R$5:$R$2001,0)),"-")</f>
        <v>-</v>
      </c>
      <c r="E807" s="3" t="str">
        <f>IFERROR(INDEX(Movimientos!$F$5:$F$2001,MATCH(A807&amp;"ENTRADA",Movimientos!$R$5:$R$2001,0)),"-")</f>
        <v>-</v>
      </c>
      <c r="F807" s="3" t="str">
        <f>IFERROR(INDEX(Movimientos!$G$5:$G$2001,MATCH(A807&amp;"ENTRADA",Movimientos!$R$5:$R$2001,0)),"-")</f>
        <v>-</v>
      </c>
      <c r="G807" s="3" t="str">
        <f>IFERROR(INDEX(Movimientos!$L$5:$L$2001,MATCH(A807&amp;"ENTRADA",Movimientos!$R$5:$R$2001,0)),"-")</f>
        <v>-</v>
      </c>
      <c r="H807" s="19" t="str">
        <f>IFERROR(IF(INDEX(Movimientos!$M$5:$M$2001,MATCH(A807&amp;"ENTRADA",Movimientos!$R$5:$R$2001,0))=0,"S/D",INDEX(Movimientos!$M$5:$M$2001,MATCH(A807&amp;"ENTRADA",Movimientos!$R$5:$R$2001,0))),"S/D")</f>
        <v>S/D</v>
      </c>
      <c r="I807" s="16" t="str">
        <f t="shared" ca="1" si="26"/>
        <v>S/D</v>
      </c>
      <c r="J807" s="6">
        <f>IF(A807="","",SUMIFS(Movimientos!$K:$K,Movimientos!$H:$H,A807))</f>
        <v>0</v>
      </c>
      <c r="K807" s="14" t="str">
        <f t="shared" ca="1" si="27"/>
        <v>OK</v>
      </c>
    </row>
    <row r="808" spans="1:11">
      <c r="A808" s="18" t="s">
        <v>2881</v>
      </c>
      <c r="B808" s="3" t="str">
        <f>IFERROR(INDEX(Movimientos!$C$5:$C$2001,MATCH(A808&amp;"ENTRADA",Movimientos!$R$5:$R$2001,0)),"-")</f>
        <v>-</v>
      </c>
      <c r="C808" s="3" t="str">
        <f>IFERROR(INDEX(Movimientos!$D$5:$D$2001,MATCH(A808&amp;"ENTRADA",Movimientos!$R$5:$R$2001,0)),"-")</f>
        <v>-</v>
      </c>
      <c r="D808" s="3" t="str">
        <f>IFERROR(INDEX(Movimientos!$E$5:$E$2001,MATCH(A808&amp;"ENTRADA",Movimientos!$R$5:$R$2001,0)),"-")</f>
        <v>-</v>
      </c>
      <c r="E808" s="3" t="str">
        <f>IFERROR(INDEX(Movimientos!$F$5:$F$2001,MATCH(A808&amp;"ENTRADA",Movimientos!$R$5:$R$2001,0)),"-")</f>
        <v>-</v>
      </c>
      <c r="F808" s="3" t="str">
        <f>IFERROR(INDEX(Movimientos!$G$5:$G$2001,MATCH(A808&amp;"ENTRADA",Movimientos!$R$5:$R$2001,0)),"-")</f>
        <v>-</v>
      </c>
      <c r="G808" s="3" t="str">
        <f>IFERROR(INDEX(Movimientos!$L$5:$L$2001,MATCH(A808&amp;"ENTRADA",Movimientos!$R$5:$R$2001,0)),"-")</f>
        <v>-</v>
      </c>
      <c r="H808" s="19" t="str">
        <f>IFERROR(IF(INDEX(Movimientos!$M$5:$M$2001,MATCH(A808&amp;"ENTRADA",Movimientos!$R$5:$R$2001,0))=0,"S/D",INDEX(Movimientos!$M$5:$M$2001,MATCH(A808&amp;"ENTRADA",Movimientos!$R$5:$R$2001,0))),"S/D")</f>
        <v>S/D</v>
      </c>
      <c r="I808" s="16" t="str">
        <f t="shared" ca="1" si="26"/>
        <v>S/D</v>
      </c>
      <c r="J808" s="6">
        <f>IF(A808="","",SUMIFS(Movimientos!$K:$K,Movimientos!$H:$H,A808))</f>
        <v>0</v>
      </c>
      <c r="K808" s="14" t="str">
        <f t="shared" ca="1" si="27"/>
        <v>OK</v>
      </c>
    </row>
    <row r="809" spans="1:11">
      <c r="A809" s="18" t="s">
        <v>2882</v>
      </c>
      <c r="B809" s="3" t="str">
        <f>IFERROR(INDEX(Movimientos!$C$5:$C$2001,MATCH(A809&amp;"ENTRADA",Movimientos!$R$5:$R$2001,0)),"-")</f>
        <v>-</v>
      </c>
      <c r="C809" s="3" t="str">
        <f>IFERROR(INDEX(Movimientos!$D$5:$D$2001,MATCH(A809&amp;"ENTRADA",Movimientos!$R$5:$R$2001,0)),"-")</f>
        <v>-</v>
      </c>
      <c r="D809" s="3" t="str">
        <f>IFERROR(INDEX(Movimientos!$E$5:$E$2001,MATCH(A809&amp;"ENTRADA",Movimientos!$R$5:$R$2001,0)),"-")</f>
        <v>-</v>
      </c>
      <c r="E809" s="3" t="str">
        <f>IFERROR(INDEX(Movimientos!$F$5:$F$2001,MATCH(A809&amp;"ENTRADA",Movimientos!$R$5:$R$2001,0)),"-")</f>
        <v>-</v>
      </c>
      <c r="F809" s="3" t="str">
        <f>IFERROR(INDEX(Movimientos!$G$5:$G$2001,MATCH(A809&amp;"ENTRADA",Movimientos!$R$5:$R$2001,0)),"-")</f>
        <v>-</v>
      </c>
      <c r="G809" s="3" t="str">
        <f>IFERROR(INDEX(Movimientos!$L$5:$L$2001,MATCH(A809&amp;"ENTRADA",Movimientos!$R$5:$R$2001,0)),"-")</f>
        <v>-</v>
      </c>
      <c r="H809" s="19" t="str">
        <f>IFERROR(IF(INDEX(Movimientos!$M$5:$M$2001,MATCH(A809&amp;"ENTRADA",Movimientos!$R$5:$R$2001,0))=0,"S/D",INDEX(Movimientos!$M$5:$M$2001,MATCH(A809&amp;"ENTRADA",Movimientos!$R$5:$R$2001,0))),"S/D")</f>
        <v>S/D</v>
      </c>
      <c r="I809" s="16" t="str">
        <f t="shared" ca="1" si="26"/>
        <v>S/D</v>
      </c>
      <c r="J809" s="6">
        <f>IF(A809="","",SUMIFS(Movimientos!$K:$K,Movimientos!$H:$H,A809))</f>
        <v>0</v>
      </c>
      <c r="K809" s="14" t="str">
        <f t="shared" ca="1" si="27"/>
        <v>OK</v>
      </c>
    </row>
    <row r="810" spans="1:11">
      <c r="A810" s="18" t="s">
        <v>2883</v>
      </c>
      <c r="B810" s="3" t="str">
        <f>IFERROR(INDEX(Movimientos!$C$5:$C$2001,MATCH(A810&amp;"ENTRADA",Movimientos!$R$5:$R$2001,0)),"-")</f>
        <v>-</v>
      </c>
      <c r="C810" s="3" t="str">
        <f>IFERROR(INDEX(Movimientos!$D$5:$D$2001,MATCH(A810&amp;"ENTRADA",Movimientos!$R$5:$R$2001,0)),"-")</f>
        <v>-</v>
      </c>
      <c r="D810" s="3" t="str">
        <f>IFERROR(INDEX(Movimientos!$E$5:$E$2001,MATCH(A810&amp;"ENTRADA",Movimientos!$R$5:$R$2001,0)),"-")</f>
        <v>-</v>
      </c>
      <c r="E810" s="3" t="str">
        <f>IFERROR(INDEX(Movimientos!$F$5:$F$2001,MATCH(A810&amp;"ENTRADA",Movimientos!$R$5:$R$2001,0)),"-")</f>
        <v>-</v>
      </c>
      <c r="F810" s="3" t="str">
        <f>IFERROR(INDEX(Movimientos!$G$5:$G$2001,MATCH(A810&amp;"ENTRADA",Movimientos!$R$5:$R$2001,0)),"-")</f>
        <v>-</v>
      </c>
      <c r="G810" s="3" t="str">
        <f>IFERROR(INDEX(Movimientos!$L$5:$L$2001,MATCH(A810&amp;"ENTRADA",Movimientos!$R$5:$R$2001,0)),"-")</f>
        <v>-</v>
      </c>
      <c r="H810" s="19" t="str">
        <f>IFERROR(IF(INDEX(Movimientos!$M$5:$M$2001,MATCH(A810&amp;"ENTRADA",Movimientos!$R$5:$R$2001,0))=0,"S/D",INDEX(Movimientos!$M$5:$M$2001,MATCH(A810&amp;"ENTRADA",Movimientos!$R$5:$R$2001,0))),"S/D")</f>
        <v>S/D</v>
      </c>
      <c r="I810" s="16" t="str">
        <f t="shared" ca="1" si="26"/>
        <v>S/D</v>
      </c>
      <c r="J810" s="6">
        <f>IF(A810="","",SUMIFS(Movimientos!$K:$K,Movimientos!$H:$H,A810))</f>
        <v>0</v>
      </c>
      <c r="K810" s="14" t="str">
        <f t="shared" ca="1" si="27"/>
        <v>OK</v>
      </c>
    </row>
    <row r="811" spans="1:11">
      <c r="A811" s="18" t="s">
        <v>2884</v>
      </c>
      <c r="B811" s="3" t="str">
        <f>IFERROR(INDEX(Movimientos!$C$5:$C$2001,MATCH(A811&amp;"ENTRADA",Movimientos!$R$5:$R$2001,0)),"-")</f>
        <v>-</v>
      </c>
      <c r="C811" s="3" t="str">
        <f>IFERROR(INDEX(Movimientos!$D$5:$D$2001,MATCH(A811&amp;"ENTRADA",Movimientos!$R$5:$R$2001,0)),"-")</f>
        <v>-</v>
      </c>
      <c r="D811" s="3" t="str">
        <f>IFERROR(INDEX(Movimientos!$E$5:$E$2001,MATCH(A811&amp;"ENTRADA",Movimientos!$R$5:$R$2001,0)),"-")</f>
        <v>-</v>
      </c>
      <c r="E811" s="3" t="str">
        <f>IFERROR(INDEX(Movimientos!$F$5:$F$2001,MATCH(A811&amp;"ENTRADA",Movimientos!$R$5:$R$2001,0)),"-")</f>
        <v>-</v>
      </c>
      <c r="F811" s="3" t="str">
        <f>IFERROR(INDEX(Movimientos!$G$5:$G$2001,MATCH(A811&amp;"ENTRADA",Movimientos!$R$5:$R$2001,0)),"-")</f>
        <v>-</v>
      </c>
      <c r="G811" s="3" t="str">
        <f>IFERROR(INDEX(Movimientos!$L$5:$L$2001,MATCH(A811&amp;"ENTRADA",Movimientos!$R$5:$R$2001,0)),"-")</f>
        <v>-</v>
      </c>
      <c r="H811" s="19" t="str">
        <f>IFERROR(IF(INDEX(Movimientos!$M$5:$M$2001,MATCH(A811&amp;"ENTRADA",Movimientos!$R$5:$R$2001,0))=0,"S/D",INDEX(Movimientos!$M$5:$M$2001,MATCH(A811&amp;"ENTRADA",Movimientos!$R$5:$R$2001,0))),"S/D")</f>
        <v>S/D</v>
      </c>
      <c r="I811" s="16" t="str">
        <f t="shared" ca="1" si="26"/>
        <v>S/D</v>
      </c>
      <c r="J811" s="6">
        <f>IF(A811="","",SUMIFS(Movimientos!$K:$K,Movimientos!$H:$H,A811))</f>
        <v>0</v>
      </c>
      <c r="K811" s="14" t="str">
        <f t="shared" ca="1" si="27"/>
        <v>OK</v>
      </c>
    </row>
    <row r="812" spans="1:11">
      <c r="A812" s="18" t="s">
        <v>2885</v>
      </c>
      <c r="B812" s="3" t="str">
        <f>IFERROR(INDEX(Movimientos!$C$5:$C$2001,MATCH(A812&amp;"ENTRADA",Movimientos!$R$5:$R$2001,0)),"-")</f>
        <v>-</v>
      </c>
      <c r="C812" s="3" t="str">
        <f>IFERROR(INDEX(Movimientos!$D$5:$D$2001,MATCH(A812&amp;"ENTRADA",Movimientos!$R$5:$R$2001,0)),"-")</f>
        <v>-</v>
      </c>
      <c r="D812" s="3" t="str">
        <f>IFERROR(INDEX(Movimientos!$E$5:$E$2001,MATCH(A812&amp;"ENTRADA",Movimientos!$R$5:$R$2001,0)),"-")</f>
        <v>-</v>
      </c>
      <c r="E812" s="3" t="str">
        <f>IFERROR(INDEX(Movimientos!$F$5:$F$2001,MATCH(A812&amp;"ENTRADA",Movimientos!$R$5:$R$2001,0)),"-")</f>
        <v>-</v>
      </c>
      <c r="F812" s="3" t="str">
        <f>IFERROR(INDEX(Movimientos!$G$5:$G$2001,MATCH(A812&amp;"ENTRADA",Movimientos!$R$5:$R$2001,0)),"-")</f>
        <v>-</v>
      </c>
      <c r="G812" s="3" t="str">
        <f>IFERROR(INDEX(Movimientos!$L$5:$L$2001,MATCH(A812&amp;"ENTRADA",Movimientos!$R$5:$R$2001,0)),"-")</f>
        <v>-</v>
      </c>
      <c r="H812" s="19" t="str">
        <f>IFERROR(IF(INDEX(Movimientos!$M$5:$M$2001,MATCH(A812&amp;"ENTRADA",Movimientos!$R$5:$R$2001,0))=0,"S/D",INDEX(Movimientos!$M$5:$M$2001,MATCH(A812&amp;"ENTRADA",Movimientos!$R$5:$R$2001,0))),"S/D")</f>
        <v>S/D</v>
      </c>
      <c r="I812" s="16" t="str">
        <f t="shared" ca="1" si="26"/>
        <v>S/D</v>
      </c>
      <c r="J812" s="6">
        <f>IF(A812="","",SUMIFS(Movimientos!$K:$K,Movimientos!$H:$H,A812))</f>
        <v>0</v>
      </c>
      <c r="K812" s="14" t="str">
        <f t="shared" ca="1" si="27"/>
        <v>OK</v>
      </c>
    </row>
    <row r="813" spans="1:11">
      <c r="A813" s="18" t="s">
        <v>2886</v>
      </c>
      <c r="B813" s="3" t="str">
        <f>IFERROR(INDEX(Movimientos!$C$5:$C$2001,MATCH(A813&amp;"ENTRADA",Movimientos!$R$5:$R$2001,0)),"-")</f>
        <v>-</v>
      </c>
      <c r="C813" s="3" t="str">
        <f>IFERROR(INDEX(Movimientos!$D$5:$D$2001,MATCH(A813&amp;"ENTRADA",Movimientos!$R$5:$R$2001,0)),"-")</f>
        <v>-</v>
      </c>
      <c r="D813" s="3" t="str">
        <f>IFERROR(INDEX(Movimientos!$E$5:$E$2001,MATCH(A813&amp;"ENTRADA",Movimientos!$R$5:$R$2001,0)),"-")</f>
        <v>-</v>
      </c>
      <c r="E813" s="3" t="str">
        <f>IFERROR(INDEX(Movimientos!$F$5:$F$2001,MATCH(A813&amp;"ENTRADA",Movimientos!$R$5:$R$2001,0)),"-")</f>
        <v>-</v>
      </c>
      <c r="F813" s="3" t="str">
        <f>IFERROR(INDEX(Movimientos!$G$5:$G$2001,MATCH(A813&amp;"ENTRADA",Movimientos!$R$5:$R$2001,0)),"-")</f>
        <v>-</v>
      </c>
      <c r="G813" s="3" t="str">
        <f>IFERROR(INDEX(Movimientos!$L$5:$L$2001,MATCH(A813&amp;"ENTRADA",Movimientos!$R$5:$R$2001,0)),"-")</f>
        <v>-</v>
      </c>
      <c r="H813" s="19" t="str">
        <f>IFERROR(IF(INDEX(Movimientos!$M$5:$M$2001,MATCH(A813&amp;"ENTRADA",Movimientos!$R$5:$R$2001,0))=0,"S/D",INDEX(Movimientos!$M$5:$M$2001,MATCH(A813&amp;"ENTRADA",Movimientos!$R$5:$R$2001,0))),"S/D")</f>
        <v>S/D</v>
      </c>
      <c r="I813" s="16" t="str">
        <f t="shared" ca="1" si="26"/>
        <v>S/D</v>
      </c>
      <c r="J813" s="6">
        <f>IF(A813="","",SUMIFS(Movimientos!$K:$K,Movimientos!$H:$H,A813))</f>
        <v>0</v>
      </c>
      <c r="K813" s="14" t="str">
        <f t="shared" ca="1" si="27"/>
        <v>OK</v>
      </c>
    </row>
    <row r="814" spans="1:11">
      <c r="A814" s="18" t="s">
        <v>2887</v>
      </c>
      <c r="B814" s="3" t="str">
        <f>IFERROR(INDEX(Movimientos!$C$5:$C$2001,MATCH(A814&amp;"ENTRADA",Movimientos!$R$5:$R$2001,0)),"-")</f>
        <v>-</v>
      </c>
      <c r="C814" s="3" t="str">
        <f>IFERROR(INDEX(Movimientos!$D$5:$D$2001,MATCH(A814&amp;"ENTRADA",Movimientos!$R$5:$R$2001,0)),"-")</f>
        <v>-</v>
      </c>
      <c r="D814" s="3" t="str">
        <f>IFERROR(INDEX(Movimientos!$E$5:$E$2001,MATCH(A814&amp;"ENTRADA",Movimientos!$R$5:$R$2001,0)),"-")</f>
        <v>-</v>
      </c>
      <c r="E814" s="3" t="str">
        <f>IFERROR(INDEX(Movimientos!$F$5:$F$2001,MATCH(A814&amp;"ENTRADA",Movimientos!$R$5:$R$2001,0)),"-")</f>
        <v>-</v>
      </c>
      <c r="F814" s="3" t="str">
        <f>IFERROR(INDEX(Movimientos!$G$5:$G$2001,MATCH(A814&amp;"ENTRADA",Movimientos!$R$5:$R$2001,0)),"-")</f>
        <v>-</v>
      </c>
      <c r="G814" s="3" t="str">
        <f>IFERROR(INDEX(Movimientos!$L$5:$L$2001,MATCH(A814&amp;"ENTRADA",Movimientos!$R$5:$R$2001,0)),"-")</f>
        <v>-</v>
      </c>
      <c r="H814" s="19" t="str">
        <f>IFERROR(IF(INDEX(Movimientos!$M$5:$M$2001,MATCH(A814&amp;"ENTRADA",Movimientos!$R$5:$R$2001,0))=0,"S/D",INDEX(Movimientos!$M$5:$M$2001,MATCH(A814&amp;"ENTRADA",Movimientos!$R$5:$R$2001,0))),"S/D")</f>
        <v>S/D</v>
      </c>
      <c r="I814" s="16" t="str">
        <f t="shared" ca="1" si="26"/>
        <v>S/D</v>
      </c>
      <c r="J814" s="6">
        <f>IF(A814="","",SUMIFS(Movimientos!$K:$K,Movimientos!$H:$H,A814))</f>
        <v>0</v>
      </c>
      <c r="K814" s="14" t="str">
        <f t="shared" ca="1" si="27"/>
        <v>OK</v>
      </c>
    </row>
    <row r="815" spans="1:11">
      <c r="A815" s="18" t="s">
        <v>2888</v>
      </c>
      <c r="B815" s="3" t="str">
        <f>IFERROR(INDEX(Movimientos!$C$5:$C$2001,MATCH(A815&amp;"ENTRADA",Movimientos!$R$5:$R$2001,0)),"-")</f>
        <v>-</v>
      </c>
      <c r="C815" s="3" t="str">
        <f>IFERROR(INDEX(Movimientos!$D$5:$D$2001,MATCH(A815&amp;"ENTRADA",Movimientos!$R$5:$R$2001,0)),"-")</f>
        <v>-</v>
      </c>
      <c r="D815" s="3" t="str">
        <f>IFERROR(INDEX(Movimientos!$E$5:$E$2001,MATCH(A815&amp;"ENTRADA",Movimientos!$R$5:$R$2001,0)),"-")</f>
        <v>-</v>
      </c>
      <c r="E815" s="3" t="str">
        <f>IFERROR(INDEX(Movimientos!$F$5:$F$2001,MATCH(A815&amp;"ENTRADA",Movimientos!$R$5:$R$2001,0)),"-")</f>
        <v>-</v>
      </c>
      <c r="F815" s="3" t="str">
        <f>IFERROR(INDEX(Movimientos!$G$5:$G$2001,MATCH(A815&amp;"ENTRADA",Movimientos!$R$5:$R$2001,0)),"-")</f>
        <v>-</v>
      </c>
      <c r="G815" s="3" t="str">
        <f>IFERROR(INDEX(Movimientos!$L$5:$L$2001,MATCH(A815&amp;"ENTRADA",Movimientos!$R$5:$R$2001,0)),"-")</f>
        <v>-</v>
      </c>
      <c r="H815" s="19" t="str">
        <f>IFERROR(IF(INDEX(Movimientos!$M$5:$M$2001,MATCH(A815&amp;"ENTRADA",Movimientos!$R$5:$R$2001,0))=0,"S/D",INDEX(Movimientos!$M$5:$M$2001,MATCH(A815&amp;"ENTRADA",Movimientos!$R$5:$R$2001,0))),"S/D")</f>
        <v>S/D</v>
      </c>
      <c r="I815" s="16" t="str">
        <f t="shared" ca="1" si="26"/>
        <v>S/D</v>
      </c>
      <c r="J815" s="6">
        <f>IF(A815="","",SUMIFS(Movimientos!$K:$K,Movimientos!$H:$H,A815))</f>
        <v>0</v>
      </c>
      <c r="K815" s="14" t="str">
        <f t="shared" ca="1" si="27"/>
        <v>OK</v>
      </c>
    </row>
    <row r="816" spans="1:11">
      <c r="A816" s="18" t="s">
        <v>2889</v>
      </c>
      <c r="B816" s="3" t="str">
        <f>IFERROR(INDEX(Movimientos!$C$5:$C$2001,MATCH(A816&amp;"ENTRADA",Movimientos!$R$5:$R$2001,0)),"-")</f>
        <v>-</v>
      </c>
      <c r="C816" s="3" t="str">
        <f>IFERROR(INDEX(Movimientos!$D$5:$D$2001,MATCH(A816&amp;"ENTRADA",Movimientos!$R$5:$R$2001,0)),"-")</f>
        <v>-</v>
      </c>
      <c r="D816" s="3" t="str">
        <f>IFERROR(INDEX(Movimientos!$E$5:$E$2001,MATCH(A816&amp;"ENTRADA",Movimientos!$R$5:$R$2001,0)),"-")</f>
        <v>-</v>
      </c>
      <c r="E816" s="3" t="str">
        <f>IFERROR(INDEX(Movimientos!$F$5:$F$2001,MATCH(A816&amp;"ENTRADA",Movimientos!$R$5:$R$2001,0)),"-")</f>
        <v>-</v>
      </c>
      <c r="F816" s="3" t="str">
        <f>IFERROR(INDEX(Movimientos!$G$5:$G$2001,MATCH(A816&amp;"ENTRADA",Movimientos!$R$5:$R$2001,0)),"-")</f>
        <v>-</v>
      </c>
      <c r="G816" s="3" t="str">
        <f>IFERROR(INDEX(Movimientos!$L$5:$L$2001,MATCH(A816&amp;"ENTRADA",Movimientos!$R$5:$R$2001,0)),"-")</f>
        <v>-</v>
      </c>
      <c r="H816" s="19" t="str">
        <f>IFERROR(IF(INDEX(Movimientos!$M$5:$M$2001,MATCH(A816&amp;"ENTRADA",Movimientos!$R$5:$R$2001,0))=0,"S/D",INDEX(Movimientos!$M$5:$M$2001,MATCH(A816&amp;"ENTRADA",Movimientos!$R$5:$R$2001,0))),"S/D")</f>
        <v>S/D</v>
      </c>
      <c r="I816" s="16" t="str">
        <f t="shared" ca="1" si="26"/>
        <v>S/D</v>
      </c>
      <c r="J816" s="6">
        <f>IF(A816="","",SUMIFS(Movimientos!$K:$K,Movimientos!$H:$H,A816))</f>
        <v>0</v>
      </c>
      <c r="K816" s="14" t="str">
        <f t="shared" ca="1" si="27"/>
        <v>OK</v>
      </c>
    </row>
    <row r="817" spans="1:11">
      <c r="A817" s="18" t="s">
        <v>2890</v>
      </c>
      <c r="B817" s="3" t="str">
        <f>IFERROR(INDEX(Movimientos!$C$5:$C$2001,MATCH(A817&amp;"ENTRADA",Movimientos!$R$5:$R$2001,0)),"-")</f>
        <v>-</v>
      </c>
      <c r="C817" s="3" t="str">
        <f>IFERROR(INDEX(Movimientos!$D$5:$D$2001,MATCH(A817&amp;"ENTRADA",Movimientos!$R$5:$R$2001,0)),"-")</f>
        <v>-</v>
      </c>
      <c r="D817" s="3" t="str">
        <f>IFERROR(INDEX(Movimientos!$E$5:$E$2001,MATCH(A817&amp;"ENTRADA",Movimientos!$R$5:$R$2001,0)),"-")</f>
        <v>-</v>
      </c>
      <c r="E817" s="3" t="str">
        <f>IFERROR(INDEX(Movimientos!$F$5:$F$2001,MATCH(A817&amp;"ENTRADA",Movimientos!$R$5:$R$2001,0)),"-")</f>
        <v>-</v>
      </c>
      <c r="F817" s="3" t="str">
        <f>IFERROR(INDEX(Movimientos!$G$5:$G$2001,MATCH(A817&amp;"ENTRADA",Movimientos!$R$5:$R$2001,0)),"-")</f>
        <v>-</v>
      </c>
      <c r="G817" s="3" t="str">
        <f>IFERROR(INDEX(Movimientos!$L$5:$L$2001,MATCH(A817&amp;"ENTRADA",Movimientos!$R$5:$R$2001,0)),"-")</f>
        <v>-</v>
      </c>
      <c r="H817" s="19" t="str">
        <f>IFERROR(IF(INDEX(Movimientos!$M$5:$M$2001,MATCH(A817&amp;"ENTRADA",Movimientos!$R$5:$R$2001,0))=0,"S/D",INDEX(Movimientos!$M$5:$M$2001,MATCH(A817&amp;"ENTRADA",Movimientos!$R$5:$R$2001,0))),"S/D")</f>
        <v>S/D</v>
      </c>
      <c r="I817" s="16" t="str">
        <f t="shared" ca="1" si="26"/>
        <v>S/D</v>
      </c>
      <c r="J817" s="6">
        <f>IF(A817="","",SUMIFS(Movimientos!$K:$K,Movimientos!$H:$H,A817))</f>
        <v>0</v>
      </c>
      <c r="K817" s="14" t="str">
        <f t="shared" ca="1" si="27"/>
        <v>OK</v>
      </c>
    </row>
    <row r="818" spans="1:11">
      <c r="A818" s="18" t="s">
        <v>2891</v>
      </c>
      <c r="B818" s="3" t="str">
        <f>IFERROR(INDEX(Movimientos!$C$5:$C$2001,MATCH(A818&amp;"ENTRADA",Movimientos!$R$5:$R$2001,0)),"-")</f>
        <v>-</v>
      </c>
      <c r="C818" s="3" t="str">
        <f>IFERROR(INDEX(Movimientos!$D$5:$D$2001,MATCH(A818&amp;"ENTRADA",Movimientos!$R$5:$R$2001,0)),"-")</f>
        <v>-</v>
      </c>
      <c r="D818" s="3" t="str">
        <f>IFERROR(INDEX(Movimientos!$E$5:$E$2001,MATCH(A818&amp;"ENTRADA",Movimientos!$R$5:$R$2001,0)),"-")</f>
        <v>-</v>
      </c>
      <c r="E818" s="3" t="str">
        <f>IFERROR(INDEX(Movimientos!$F$5:$F$2001,MATCH(A818&amp;"ENTRADA",Movimientos!$R$5:$R$2001,0)),"-")</f>
        <v>-</v>
      </c>
      <c r="F818" s="3" t="str">
        <f>IFERROR(INDEX(Movimientos!$G$5:$G$2001,MATCH(A818&amp;"ENTRADA",Movimientos!$R$5:$R$2001,0)),"-")</f>
        <v>-</v>
      </c>
      <c r="G818" s="3" t="str">
        <f>IFERROR(INDEX(Movimientos!$L$5:$L$2001,MATCH(A818&amp;"ENTRADA",Movimientos!$R$5:$R$2001,0)),"-")</f>
        <v>-</v>
      </c>
      <c r="H818" s="19" t="str">
        <f>IFERROR(IF(INDEX(Movimientos!$M$5:$M$2001,MATCH(A818&amp;"ENTRADA",Movimientos!$R$5:$R$2001,0))=0,"S/D",INDEX(Movimientos!$M$5:$M$2001,MATCH(A818&amp;"ENTRADA",Movimientos!$R$5:$R$2001,0))),"S/D")</f>
        <v>S/D</v>
      </c>
      <c r="I818" s="16" t="str">
        <f t="shared" ca="1" si="26"/>
        <v>S/D</v>
      </c>
      <c r="J818" s="6">
        <f>IF(A818="","",SUMIFS(Movimientos!$K:$K,Movimientos!$H:$H,A818))</f>
        <v>0</v>
      </c>
      <c r="K818" s="14" t="str">
        <f t="shared" ca="1" si="27"/>
        <v>OK</v>
      </c>
    </row>
    <row r="819" spans="1:11">
      <c r="A819" s="18" t="s">
        <v>2892</v>
      </c>
      <c r="B819" s="3" t="str">
        <f>IFERROR(INDEX(Movimientos!$C$5:$C$2001,MATCH(A819&amp;"ENTRADA",Movimientos!$R$5:$R$2001,0)),"-")</f>
        <v>-</v>
      </c>
      <c r="C819" s="3" t="str">
        <f>IFERROR(INDEX(Movimientos!$D$5:$D$2001,MATCH(A819&amp;"ENTRADA",Movimientos!$R$5:$R$2001,0)),"-")</f>
        <v>-</v>
      </c>
      <c r="D819" s="3" t="str">
        <f>IFERROR(INDEX(Movimientos!$E$5:$E$2001,MATCH(A819&amp;"ENTRADA",Movimientos!$R$5:$R$2001,0)),"-")</f>
        <v>-</v>
      </c>
      <c r="E819" s="3" t="str">
        <f>IFERROR(INDEX(Movimientos!$F$5:$F$2001,MATCH(A819&amp;"ENTRADA",Movimientos!$R$5:$R$2001,0)),"-")</f>
        <v>-</v>
      </c>
      <c r="F819" s="3" t="str">
        <f>IFERROR(INDEX(Movimientos!$G$5:$G$2001,MATCH(A819&amp;"ENTRADA",Movimientos!$R$5:$R$2001,0)),"-")</f>
        <v>-</v>
      </c>
      <c r="G819" s="3" t="str">
        <f>IFERROR(INDEX(Movimientos!$L$5:$L$2001,MATCH(A819&amp;"ENTRADA",Movimientos!$R$5:$R$2001,0)),"-")</f>
        <v>-</v>
      </c>
      <c r="H819" s="19" t="str">
        <f>IFERROR(IF(INDEX(Movimientos!$M$5:$M$2001,MATCH(A819&amp;"ENTRADA",Movimientos!$R$5:$R$2001,0))=0,"S/D",INDEX(Movimientos!$M$5:$M$2001,MATCH(A819&amp;"ENTRADA",Movimientos!$R$5:$R$2001,0))),"S/D")</f>
        <v>S/D</v>
      </c>
      <c r="I819" s="16" t="str">
        <f t="shared" ca="1" si="26"/>
        <v>S/D</v>
      </c>
      <c r="J819" s="6">
        <f>IF(A819="","",SUMIFS(Movimientos!$K:$K,Movimientos!$H:$H,A819))</f>
        <v>0</v>
      </c>
      <c r="K819" s="14" t="str">
        <f t="shared" ca="1" si="27"/>
        <v>OK</v>
      </c>
    </row>
    <row r="820" spans="1:11">
      <c r="A820" s="18" t="s">
        <v>2893</v>
      </c>
      <c r="B820" s="3" t="str">
        <f>IFERROR(INDEX(Movimientos!$C$5:$C$2001,MATCH(A820&amp;"ENTRADA",Movimientos!$R$5:$R$2001,0)),"-")</f>
        <v>-</v>
      </c>
      <c r="C820" s="3" t="str">
        <f>IFERROR(INDEX(Movimientos!$D$5:$D$2001,MATCH(A820&amp;"ENTRADA",Movimientos!$R$5:$R$2001,0)),"-")</f>
        <v>-</v>
      </c>
      <c r="D820" s="3" t="str">
        <f>IFERROR(INDEX(Movimientos!$E$5:$E$2001,MATCH(A820&amp;"ENTRADA",Movimientos!$R$5:$R$2001,0)),"-")</f>
        <v>-</v>
      </c>
      <c r="E820" s="3" t="str">
        <f>IFERROR(INDEX(Movimientos!$F$5:$F$2001,MATCH(A820&amp;"ENTRADA",Movimientos!$R$5:$R$2001,0)),"-")</f>
        <v>-</v>
      </c>
      <c r="F820" s="3" t="str">
        <f>IFERROR(INDEX(Movimientos!$G$5:$G$2001,MATCH(A820&amp;"ENTRADA",Movimientos!$R$5:$R$2001,0)),"-")</f>
        <v>-</v>
      </c>
      <c r="G820" s="3" t="str">
        <f>IFERROR(INDEX(Movimientos!$L$5:$L$2001,MATCH(A820&amp;"ENTRADA",Movimientos!$R$5:$R$2001,0)),"-")</f>
        <v>-</v>
      </c>
      <c r="H820" s="19" t="str">
        <f>IFERROR(IF(INDEX(Movimientos!$M$5:$M$2001,MATCH(A820&amp;"ENTRADA",Movimientos!$R$5:$R$2001,0))=0,"S/D",INDEX(Movimientos!$M$5:$M$2001,MATCH(A820&amp;"ENTRADA",Movimientos!$R$5:$R$2001,0))),"S/D")</f>
        <v>S/D</v>
      </c>
      <c r="I820" s="16" t="str">
        <f t="shared" ca="1" si="26"/>
        <v>S/D</v>
      </c>
      <c r="J820" s="6">
        <f>IF(A820="","",SUMIFS(Movimientos!$K:$K,Movimientos!$H:$H,A820))</f>
        <v>0</v>
      </c>
      <c r="K820" s="14" t="str">
        <f t="shared" ca="1" si="27"/>
        <v>OK</v>
      </c>
    </row>
    <row r="821" spans="1:11">
      <c r="A821" s="18" t="s">
        <v>2894</v>
      </c>
      <c r="B821" s="3" t="str">
        <f>IFERROR(INDEX(Movimientos!$C$5:$C$2001,MATCH(A821&amp;"ENTRADA",Movimientos!$R$5:$R$2001,0)),"-")</f>
        <v>-</v>
      </c>
      <c r="C821" s="3" t="str">
        <f>IFERROR(INDEX(Movimientos!$D$5:$D$2001,MATCH(A821&amp;"ENTRADA",Movimientos!$R$5:$R$2001,0)),"-")</f>
        <v>-</v>
      </c>
      <c r="D821" s="3" t="str">
        <f>IFERROR(INDEX(Movimientos!$E$5:$E$2001,MATCH(A821&amp;"ENTRADA",Movimientos!$R$5:$R$2001,0)),"-")</f>
        <v>-</v>
      </c>
      <c r="E821" s="3" t="str">
        <f>IFERROR(INDEX(Movimientos!$F$5:$F$2001,MATCH(A821&amp;"ENTRADA",Movimientos!$R$5:$R$2001,0)),"-")</f>
        <v>-</v>
      </c>
      <c r="F821" s="3" t="str">
        <f>IFERROR(INDEX(Movimientos!$G$5:$G$2001,MATCH(A821&amp;"ENTRADA",Movimientos!$R$5:$R$2001,0)),"-")</f>
        <v>-</v>
      </c>
      <c r="G821" s="3" t="str">
        <f>IFERROR(INDEX(Movimientos!$L$5:$L$2001,MATCH(A821&amp;"ENTRADA",Movimientos!$R$5:$R$2001,0)),"-")</f>
        <v>-</v>
      </c>
      <c r="H821" s="19" t="str">
        <f>IFERROR(IF(INDEX(Movimientos!$M$5:$M$2001,MATCH(A821&amp;"ENTRADA",Movimientos!$R$5:$R$2001,0))=0,"S/D",INDEX(Movimientos!$M$5:$M$2001,MATCH(A821&amp;"ENTRADA",Movimientos!$R$5:$R$2001,0))),"S/D")</f>
        <v>S/D</v>
      </c>
      <c r="I821" s="16" t="str">
        <f t="shared" ca="1" si="26"/>
        <v>S/D</v>
      </c>
      <c r="J821" s="6">
        <f>IF(A821="","",SUMIFS(Movimientos!$K:$K,Movimientos!$H:$H,A821))</f>
        <v>0</v>
      </c>
      <c r="K821" s="14" t="str">
        <f t="shared" ca="1" si="27"/>
        <v>OK</v>
      </c>
    </row>
    <row r="822" spans="1:11">
      <c r="A822" s="18" t="s">
        <v>2895</v>
      </c>
      <c r="B822" s="3" t="str">
        <f>IFERROR(INDEX(Movimientos!$C$5:$C$2001,MATCH(A822&amp;"ENTRADA",Movimientos!$R$5:$R$2001,0)),"-")</f>
        <v>-</v>
      </c>
      <c r="C822" s="3" t="str">
        <f>IFERROR(INDEX(Movimientos!$D$5:$D$2001,MATCH(A822&amp;"ENTRADA",Movimientos!$R$5:$R$2001,0)),"-")</f>
        <v>-</v>
      </c>
      <c r="D822" s="3" t="str">
        <f>IFERROR(INDEX(Movimientos!$E$5:$E$2001,MATCH(A822&amp;"ENTRADA",Movimientos!$R$5:$R$2001,0)),"-")</f>
        <v>-</v>
      </c>
      <c r="E822" s="3" t="str">
        <f>IFERROR(INDEX(Movimientos!$F$5:$F$2001,MATCH(A822&amp;"ENTRADA",Movimientos!$R$5:$R$2001,0)),"-")</f>
        <v>-</v>
      </c>
      <c r="F822" s="3" t="str">
        <f>IFERROR(INDEX(Movimientos!$G$5:$G$2001,MATCH(A822&amp;"ENTRADA",Movimientos!$R$5:$R$2001,0)),"-")</f>
        <v>-</v>
      </c>
      <c r="G822" s="3" t="str">
        <f>IFERROR(INDEX(Movimientos!$L$5:$L$2001,MATCH(A822&amp;"ENTRADA",Movimientos!$R$5:$R$2001,0)),"-")</f>
        <v>-</v>
      </c>
      <c r="H822" s="19" t="str">
        <f>IFERROR(IF(INDEX(Movimientos!$M$5:$M$2001,MATCH(A822&amp;"ENTRADA",Movimientos!$R$5:$R$2001,0))=0,"S/D",INDEX(Movimientos!$M$5:$M$2001,MATCH(A822&amp;"ENTRADA",Movimientos!$R$5:$R$2001,0))),"S/D")</f>
        <v>S/D</v>
      </c>
      <c r="I822" s="16" t="str">
        <f t="shared" ca="1" si="26"/>
        <v>S/D</v>
      </c>
      <c r="J822" s="6">
        <f>IF(A822="","",SUMIFS(Movimientos!$K:$K,Movimientos!$H:$H,A822))</f>
        <v>0</v>
      </c>
      <c r="K822" s="14" t="str">
        <f t="shared" ca="1" si="27"/>
        <v>OK</v>
      </c>
    </row>
    <row r="823" spans="1:11">
      <c r="A823" s="18" t="s">
        <v>2896</v>
      </c>
      <c r="B823" s="3" t="str">
        <f>IFERROR(INDEX(Movimientos!$C$5:$C$2001,MATCH(A823&amp;"ENTRADA",Movimientos!$R$5:$R$2001,0)),"-")</f>
        <v>-</v>
      </c>
      <c r="C823" s="3" t="str">
        <f>IFERROR(INDEX(Movimientos!$D$5:$D$2001,MATCH(A823&amp;"ENTRADA",Movimientos!$R$5:$R$2001,0)),"-")</f>
        <v>-</v>
      </c>
      <c r="D823" s="3" t="str">
        <f>IFERROR(INDEX(Movimientos!$E$5:$E$2001,MATCH(A823&amp;"ENTRADA",Movimientos!$R$5:$R$2001,0)),"-")</f>
        <v>-</v>
      </c>
      <c r="E823" s="3" t="str">
        <f>IFERROR(INDEX(Movimientos!$F$5:$F$2001,MATCH(A823&amp;"ENTRADA",Movimientos!$R$5:$R$2001,0)),"-")</f>
        <v>-</v>
      </c>
      <c r="F823" s="3" t="str">
        <f>IFERROR(INDEX(Movimientos!$G$5:$G$2001,MATCH(A823&amp;"ENTRADA",Movimientos!$R$5:$R$2001,0)),"-")</f>
        <v>-</v>
      </c>
      <c r="G823" s="3" t="str">
        <f>IFERROR(INDEX(Movimientos!$L$5:$L$2001,MATCH(A823&amp;"ENTRADA",Movimientos!$R$5:$R$2001,0)),"-")</f>
        <v>-</v>
      </c>
      <c r="H823" s="19" t="str">
        <f>IFERROR(IF(INDEX(Movimientos!$M$5:$M$2001,MATCH(A823&amp;"ENTRADA",Movimientos!$R$5:$R$2001,0))=0,"S/D",INDEX(Movimientos!$M$5:$M$2001,MATCH(A823&amp;"ENTRADA",Movimientos!$R$5:$R$2001,0))),"S/D")</f>
        <v>S/D</v>
      </c>
      <c r="I823" s="16" t="str">
        <f t="shared" ca="1" si="26"/>
        <v>S/D</v>
      </c>
      <c r="J823" s="6">
        <f>IF(A823="","",SUMIFS(Movimientos!$K:$K,Movimientos!$H:$H,A823))</f>
        <v>0</v>
      </c>
      <c r="K823" s="14" t="str">
        <f t="shared" ca="1" si="27"/>
        <v>OK</v>
      </c>
    </row>
    <row r="824" spans="1:11">
      <c r="A824" s="18" t="s">
        <v>2897</v>
      </c>
      <c r="B824" s="3" t="str">
        <f>IFERROR(INDEX(Movimientos!$C$5:$C$2001,MATCH(A824&amp;"ENTRADA",Movimientos!$R$5:$R$2001,0)),"-")</f>
        <v>-</v>
      </c>
      <c r="C824" s="3" t="str">
        <f>IFERROR(INDEX(Movimientos!$D$5:$D$2001,MATCH(A824&amp;"ENTRADA",Movimientos!$R$5:$R$2001,0)),"-")</f>
        <v>-</v>
      </c>
      <c r="D824" s="3" t="str">
        <f>IFERROR(INDEX(Movimientos!$E$5:$E$2001,MATCH(A824&amp;"ENTRADA",Movimientos!$R$5:$R$2001,0)),"-")</f>
        <v>-</v>
      </c>
      <c r="E824" s="3" t="str">
        <f>IFERROR(INDEX(Movimientos!$F$5:$F$2001,MATCH(A824&amp;"ENTRADA",Movimientos!$R$5:$R$2001,0)),"-")</f>
        <v>-</v>
      </c>
      <c r="F824" s="3" t="str">
        <f>IFERROR(INDEX(Movimientos!$G$5:$G$2001,MATCH(A824&amp;"ENTRADA",Movimientos!$R$5:$R$2001,0)),"-")</f>
        <v>-</v>
      </c>
      <c r="G824" s="3" t="str">
        <f>IFERROR(INDEX(Movimientos!$L$5:$L$2001,MATCH(A824&amp;"ENTRADA",Movimientos!$R$5:$R$2001,0)),"-")</f>
        <v>-</v>
      </c>
      <c r="H824" s="19" t="str">
        <f>IFERROR(IF(INDEX(Movimientos!$M$5:$M$2001,MATCH(A824&amp;"ENTRADA",Movimientos!$R$5:$R$2001,0))=0,"S/D",INDEX(Movimientos!$M$5:$M$2001,MATCH(A824&amp;"ENTRADA",Movimientos!$R$5:$R$2001,0))),"S/D")</f>
        <v>S/D</v>
      </c>
      <c r="I824" s="16" t="str">
        <f t="shared" ca="1" si="26"/>
        <v>S/D</v>
      </c>
      <c r="J824" s="6">
        <f>IF(A824="","",SUMIFS(Movimientos!$K:$K,Movimientos!$H:$H,A824))</f>
        <v>0</v>
      </c>
      <c r="K824" s="14" t="str">
        <f t="shared" ca="1" si="27"/>
        <v>OK</v>
      </c>
    </row>
    <row r="825" spans="1:11">
      <c r="A825" s="18" t="s">
        <v>2898</v>
      </c>
      <c r="B825" s="3" t="str">
        <f>IFERROR(INDEX(Movimientos!$C$5:$C$2001,MATCH(A825&amp;"ENTRADA",Movimientos!$R$5:$R$2001,0)),"-")</f>
        <v>-</v>
      </c>
      <c r="C825" s="3" t="str">
        <f>IFERROR(INDEX(Movimientos!$D$5:$D$2001,MATCH(A825&amp;"ENTRADA",Movimientos!$R$5:$R$2001,0)),"-")</f>
        <v>-</v>
      </c>
      <c r="D825" s="3" t="str">
        <f>IFERROR(INDEX(Movimientos!$E$5:$E$2001,MATCH(A825&amp;"ENTRADA",Movimientos!$R$5:$R$2001,0)),"-")</f>
        <v>-</v>
      </c>
      <c r="E825" s="3" t="str">
        <f>IFERROR(INDEX(Movimientos!$F$5:$F$2001,MATCH(A825&amp;"ENTRADA",Movimientos!$R$5:$R$2001,0)),"-")</f>
        <v>-</v>
      </c>
      <c r="F825" s="3" t="str">
        <f>IFERROR(INDEX(Movimientos!$G$5:$G$2001,MATCH(A825&amp;"ENTRADA",Movimientos!$R$5:$R$2001,0)),"-")</f>
        <v>-</v>
      </c>
      <c r="G825" s="3" t="str">
        <f>IFERROR(INDEX(Movimientos!$L$5:$L$2001,MATCH(A825&amp;"ENTRADA",Movimientos!$R$5:$R$2001,0)),"-")</f>
        <v>-</v>
      </c>
      <c r="H825" s="19" t="str">
        <f>IFERROR(IF(INDEX(Movimientos!$M$5:$M$2001,MATCH(A825&amp;"ENTRADA",Movimientos!$R$5:$R$2001,0))=0,"S/D",INDEX(Movimientos!$M$5:$M$2001,MATCH(A825&amp;"ENTRADA",Movimientos!$R$5:$R$2001,0))),"S/D")</f>
        <v>S/D</v>
      </c>
      <c r="I825" s="16" t="str">
        <f t="shared" ca="1" si="26"/>
        <v>S/D</v>
      </c>
      <c r="J825" s="6">
        <f>IF(A825="","",SUMIFS(Movimientos!$K:$K,Movimientos!$H:$H,A825))</f>
        <v>0</v>
      </c>
      <c r="K825" s="14" t="str">
        <f t="shared" ca="1" si="27"/>
        <v>OK</v>
      </c>
    </row>
    <row r="826" spans="1:11">
      <c r="A826" s="18" t="s">
        <v>2899</v>
      </c>
      <c r="B826" s="3" t="str">
        <f>IFERROR(INDEX(Movimientos!$C$5:$C$2001,MATCH(A826&amp;"ENTRADA",Movimientos!$R$5:$R$2001,0)),"-")</f>
        <v>-</v>
      </c>
      <c r="C826" s="3" t="str">
        <f>IFERROR(INDEX(Movimientos!$D$5:$D$2001,MATCH(A826&amp;"ENTRADA",Movimientos!$R$5:$R$2001,0)),"-")</f>
        <v>-</v>
      </c>
      <c r="D826" s="3" t="str">
        <f>IFERROR(INDEX(Movimientos!$E$5:$E$2001,MATCH(A826&amp;"ENTRADA",Movimientos!$R$5:$R$2001,0)),"-")</f>
        <v>-</v>
      </c>
      <c r="E826" s="3" t="str">
        <f>IFERROR(INDEX(Movimientos!$F$5:$F$2001,MATCH(A826&amp;"ENTRADA",Movimientos!$R$5:$R$2001,0)),"-")</f>
        <v>-</v>
      </c>
      <c r="F826" s="3" t="str">
        <f>IFERROR(INDEX(Movimientos!$G$5:$G$2001,MATCH(A826&amp;"ENTRADA",Movimientos!$R$5:$R$2001,0)),"-")</f>
        <v>-</v>
      </c>
      <c r="G826" s="3" t="str">
        <f>IFERROR(INDEX(Movimientos!$L$5:$L$2001,MATCH(A826&amp;"ENTRADA",Movimientos!$R$5:$R$2001,0)),"-")</f>
        <v>-</v>
      </c>
      <c r="H826" s="19" t="str">
        <f>IFERROR(IF(INDEX(Movimientos!$M$5:$M$2001,MATCH(A826&amp;"ENTRADA",Movimientos!$R$5:$R$2001,0))=0,"S/D",INDEX(Movimientos!$M$5:$M$2001,MATCH(A826&amp;"ENTRADA",Movimientos!$R$5:$R$2001,0))),"S/D")</f>
        <v>S/D</v>
      </c>
      <c r="I826" s="16" t="str">
        <f t="shared" ca="1" si="26"/>
        <v>S/D</v>
      </c>
      <c r="J826" s="6">
        <f>IF(A826="","",SUMIFS(Movimientos!$K:$K,Movimientos!$H:$H,A826))</f>
        <v>0</v>
      </c>
      <c r="K826" s="14" t="str">
        <f t="shared" ca="1" si="27"/>
        <v>OK</v>
      </c>
    </row>
    <row r="827" spans="1:11">
      <c r="A827" s="18" t="s">
        <v>2900</v>
      </c>
      <c r="B827" s="3" t="str">
        <f>IFERROR(INDEX(Movimientos!$C$5:$C$2001,MATCH(A827&amp;"ENTRADA",Movimientos!$R$5:$R$2001,0)),"-")</f>
        <v>-</v>
      </c>
      <c r="C827" s="3" t="str">
        <f>IFERROR(INDEX(Movimientos!$D$5:$D$2001,MATCH(A827&amp;"ENTRADA",Movimientos!$R$5:$R$2001,0)),"-")</f>
        <v>-</v>
      </c>
      <c r="D827" s="3" t="str">
        <f>IFERROR(INDEX(Movimientos!$E$5:$E$2001,MATCH(A827&amp;"ENTRADA",Movimientos!$R$5:$R$2001,0)),"-")</f>
        <v>-</v>
      </c>
      <c r="E827" s="3" t="str">
        <f>IFERROR(INDEX(Movimientos!$F$5:$F$2001,MATCH(A827&amp;"ENTRADA",Movimientos!$R$5:$R$2001,0)),"-")</f>
        <v>-</v>
      </c>
      <c r="F827" s="3" t="str">
        <f>IFERROR(INDEX(Movimientos!$G$5:$G$2001,MATCH(A827&amp;"ENTRADA",Movimientos!$R$5:$R$2001,0)),"-")</f>
        <v>-</v>
      </c>
      <c r="G827" s="3" t="str">
        <f>IFERROR(INDEX(Movimientos!$L$5:$L$2001,MATCH(A827&amp;"ENTRADA",Movimientos!$R$5:$R$2001,0)),"-")</f>
        <v>-</v>
      </c>
      <c r="H827" s="19" t="str">
        <f>IFERROR(IF(INDEX(Movimientos!$M$5:$M$2001,MATCH(A827&amp;"ENTRADA",Movimientos!$R$5:$R$2001,0))=0,"S/D",INDEX(Movimientos!$M$5:$M$2001,MATCH(A827&amp;"ENTRADA",Movimientos!$R$5:$R$2001,0))),"S/D")</f>
        <v>S/D</v>
      </c>
      <c r="I827" s="16" t="str">
        <f t="shared" ca="1" si="26"/>
        <v>S/D</v>
      </c>
      <c r="J827" s="6">
        <f>IF(A827="","",SUMIFS(Movimientos!$K:$K,Movimientos!$H:$H,A827))</f>
        <v>0</v>
      </c>
      <c r="K827" s="14" t="str">
        <f t="shared" ca="1" si="27"/>
        <v>OK</v>
      </c>
    </row>
    <row r="828" spans="1:11">
      <c r="A828" s="18" t="s">
        <v>2901</v>
      </c>
      <c r="B828" s="3" t="str">
        <f>IFERROR(INDEX(Movimientos!$C$5:$C$2001,MATCH(A828&amp;"ENTRADA",Movimientos!$R$5:$R$2001,0)),"-")</f>
        <v>-</v>
      </c>
      <c r="C828" s="3" t="str">
        <f>IFERROR(INDEX(Movimientos!$D$5:$D$2001,MATCH(A828&amp;"ENTRADA",Movimientos!$R$5:$R$2001,0)),"-")</f>
        <v>-</v>
      </c>
      <c r="D828" s="3" t="str">
        <f>IFERROR(INDEX(Movimientos!$E$5:$E$2001,MATCH(A828&amp;"ENTRADA",Movimientos!$R$5:$R$2001,0)),"-")</f>
        <v>-</v>
      </c>
      <c r="E828" s="3" t="str">
        <f>IFERROR(INDEX(Movimientos!$F$5:$F$2001,MATCH(A828&amp;"ENTRADA",Movimientos!$R$5:$R$2001,0)),"-")</f>
        <v>-</v>
      </c>
      <c r="F828" s="3" t="str">
        <f>IFERROR(INDEX(Movimientos!$G$5:$G$2001,MATCH(A828&amp;"ENTRADA",Movimientos!$R$5:$R$2001,0)),"-")</f>
        <v>-</v>
      </c>
      <c r="G828" s="3" t="str">
        <f>IFERROR(INDEX(Movimientos!$L$5:$L$2001,MATCH(A828&amp;"ENTRADA",Movimientos!$R$5:$R$2001,0)),"-")</f>
        <v>-</v>
      </c>
      <c r="H828" s="19" t="str">
        <f>IFERROR(IF(INDEX(Movimientos!$M$5:$M$2001,MATCH(A828&amp;"ENTRADA",Movimientos!$R$5:$R$2001,0))=0,"S/D",INDEX(Movimientos!$M$5:$M$2001,MATCH(A828&amp;"ENTRADA",Movimientos!$R$5:$R$2001,0))),"S/D")</f>
        <v>S/D</v>
      </c>
      <c r="I828" s="16" t="str">
        <f t="shared" ca="1" si="26"/>
        <v>S/D</v>
      </c>
      <c r="J828" s="6">
        <f>IF(A828="","",SUMIFS(Movimientos!$K:$K,Movimientos!$H:$H,A828))</f>
        <v>0</v>
      </c>
      <c r="K828" s="14" t="str">
        <f t="shared" ca="1" si="27"/>
        <v>OK</v>
      </c>
    </row>
    <row r="829" spans="1:11">
      <c r="A829" s="18" t="s">
        <v>2902</v>
      </c>
      <c r="B829" s="3" t="str">
        <f>IFERROR(INDEX(Movimientos!$C$5:$C$2001,MATCH(A829&amp;"ENTRADA",Movimientos!$R$5:$R$2001,0)),"-")</f>
        <v>-</v>
      </c>
      <c r="C829" s="3" t="str">
        <f>IFERROR(INDEX(Movimientos!$D$5:$D$2001,MATCH(A829&amp;"ENTRADA",Movimientos!$R$5:$R$2001,0)),"-")</f>
        <v>-</v>
      </c>
      <c r="D829" s="3" t="str">
        <f>IFERROR(INDEX(Movimientos!$E$5:$E$2001,MATCH(A829&amp;"ENTRADA",Movimientos!$R$5:$R$2001,0)),"-")</f>
        <v>-</v>
      </c>
      <c r="E829" s="3" t="str">
        <f>IFERROR(INDEX(Movimientos!$F$5:$F$2001,MATCH(A829&amp;"ENTRADA",Movimientos!$R$5:$R$2001,0)),"-")</f>
        <v>-</v>
      </c>
      <c r="F829" s="3" t="str">
        <f>IFERROR(INDEX(Movimientos!$G$5:$G$2001,MATCH(A829&amp;"ENTRADA",Movimientos!$R$5:$R$2001,0)),"-")</f>
        <v>-</v>
      </c>
      <c r="G829" s="3" t="str">
        <f>IFERROR(INDEX(Movimientos!$L$5:$L$2001,MATCH(A829&amp;"ENTRADA",Movimientos!$R$5:$R$2001,0)),"-")</f>
        <v>-</v>
      </c>
      <c r="H829" s="19" t="str">
        <f>IFERROR(IF(INDEX(Movimientos!$M$5:$M$2001,MATCH(A829&amp;"ENTRADA",Movimientos!$R$5:$R$2001,0))=0,"S/D",INDEX(Movimientos!$M$5:$M$2001,MATCH(A829&amp;"ENTRADA",Movimientos!$R$5:$R$2001,0))),"S/D")</f>
        <v>S/D</v>
      </c>
      <c r="I829" s="16" t="str">
        <f t="shared" ca="1" si="26"/>
        <v>S/D</v>
      </c>
      <c r="J829" s="6">
        <f>IF(A829="","",SUMIFS(Movimientos!$K:$K,Movimientos!$H:$H,A829))</f>
        <v>0</v>
      </c>
      <c r="K829" s="14" t="str">
        <f t="shared" ca="1" si="27"/>
        <v>OK</v>
      </c>
    </row>
    <row r="830" spans="1:11">
      <c r="A830" s="18" t="s">
        <v>2903</v>
      </c>
      <c r="B830" s="3" t="str">
        <f>IFERROR(INDEX(Movimientos!$C$5:$C$2001,MATCH(A830&amp;"ENTRADA",Movimientos!$R$5:$R$2001,0)),"-")</f>
        <v>-</v>
      </c>
      <c r="C830" s="3" t="str">
        <f>IFERROR(INDEX(Movimientos!$D$5:$D$2001,MATCH(A830&amp;"ENTRADA",Movimientos!$R$5:$R$2001,0)),"-")</f>
        <v>-</v>
      </c>
      <c r="D830" s="3" t="str">
        <f>IFERROR(INDEX(Movimientos!$E$5:$E$2001,MATCH(A830&amp;"ENTRADA",Movimientos!$R$5:$R$2001,0)),"-")</f>
        <v>-</v>
      </c>
      <c r="E830" s="3" t="str">
        <f>IFERROR(INDEX(Movimientos!$F$5:$F$2001,MATCH(A830&amp;"ENTRADA",Movimientos!$R$5:$R$2001,0)),"-")</f>
        <v>-</v>
      </c>
      <c r="F830" s="3" t="str">
        <f>IFERROR(INDEX(Movimientos!$G$5:$G$2001,MATCH(A830&amp;"ENTRADA",Movimientos!$R$5:$R$2001,0)),"-")</f>
        <v>-</v>
      </c>
      <c r="G830" s="3" t="str">
        <f>IFERROR(INDEX(Movimientos!$L$5:$L$2001,MATCH(A830&amp;"ENTRADA",Movimientos!$R$5:$R$2001,0)),"-")</f>
        <v>-</v>
      </c>
      <c r="H830" s="19" t="str">
        <f>IFERROR(IF(INDEX(Movimientos!$M$5:$M$2001,MATCH(A830&amp;"ENTRADA",Movimientos!$R$5:$R$2001,0))=0,"S/D",INDEX(Movimientos!$M$5:$M$2001,MATCH(A830&amp;"ENTRADA",Movimientos!$R$5:$R$2001,0))),"S/D")</f>
        <v>S/D</v>
      </c>
      <c r="I830" s="16" t="str">
        <f t="shared" ca="1" si="26"/>
        <v>S/D</v>
      </c>
      <c r="J830" s="6">
        <f>IF(A830="","",SUMIFS(Movimientos!$K:$K,Movimientos!$H:$H,A830))</f>
        <v>0</v>
      </c>
      <c r="K830" s="14" t="str">
        <f t="shared" ca="1" si="27"/>
        <v>OK</v>
      </c>
    </row>
    <row r="831" spans="1:11">
      <c r="A831" s="18" t="s">
        <v>2904</v>
      </c>
      <c r="B831" s="3" t="str">
        <f>IFERROR(INDEX(Movimientos!$C$5:$C$2001,MATCH(A831&amp;"ENTRADA",Movimientos!$R$5:$R$2001,0)),"-")</f>
        <v>-</v>
      </c>
      <c r="C831" s="3" t="str">
        <f>IFERROR(INDEX(Movimientos!$D$5:$D$2001,MATCH(A831&amp;"ENTRADA",Movimientos!$R$5:$R$2001,0)),"-")</f>
        <v>-</v>
      </c>
      <c r="D831" s="3" t="str">
        <f>IFERROR(INDEX(Movimientos!$E$5:$E$2001,MATCH(A831&amp;"ENTRADA",Movimientos!$R$5:$R$2001,0)),"-")</f>
        <v>-</v>
      </c>
      <c r="E831" s="3" t="str">
        <f>IFERROR(INDEX(Movimientos!$F$5:$F$2001,MATCH(A831&amp;"ENTRADA",Movimientos!$R$5:$R$2001,0)),"-")</f>
        <v>-</v>
      </c>
      <c r="F831" s="3" t="str">
        <f>IFERROR(INDEX(Movimientos!$G$5:$G$2001,MATCH(A831&amp;"ENTRADA",Movimientos!$R$5:$R$2001,0)),"-")</f>
        <v>-</v>
      </c>
      <c r="G831" s="3" t="str">
        <f>IFERROR(INDEX(Movimientos!$L$5:$L$2001,MATCH(A831&amp;"ENTRADA",Movimientos!$R$5:$R$2001,0)),"-")</f>
        <v>-</v>
      </c>
      <c r="H831" s="19" t="str">
        <f>IFERROR(IF(INDEX(Movimientos!$M$5:$M$2001,MATCH(A831&amp;"ENTRADA",Movimientos!$R$5:$R$2001,0))=0,"S/D",INDEX(Movimientos!$M$5:$M$2001,MATCH(A831&amp;"ENTRADA",Movimientos!$R$5:$R$2001,0))),"S/D")</f>
        <v>S/D</v>
      </c>
      <c r="I831" s="16" t="str">
        <f t="shared" ca="1" si="26"/>
        <v>S/D</v>
      </c>
      <c r="J831" s="6">
        <f>IF(A831="","",SUMIFS(Movimientos!$K:$K,Movimientos!$H:$H,A831))</f>
        <v>0</v>
      </c>
      <c r="K831" s="14" t="str">
        <f t="shared" ca="1" si="27"/>
        <v>OK</v>
      </c>
    </row>
    <row r="832" spans="1:11">
      <c r="A832" s="18" t="s">
        <v>2905</v>
      </c>
      <c r="B832" s="3" t="str">
        <f>IFERROR(INDEX(Movimientos!$C$5:$C$2001,MATCH(A832&amp;"ENTRADA",Movimientos!$R$5:$R$2001,0)),"-")</f>
        <v>-</v>
      </c>
      <c r="C832" s="3" t="str">
        <f>IFERROR(INDEX(Movimientos!$D$5:$D$2001,MATCH(A832&amp;"ENTRADA",Movimientos!$R$5:$R$2001,0)),"-")</f>
        <v>-</v>
      </c>
      <c r="D832" s="3" t="str">
        <f>IFERROR(INDEX(Movimientos!$E$5:$E$2001,MATCH(A832&amp;"ENTRADA",Movimientos!$R$5:$R$2001,0)),"-")</f>
        <v>-</v>
      </c>
      <c r="E832" s="3" t="str">
        <f>IFERROR(INDEX(Movimientos!$F$5:$F$2001,MATCH(A832&amp;"ENTRADA",Movimientos!$R$5:$R$2001,0)),"-")</f>
        <v>-</v>
      </c>
      <c r="F832" s="3" t="str">
        <f>IFERROR(INDEX(Movimientos!$G$5:$G$2001,MATCH(A832&amp;"ENTRADA",Movimientos!$R$5:$R$2001,0)),"-")</f>
        <v>-</v>
      </c>
      <c r="G832" s="3" t="str">
        <f>IFERROR(INDEX(Movimientos!$L$5:$L$2001,MATCH(A832&amp;"ENTRADA",Movimientos!$R$5:$R$2001,0)),"-")</f>
        <v>-</v>
      </c>
      <c r="H832" s="19" t="str">
        <f>IFERROR(IF(INDEX(Movimientos!$M$5:$M$2001,MATCH(A832&amp;"ENTRADA",Movimientos!$R$5:$R$2001,0))=0,"S/D",INDEX(Movimientos!$M$5:$M$2001,MATCH(A832&amp;"ENTRADA",Movimientos!$R$5:$R$2001,0))),"S/D")</f>
        <v>S/D</v>
      </c>
      <c r="I832" s="16" t="str">
        <f t="shared" ca="1" si="26"/>
        <v>S/D</v>
      </c>
      <c r="J832" s="6">
        <f>IF(A832="","",SUMIFS(Movimientos!$K:$K,Movimientos!$H:$H,A832))</f>
        <v>0</v>
      </c>
      <c r="K832" s="14" t="str">
        <f t="shared" ca="1" si="27"/>
        <v>OK</v>
      </c>
    </row>
    <row r="833" spans="1:11">
      <c r="A833" s="18" t="s">
        <v>2906</v>
      </c>
      <c r="B833" s="3" t="str">
        <f>IFERROR(INDEX(Movimientos!$C$5:$C$2001,MATCH(A833&amp;"ENTRADA",Movimientos!$R$5:$R$2001,0)),"-")</f>
        <v>-</v>
      </c>
      <c r="C833" s="3" t="str">
        <f>IFERROR(INDEX(Movimientos!$D$5:$D$2001,MATCH(A833&amp;"ENTRADA",Movimientos!$R$5:$R$2001,0)),"-")</f>
        <v>-</v>
      </c>
      <c r="D833" s="3" t="str">
        <f>IFERROR(INDEX(Movimientos!$E$5:$E$2001,MATCH(A833&amp;"ENTRADA",Movimientos!$R$5:$R$2001,0)),"-")</f>
        <v>-</v>
      </c>
      <c r="E833" s="3" t="str">
        <f>IFERROR(INDEX(Movimientos!$F$5:$F$2001,MATCH(A833&amp;"ENTRADA",Movimientos!$R$5:$R$2001,0)),"-")</f>
        <v>-</v>
      </c>
      <c r="F833" s="3" t="str">
        <f>IFERROR(INDEX(Movimientos!$G$5:$G$2001,MATCH(A833&amp;"ENTRADA",Movimientos!$R$5:$R$2001,0)),"-")</f>
        <v>-</v>
      </c>
      <c r="G833" s="3" t="str">
        <f>IFERROR(INDEX(Movimientos!$L$5:$L$2001,MATCH(A833&amp;"ENTRADA",Movimientos!$R$5:$R$2001,0)),"-")</f>
        <v>-</v>
      </c>
      <c r="H833" s="19" t="str">
        <f>IFERROR(IF(INDEX(Movimientos!$M$5:$M$2001,MATCH(A833&amp;"ENTRADA",Movimientos!$R$5:$R$2001,0))=0,"S/D",INDEX(Movimientos!$M$5:$M$2001,MATCH(A833&amp;"ENTRADA",Movimientos!$R$5:$R$2001,0))),"S/D")</f>
        <v>S/D</v>
      </c>
      <c r="I833" s="16" t="str">
        <f t="shared" ca="1" si="26"/>
        <v>S/D</v>
      </c>
      <c r="J833" s="6">
        <f>IF(A833="","",SUMIFS(Movimientos!$K:$K,Movimientos!$H:$H,A833))</f>
        <v>0</v>
      </c>
      <c r="K833" s="14" t="str">
        <f t="shared" ca="1" si="27"/>
        <v>OK</v>
      </c>
    </row>
    <row r="834" spans="1:11">
      <c r="A834" s="18" t="s">
        <v>2907</v>
      </c>
      <c r="B834" s="3" t="str">
        <f>IFERROR(INDEX(Movimientos!$C$5:$C$2001,MATCH(A834&amp;"ENTRADA",Movimientos!$R$5:$R$2001,0)),"-")</f>
        <v>-</v>
      </c>
      <c r="C834" s="3" t="str">
        <f>IFERROR(INDEX(Movimientos!$D$5:$D$2001,MATCH(A834&amp;"ENTRADA",Movimientos!$R$5:$R$2001,0)),"-")</f>
        <v>-</v>
      </c>
      <c r="D834" s="3" t="str">
        <f>IFERROR(INDEX(Movimientos!$E$5:$E$2001,MATCH(A834&amp;"ENTRADA",Movimientos!$R$5:$R$2001,0)),"-")</f>
        <v>-</v>
      </c>
      <c r="E834" s="3" t="str">
        <f>IFERROR(INDEX(Movimientos!$F$5:$F$2001,MATCH(A834&amp;"ENTRADA",Movimientos!$R$5:$R$2001,0)),"-")</f>
        <v>-</v>
      </c>
      <c r="F834" s="3" t="str">
        <f>IFERROR(INDEX(Movimientos!$G$5:$G$2001,MATCH(A834&amp;"ENTRADA",Movimientos!$R$5:$R$2001,0)),"-")</f>
        <v>-</v>
      </c>
      <c r="G834" s="3" t="str">
        <f>IFERROR(INDEX(Movimientos!$L$5:$L$2001,MATCH(A834&amp;"ENTRADA",Movimientos!$R$5:$R$2001,0)),"-")</f>
        <v>-</v>
      </c>
      <c r="H834" s="19" t="str">
        <f>IFERROR(IF(INDEX(Movimientos!$M$5:$M$2001,MATCH(A834&amp;"ENTRADA",Movimientos!$R$5:$R$2001,0))=0,"S/D",INDEX(Movimientos!$M$5:$M$2001,MATCH(A834&amp;"ENTRADA",Movimientos!$R$5:$R$2001,0))),"S/D")</f>
        <v>S/D</v>
      </c>
      <c r="I834" s="16" t="str">
        <f t="shared" ca="1" si="26"/>
        <v>S/D</v>
      </c>
      <c r="J834" s="6">
        <f>IF(A834="","",SUMIFS(Movimientos!$K:$K,Movimientos!$H:$H,A834))</f>
        <v>0</v>
      </c>
      <c r="K834" s="14" t="str">
        <f t="shared" ca="1" si="27"/>
        <v>OK</v>
      </c>
    </row>
    <row r="835" spans="1:11">
      <c r="A835" s="18" t="s">
        <v>2908</v>
      </c>
      <c r="B835" s="3" t="str">
        <f>IFERROR(INDEX(Movimientos!$C$5:$C$2001,MATCH(A835&amp;"ENTRADA",Movimientos!$R$5:$R$2001,0)),"-")</f>
        <v>-</v>
      </c>
      <c r="C835" s="3" t="str">
        <f>IFERROR(INDEX(Movimientos!$D$5:$D$2001,MATCH(A835&amp;"ENTRADA",Movimientos!$R$5:$R$2001,0)),"-")</f>
        <v>-</v>
      </c>
      <c r="D835" s="3" t="str">
        <f>IFERROR(INDEX(Movimientos!$E$5:$E$2001,MATCH(A835&amp;"ENTRADA",Movimientos!$R$5:$R$2001,0)),"-")</f>
        <v>-</v>
      </c>
      <c r="E835" s="3" t="str">
        <f>IFERROR(INDEX(Movimientos!$F$5:$F$2001,MATCH(A835&amp;"ENTRADA",Movimientos!$R$5:$R$2001,0)),"-")</f>
        <v>-</v>
      </c>
      <c r="F835" s="3" t="str">
        <f>IFERROR(INDEX(Movimientos!$G$5:$G$2001,MATCH(A835&amp;"ENTRADA",Movimientos!$R$5:$R$2001,0)),"-")</f>
        <v>-</v>
      </c>
      <c r="G835" s="3" t="str">
        <f>IFERROR(INDEX(Movimientos!$L$5:$L$2001,MATCH(A835&amp;"ENTRADA",Movimientos!$R$5:$R$2001,0)),"-")</f>
        <v>-</v>
      </c>
      <c r="H835" s="19" t="str">
        <f>IFERROR(IF(INDEX(Movimientos!$M$5:$M$2001,MATCH(A835&amp;"ENTRADA",Movimientos!$R$5:$R$2001,0))=0,"S/D",INDEX(Movimientos!$M$5:$M$2001,MATCH(A835&amp;"ENTRADA",Movimientos!$R$5:$R$2001,0))),"S/D")</f>
        <v>S/D</v>
      </c>
      <c r="I835" s="16" t="str">
        <f t="shared" ca="1" si="26"/>
        <v>S/D</v>
      </c>
      <c r="J835" s="6">
        <f>IF(A835="","",SUMIFS(Movimientos!$K:$K,Movimientos!$H:$H,A835))</f>
        <v>0</v>
      </c>
      <c r="K835" s="14" t="str">
        <f t="shared" ca="1" si="27"/>
        <v>OK</v>
      </c>
    </row>
    <row r="836" spans="1:11">
      <c r="A836" s="18" t="s">
        <v>2909</v>
      </c>
      <c r="B836" s="3" t="str">
        <f>IFERROR(INDEX(Movimientos!$C$5:$C$2001,MATCH(A836&amp;"ENTRADA",Movimientos!$R$5:$R$2001,0)),"-")</f>
        <v>-</v>
      </c>
      <c r="C836" s="3" t="str">
        <f>IFERROR(INDEX(Movimientos!$D$5:$D$2001,MATCH(A836&amp;"ENTRADA",Movimientos!$R$5:$R$2001,0)),"-")</f>
        <v>-</v>
      </c>
      <c r="D836" s="3" t="str">
        <f>IFERROR(INDEX(Movimientos!$E$5:$E$2001,MATCH(A836&amp;"ENTRADA",Movimientos!$R$5:$R$2001,0)),"-")</f>
        <v>-</v>
      </c>
      <c r="E836" s="3" t="str">
        <f>IFERROR(INDEX(Movimientos!$F$5:$F$2001,MATCH(A836&amp;"ENTRADA",Movimientos!$R$5:$R$2001,0)),"-")</f>
        <v>-</v>
      </c>
      <c r="F836" s="3" t="str">
        <f>IFERROR(INDEX(Movimientos!$G$5:$G$2001,MATCH(A836&amp;"ENTRADA",Movimientos!$R$5:$R$2001,0)),"-")</f>
        <v>-</v>
      </c>
      <c r="G836" s="3" t="str">
        <f>IFERROR(INDEX(Movimientos!$L$5:$L$2001,MATCH(A836&amp;"ENTRADA",Movimientos!$R$5:$R$2001,0)),"-")</f>
        <v>-</v>
      </c>
      <c r="H836" s="19" t="str">
        <f>IFERROR(IF(INDEX(Movimientos!$M$5:$M$2001,MATCH(A836&amp;"ENTRADA",Movimientos!$R$5:$R$2001,0))=0,"S/D",INDEX(Movimientos!$M$5:$M$2001,MATCH(A836&amp;"ENTRADA",Movimientos!$R$5:$R$2001,0))),"S/D")</f>
        <v>S/D</v>
      </c>
      <c r="I836" s="16" t="str">
        <f t="shared" ca="1" si="26"/>
        <v>S/D</v>
      </c>
      <c r="J836" s="6">
        <f>IF(A836="","",SUMIFS(Movimientos!$K:$K,Movimientos!$H:$H,A836))</f>
        <v>0</v>
      </c>
      <c r="K836" s="14" t="str">
        <f t="shared" ca="1" si="27"/>
        <v>OK</v>
      </c>
    </row>
    <row r="837" spans="1:11">
      <c r="A837" s="18" t="s">
        <v>2910</v>
      </c>
      <c r="B837" s="3" t="str">
        <f>IFERROR(INDEX(Movimientos!$C$5:$C$2001,MATCH(A837&amp;"ENTRADA",Movimientos!$R$5:$R$2001,0)),"-")</f>
        <v>-</v>
      </c>
      <c r="C837" s="3" t="str">
        <f>IFERROR(INDEX(Movimientos!$D$5:$D$2001,MATCH(A837&amp;"ENTRADA",Movimientos!$R$5:$R$2001,0)),"-")</f>
        <v>-</v>
      </c>
      <c r="D837" s="3" t="str">
        <f>IFERROR(INDEX(Movimientos!$E$5:$E$2001,MATCH(A837&amp;"ENTRADA",Movimientos!$R$5:$R$2001,0)),"-")</f>
        <v>-</v>
      </c>
      <c r="E837" s="3" t="str">
        <f>IFERROR(INDEX(Movimientos!$F$5:$F$2001,MATCH(A837&amp;"ENTRADA",Movimientos!$R$5:$R$2001,0)),"-")</f>
        <v>-</v>
      </c>
      <c r="F837" s="3" t="str">
        <f>IFERROR(INDEX(Movimientos!$G$5:$G$2001,MATCH(A837&amp;"ENTRADA",Movimientos!$R$5:$R$2001,0)),"-")</f>
        <v>-</v>
      </c>
      <c r="G837" s="3" t="str">
        <f>IFERROR(INDEX(Movimientos!$L$5:$L$2001,MATCH(A837&amp;"ENTRADA",Movimientos!$R$5:$R$2001,0)),"-")</f>
        <v>-</v>
      </c>
      <c r="H837" s="19" t="str">
        <f>IFERROR(IF(INDEX(Movimientos!$M$5:$M$2001,MATCH(A837&amp;"ENTRADA",Movimientos!$R$5:$R$2001,0))=0,"S/D",INDEX(Movimientos!$M$5:$M$2001,MATCH(A837&amp;"ENTRADA",Movimientos!$R$5:$R$2001,0))),"S/D")</f>
        <v>S/D</v>
      </c>
      <c r="I837" s="16" t="str">
        <f t="shared" ca="1" si="26"/>
        <v>S/D</v>
      </c>
      <c r="J837" s="6">
        <f>IF(A837="","",SUMIFS(Movimientos!$K:$K,Movimientos!$H:$H,A837))</f>
        <v>0</v>
      </c>
      <c r="K837" s="14" t="str">
        <f t="shared" ca="1" si="27"/>
        <v>OK</v>
      </c>
    </row>
    <row r="838" spans="1:11">
      <c r="A838" s="18" t="s">
        <v>2911</v>
      </c>
      <c r="B838" s="3" t="str">
        <f>IFERROR(INDEX(Movimientos!$C$5:$C$2001,MATCH(A838&amp;"ENTRADA",Movimientos!$R$5:$R$2001,0)),"-")</f>
        <v>-</v>
      </c>
      <c r="C838" s="3" t="str">
        <f>IFERROR(INDEX(Movimientos!$D$5:$D$2001,MATCH(A838&amp;"ENTRADA",Movimientos!$R$5:$R$2001,0)),"-")</f>
        <v>-</v>
      </c>
      <c r="D838" s="3" t="str">
        <f>IFERROR(INDEX(Movimientos!$E$5:$E$2001,MATCH(A838&amp;"ENTRADA",Movimientos!$R$5:$R$2001,0)),"-")</f>
        <v>-</v>
      </c>
      <c r="E838" s="3" t="str">
        <f>IFERROR(INDEX(Movimientos!$F$5:$F$2001,MATCH(A838&amp;"ENTRADA",Movimientos!$R$5:$R$2001,0)),"-")</f>
        <v>-</v>
      </c>
      <c r="F838" s="3" t="str">
        <f>IFERROR(INDEX(Movimientos!$G$5:$G$2001,MATCH(A838&amp;"ENTRADA",Movimientos!$R$5:$R$2001,0)),"-")</f>
        <v>-</v>
      </c>
      <c r="G838" s="3" t="str">
        <f>IFERROR(INDEX(Movimientos!$L$5:$L$2001,MATCH(A838&amp;"ENTRADA",Movimientos!$R$5:$R$2001,0)),"-")</f>
        <v>-</v>
      </c>
      <c r="H838" s="19" t="str">
        <f>IFERROR(IF(INDEX(Movimientos!$M$5:$M$2001,MATCH(A838&amp;"ENTRADA",Movimientos!$R$5:$R$2001,0))=0,"S/D",INDEX(Movimientos!$M$5:$M$2001,MATCH(A838&amp;"ENTRADA",Movimientos!$R$5:$R$2001,0))),"S/D")</f>
        <v>S/D</v>
      </c>
      <c r="I838" s="16" t="str">
        <f t="shared" ca="1" si="26"/>
        <v>S/D</v>
      </c>
      <c r="J838" s="6">
        <f>IF(A838="","",SUMIFS(Movimientos!$K:$K,Movimientos!$H:$H,A838))</f>
        <v>0</v>
      </c>
      <c r="K838" s="14" t="str">
        <f t="shared" ca="1" si="27"/>
        <v>OK</v>
      </c>
    </row>
    <row r="839" spans="1:11">
      <c r="A839" s="18" t="s">
        <v>2912</v>
      </c>
      <c r="B839" s="3" t="str">
        <f>IFERROR(INDEX(Movimientos!$C$5:$C$2001,MATCH(A839&amp;"ENTRADA",Movimientos!$R$5:$R$2001,0)),"-")</f>
        <v>-</v>
      </c>
      <c r="C839" s="3" t="str">
        <f>IFERROR(INDEX(Movimientos!$D$5:$D$2001,MATCH(A839&amp;"ENTRADA",Movimientos!$R$5:$R$2001,0)),"-")</f>
        <v>-</v>
      </c>
      <c r="D839" s="3" t="str">
        <f>IFERROR(INDEX(Movimientos!$E$5:$E$2001,MATCH(A839&amp;"ENTRADA",Movimientos!$R$5:$R$2001,0)),"-")</f>
        <v>-</v>
      </c>
      <c r="E839" s="3" t="str">
        <f>IFERROR(INDEX(Movimientos!$F$5:$F$2001,MATCH(A839&amp;"ENTRADA",Movimientos!$R$5:$R$2001,0)),"-")</f>
        <v>-</v>
      </c>
      <c r="F839" s="3" t="str">
        <f>IFERROR(INDEX(Movimientos!$G$5:$G$2001,MATCH(A839&amp;"ENTRADA",Movimientos!$R$5:$R$2001,0)),"-")</f>
        <v>-</v>
      </c>
      <c r="G839" s="3" t="str">
        <f>IFERROR(INDEX(Movimientos!$L$5:$L$2001,MATCH(A839&amp;"ENTRADA",Movimientos!$R$5:$R$2001,0)),"-")</f>
        <v>-</v>
      </c>
      <c r="H839" s="19" t="str">
        <f>IFERROR(IF(INDEX(Movimientos!$M$5:$M$2001,MATCH(A839&amp;"ENTRADA",Movimientos!$R$5:$R$2001,0))=0,"S/D",INDEX(Movimientos!$M$5:$M$2001,MATCH(A839&amp;"ENTRADA",Movimientos!$R$5:$R$2001,0))),"S/D")</f>
        <v>S/D</v>
      </c>
      <c r="I839" s="16" t="str">
        <f t="shared" ca="1" si="26"/>
        <v>S/D</v>
      </c>
      <c r="J839" s="6">
        <f>IF(A839="","",SUMIFS(Movimientos!$K:$K,Movimientos!$H:$H,A839))</f>
        <v>0</v>
      </c>
      <c r="K839" s="14" t="str">
        <f t="shared" ca="1" si="27"/>
        <v>OK</v>
      </c>
    </row>
    <row r="840" spans="1:11">
      <c r="A840" s="18" t="s">
        <v>2913</v>
      </c>
      <c r="B840" s="3" t="str">
        <f>IFERROR(INDEX(Movimientos!$C$5:$C$2001,MATCH(A840&amp;"ENTRADA",Movimientos!$R$5:$R$2001,0)),"-")</f>
        <v>-</v>
      </c>
      <c r="C840" s="3" t="str">
        <f>IFERROR(INDEX(Movimientos!$D$5:$D$2001,MATCH(A840&amp;"ENTRADA",Movimientos!$R$5:$R$2001,0)),"-")</f>
        <v>-</v>
      </c>
      <c r="D840" s="3" t="str">
        <f>IFERROR(INDEX(Movimientos!$E$5:$E$2001,MATCH(A840&amp;"ENTRADA",Movimientos!$R$5:$R$2001,0)),"-")</f>
        <v>-</v>
      </c>
      <c r="E840" s="3" t="str">
        <f>IFERROR(INDEX(Movimientos!$F$5:$F$2001,MATCH(A840&amp;"ENTRADA",Movimientos!$R$5:$R$2001,0)),"-")</f>
        <v>-</v>
      </c>
      <c r="F840" s="3" t="str">
        <f>IFERROR(INDEX(Movimientos!$G$5:$G$2001,MATCH(A840&amp;"ENTRADA",Movimientos!$R$5:$R$2001,0)),"-")</f>
        <v>-</v>
      </c>
      <c r="G840" s="3" t="str">
        <f>IFERROR(INDEX(Movimientos!$L$5:$L$2001,MATCH(A840&amp;"ENTRADA",Movimientos!$R$5:$R$2001,0)),"-")</f>
        <v>-</v>
      </c>
      <c r="H840" s="19" t="str">
        <f>IFERROR(IF(INDEX(Movimientos!$M$5:$M$2001,MATCH(A840&amp;"ENTRADA",Movimientos!$R$5:$R$2001,0))=0,"S/D",INDEX(Movimientos!$M$5:$M$2001,MATCH(A840&amp;"ENTRADA",Movimientos!$R$5:$R$2001,0))),"S/D")</f>
        <v>S/D</v>
      </c>
      <c r="I840" s="16" t="str">
        <f t="shared" ca="1" si="26"/>
        <v>S/D</v>
      </c>
      <c r="J840" s="6">
        <f>IF(A840="","",SUMIFS(Movimientos!$K:$K,Movimientos!$H:$H,A840))</f>
        <v>0</v>
      </c>
      <c r="K840" s="14" t="str">
        <f t="shared" ca="1" si="27"/>
        <v>OK</v>
      </c>
    </row>
    <row r="841" spans="1:11">
      <c r="A841" s="18" t="s">
        <v>2914</v>
      </c>
      <c r="B841" s="3" t="str">
        <f>IFERROR(INDEX(Movimientos!$C$5:$C$2001,MATCH(A841&amp;"ENTRADA",Movimientos!$R$5:$R$2001,0)),"-")</f>
        <v>-</v>
      </c>
      <c r="C841" s="3" t="str">
        <f>IFERROR(INDEX(Movimientos!$D$5:$D$2001,MATCH(A841&amp;"ENTRADA",Movimientos!$R$5:$R$2001,0)),"-")</f>
        <v>-</v>
      </c>
      <c r="D841" s="3" t="str">
        <f>IFERROR(INDEX(Movimientos!$E$5:$E$2001,MATCH(A841&amp;"ENTRADA",Movimientos!$R$5:$R$2001,0)),"-")</f>
        <v>-</v>
      </c>
      <c r="E841" s="3" t="str">
        <f>IFERROR(INDEX(Movimientos!$F$5:$F$2001,MATCH(A841&amp;"ENTRADA",Movimientos!$R$5:$R$2001,0)),"-")</f>
        <v>-</v>
      </c>
      <c r="F841" s="3" t="str">
        <f>IFERROR(INDEX(Movimientos!$G$5:$G$2001,MATCH(A841&amp;"ENTRADA",Movimientos!$R$5:$R$2001,0)),"-")</f>
        <v>-</v>
      </c>
      <c r="G841" s="3" t="str">
        <f>IFERROR(INDEX(Movimientos!$L$5:$L$2001,MATCH(A841&amp;"ENTRADA",Movimientos!$R$5:$R$2001,0)),"-")</f>
        <v>-</v>
      </c>
      <c r="H841" s="19" t="str">
        <f>IFERROR(IF(INDEX(Movimientos!$M$5:$M$2001,MATCH(A841&amp;"ENTRADA",Movimientos!$R$5:$R$2001,0))=0,"S/D",INDEX(Movimientos!$M$5:$M$2001,MATCH(A841&amp;"ENTRADA",Movimientos!$R$5:$R$2001,0))),"S/D")</f>
        <v>S/D</v>
      </c>
      <c r="I841" s="16" t="str">
        <f t="shared" ca="1" si="26"/>
        <v>S/D</v>
      </c>
      <c r="J841" s="6">
        <f>IF(A841="","",SUMIFS(Movimientos!$K:$K,Movimientos!$H:$H,A841))</f>
        <v>0</v>
      </c>
      <c r="K841" s="14" t="str">
        <f t="shared" ca="1" si="27"/>
        <v>OK</v>
      </c>
    </row>
    <row r="842" spans="1:11">
      <c r="A842" s="18" t="s">
        <v>2915</v>
      </c>
      <c r="B842" s="3" t="str">
        <f>IFERROR(INDEX(Movimientos!$C$5:$C$2001,MATCH(A842&amp;"ENTRADA",Movimientos!$R$5:$R$2001,0)),"-")</f>
        <v>-</v>
      </c>
      <c r="C842" s="3" t="str">
        <f>IFERROR(INDEX(Movimientos!$D$5:$D$2001,MATCH(A842&amp;"ENTRADA",Movimientos!$R$5:$R$2001,0)),"-")</f>
        <v>-</v>
      </c>
      <c r="D842" s="3" t="str">
        <f>IFERROR(INDEX(Movimientos!$E$5:$E$2001,MATCH(A842&amp;"ENTRADA",Movimientos!$R$5:$R$2001,0)),"-")</f>
        <v>-</v>
      </c>
      <c r="E842" s="3" t="str">
        <f>IFERROR(INDEX(Movimientos!$F$5:$F$2001,MATCH(A842&amp;"ENTRADA",Movimientos!$R$5:$R$2001,0)),"-")</f>
        <v>-</v>
      </c>
      <c r="F842" s="3" t="str">
        <f>IFERROR(INDEX(Movimientos!$G$5:$G$2001,MATCH(A842&amp;"ENTRADA",Movimientos!$R$5:$R$2001,0)),"-")</f>
        <v>-</v>
      </c>
      <c r="G842" s="3" t="str">
        <f>IFERROR(INDEX(Movimientos!$L$5:$L$2001,MATCH(A842&amp;"ENTRADA",Movimientos!$R$5:$R$2001,0)),"-")</f>
        <v>-</v>
      </c>
      <c r="H842" s="19" t="str">
        <f>IFERROR(IF(INDEX(Movimientos!$M$5:$M$2001,MATCH(A842&amp;"ENTRADA",Movimientos!$R$5:$R$2001,0))=0,"S/D",INDEX(Movimientos!$M$5:$M$2001,MATCH(A842&amp;"ENTRADA",Movimientos!$R$5:$R$2001,0))),"S/D")</f>
        <v>S/D</v>
      </c>
      <c r="I842" s="16" t="str">
        <f t="shared" ca="1" si="26"/>
        <v>S/D</v>
      </c>
      <c r="J842" s="6">
        <f>IF(A842="","",SUMIFS(Movimientos!$K:$K,Movimientos!$H:$H,A842))</f>
        <v>0</v>
      </c>
      <c r="K842" s="14" t="str">
        <f t="shared" ca="1" si="27"/>
        <v>OK</v>
      </c>
    </row>
    <row r="843" spans="1:11">
      <c r="A843" s="18" t="s">
        <v>2916</v>
      </c>
      <c r="B843" s="3" t="str">
        <f>IFERROR(INDEX(Movimientos!$C$5:$C$2001,MATCH(A843&amp;"ENTRADA",Movimientos!$R$5:$R$2001,0)),"-")</f>
        <v>-</v>
      </c>
      <c r="C843" s="3" t="str">
        <f>IFERROR(INDEX(Movimientos!$D$5:$D$2001,MATCH(A843&amp;"ENTRADA",Movimientos!$R$5:$R$2001,0)),"-")</f>
        <v>-</v>
      </c>
      <c r="D843" s="3" t="str">
        <f>IFERROR(INDEX(Movimientos!$E$5:$E$2001,MATCH(A843&amp;"ENTRADA",Movimientos!$R$5:$R$2001,0)),"-")</f>
        <v>-</v>
      </c>
      <c r="E843" s="3" t="str">
        <f>IFERROR(INDEX(Movimientos!$F$5:$F$2001,MATCH(A843&amp;"ENTRADA",Movimientos!$R$5:$R$2001,0)),"-")</f>
        <v>-</v>
      </c>
      <c r="F843" s="3" t="str">
        <f>IFERROR(INDEX(Movimientos!$G$5:$G$2001,MATCH(A843&amp;"ENTRADA",Movimientos!$R$5:$R$2001,0)),"-")</f>
        <v>-</v>
      </c>
      <c r="G843" s="3" t="str">
        <f>IFERROR(INDEX(Movimientos!$L$5:$L$2001,MATCH(A843&amp;"ENTRADA",Movimientos!$R$5:$R$2001,0)),"-")</f>
        <v>-</v>
      </c>
      <c r="H843" s="19" t="str">
        <f>IFERROR(IF(INDEX(Movimientos!$M$5:$M$2001,MATCH(A843&amp;"ENTRADA",Movimientos!$R$5:$R$2001,0))=0,"S/D",INDEX(Movimientos!$M$5:$M$2001,MATCH(A843&amp;"ENTRADA",Movimientos!$R$5:$R$2001,0))),"S/D")</f>
        <v>S/D</v>
      </c>
      <c r="I843" s="16" t="str">
        <f t="shared" ref="I843:I906" ca="1" si="28">IF(OR(A843="",H843="S/D"),"S/D",H843-TODAY())</f>
        <v>S/D</v>
      </c>
      <c r="J843" s="6">
        <f>IF(A843="","",SUMIFS(Movimientos!$K:$K,Movimientos!$H:$H,A843))</f>
        <v>0</v>
      </c>
      <c r="K843" s="14" t="str">
        <f t="shared" ref="K843:K906" ca="1" si="29">IF(A843="","",IF(H843="S/D","OK",IF(H843&lt;TODAY(),"VENCIDO",IF(J843&lt;=0,"SIN STOCK",IF(I843&gt;=180,"OK","PRÓXIMO A VENCER")))))</f>
        <v>OK</v>
      </c>
    </row>
    <row r="844" spans="1:11">
      <c r="A844" s="18" t="s">
        <v>2917</v>
      </c>
      <c r="B844" s="3" t="str">
        <f>IFERROR(INDEX(Movimientos!$C$5:$C$2001,MATCH(A844&amp;"ENTRADA",Movimientos!$R$5:$R$2001,0)),"-")</f>
        <v>-</v>
      </c>
      <c r="C844" s="3" t="str">
        <f>IFERROR(INDEX(Movimientos!$D$5:$D$2001,MATCH(A844&amp;"ENTRADA",Movimientos!$R$5:$R$2001,0)),"-")</f>
        <v>-</v>
      </c>
      <c r="D844" s="3" t="str">
        <f>IFERROR(INDEX(Movimientos!$E$5:$E$2001,MATCH(A844&amp;"ENTRADA",Movimientos!$R$5:$R$2001,0)),"-")</f>
        <v>-</v>
      </c>
      <c r="E844" s="3" t="str">
        <f>IFERROR(INDEX(Movimientos!$F$5:$F$2001,MATCH(A844&amp;"ENTRADA",Movimientos!$R$5:$R$2001,0)),"-")</f>
        <v>-</v>
      </c>
      <c r="F844" s="3" t="str">
        <f>IFERROR(INDEX(Movimientos!$G$5:$G$2001,MATCH(A844&amp;"ENTRADA",Movimientos!$R$5:$R$2001,0)),"-")</f>
        <v>-</v>
      </c>
      <c r="G844" s="3" t="str">
        <f>IFERROR(INDEX(Movimientos!$L$5:$L$2001,MATCH(A844&amp;"ENTRADA",Movimientos!$R$5:$R$2001,0)),"-")</f>
        <v>-</v>
      </c>
      <c r="H844" s="19" t="str">
        <f>IFERROR(IF(INDEX(Movimientos!$M$5:$M$2001,MATCH(A844&amp;"ENTRADA",Movimientos!$R$5:$R$2001,0))=0,"S/D",INDEX(Movimientos!$M$5:$M$2001,MATCH(A844&amp;"ENTRADA",Movimientos!$R$5:$R$2001,0))),"S/D")</f>
        <v>S/D</v>
      </c>
      <c r="I844" s="16" t="str">
        <f t="shared" ca="1" si="28"/>
        <v>S/D</v>
      </c>
      <c r="J844" s="6">
        <f>IF(A844="","",SUMIFS(Movimientos!$K:$K,Movimientos!$H:$H,A844))</f>
        <v>0</v>
      </c>
      <c r="K844" s="14" t="str">
        <f t="shared" ca="1" si="29"/>
        <v>OK</v>
      </c>
    </row>
    <row r="845" spans="1:11">
      <c r="A845" s="18" t="s">
        <v>2918</v>
      </c>
      <c r="B845" s="3" t="str">
        <f>IFERROR(INDEX(Movimientos!$C$5:$C$2001,MATCH(A845&amp;"ENTRADA",Movimientos!$R$5:$R$2001,0)),"-")</f>
        <v>-</v>
      </c>
      <c r="C845" s="3" t="str">
        <f>IFERROR(INDEX(Movimientos!$D$5:$D$2001,MATCH(A845&amp;"ENTRADA",Movimientos!$R$5:$R$2001,0)),"-")</f>
        <v>-</v>
      </c>
      <c r="D845" s="3" t="str">
        <f>IFERROR(INDEX(Movimientos!$E$5:$E$2001,MATCH(A845&amp;"ENTRADA",Movimientos!$R$5:$R$2001,0)),"-")</f>
        <v>-</v>
      </c>
      <c r="E845" s="3" t="str">
        <f>IFERROR(INDEX(Movimientos!$F$5:$F$2001,MATCH(A845&amp;"ENTRADA",Movimientos!$R$5:$R$2001,0)),"-")</f>
        <v>-</v>
      </c>
      <c r="F845" s="3" t="str">
        <f>IFERROR(INDEX(Movimientos!$G$5:$G$2001,MATCH(A845&amp;"ENTRADA",Movimientos!$R$5:$R$2001,0)),"-")</f>
        <v>-</v>
      </c>
      <c r="G845" s="3" t="str">
        <f>IFERROR(INDEX(Movimientos!$L$5:$L$2001,MATCH(A845&amp;"ENTRADA",Movimientos!$R$5:$R$2001,0)),"-")</f>
        <v>-</v>
      </c>
      <c r="H845" s="19" t="str">
        <f>IFERROR(IF(INDEX(Movimientos!$M$5:$M$2001,MATCH(A845&amp;"ENTRADA",Movimientos!$R$5:$R$2001,0))=0,"S/D",INDEX(Movimientos!$M$5:$M$2001,MATCH(A845&amp;"ENTRADA",Movimientos!$R$5:$R$2001,0))),"S/D")</f>
        <v>S/D</v>
      </c>
      <c r="I845" s="16" t="str">
        <f t="shared" ca="1" si="28"/>
        <v>S/D</v>
      </c>
      <c r="J845" s="6">
        <f>IF(A845="","",SUMIFS(Movimientos!$K:$K,Movimientos!$H:$H,A845))</f>
        <v>0</v>
      </c>
      <c r="K845" s="14" t="str">
        <f t="shared" ca="1" si="29"/>
        <v>OK</v>
      </c>
    </row>
    <row r="846" spans="1:11">
      <c r="A846" s="18" t="s">
        <v>2919</v>
      </c>
      <c r="B846" s="3" t="str">
        <f>IFERROR(INDEX(Movimientos!$C$5:$C$2001,MATCH(A846&amp;"ENTRADA",Movimientos!$R$5:$R$2001,0)),"-")</f>
        <v>-</v>
      </c>
      <c r="C846" s="3" t="str">
        <f>IFERROR(INDEX(Movimientos!$D$5:$D$2001,MATCH(A846&amp;"ENTRADA",Movimientos!$R$5:$R$2001,0)),"-")</f>
        <v>-</v>
      </c>
      <c r="D846" s="3" t="str">
        <f>IFERROR(INDEX(Movimientos!$E$5:$E$2001,MATCH(A846&amp;"ENTRADA",Movimientos!$R$5:$R$2001,0)),"-")</f>
        <v>-</v>
      </c>
      <c r="E846" s="3" t="str">
        <f>IFERROR(INDEX(Movimientos!$F$5:$F$2001,MATCH(A846&amp;"ENTRADA",Movimientos!$R$5:$R$2001,0)),"-")</f>
        <v>-</v>
      </c>
      <c r="F846" s="3" t="str">
        <f>IFERROR(INDEX(Movimientos!$G$5:$G$2001,MATCH(A846&amp;"ENTRADA",Movimientos!$R$5:$R$2001,0)),"-")</f>
        <v>-</v>
      </c>
      <c r="G846" s="3" t="str">
        <f>IFERROR(INDEX(Movimientos!$L$5:$L$2001,MATCH(A846&amp;"ENTRADA",Movimientos!$R$5:$R$2001,0)),"-")</f>
        <v>-</v>
      </c>
      <c r="H846" s="19" t="str">
        <f>IFERROR(IF(INDEX(Movimientos!$M$5:$M$2001,MATCH(A846&amp;"ENTRADA",Movimientos!$R$5:$R$2001,0))=0,"S/D",INDEX(Movimientos!$M$5:$M$2001,MATCH(A846&amp;"ENTRADA",Movimientos!$R$5:$R$2001,0))),"S/D")</f>
        <v>S/D</v>
      </c>
      <c r="I846" s="16" t="str">
        <f t="shared" ca="1" si="28"/>
        <v>S/D</v>
      </c>
      <c r="J846" s="6">
        <f>IF(A846="","",SUMIFS(Movimientos!$K:$K,Movimientos!$H:$H,A846))</f>
        <v>0</v>
      </c>
      <c r="K846" s="14" t="str">
        <f t="shared" ca="1" si="29"/>
        <v>OK</v>
      </c>
    </row>
    <row r="847" spans="1:11">
      <c r="A847" s="18" t="s">
        <v>2920</v>
      </c>
      <c r="B847" s="3" t="str">
        <f>IFERROR(INDEX(Movimientos!$C$5:$C$2001,MATCH(A847&amp;"ENTRADA",Movimientos!$R$5:$R$2001,0)),"-")</f>
        <v>-</v>
      </c>
      <c r="C847" s="3" t="str">
        <f>IFERROR(INDEX(Movimientos!$D$5:$D$2001,MATCH(A847&amp;"ENTRADA",Movimientos!$R$5:$R$2001,0)),"-")</f>
        <v>-</v>
      </c>
      <c r="D847" s="3" t="str">
        <f>IFERROR(INDEX(Movimientos!$E$5:$E$2001,MATCH(A847&amp;"ENTRADA",Movimientos!$R$5:$R$2001,0)),"-")</f>
        <v>-</v>
      </c>
      <c r="E847" s="3" t="str">
        <f>IFERROR(INDEX(Movimientos!$F$5:$F$2001,MATCH(A847&amp;"ENTRADA",Movimientos!$R$5:$R$2001,0)),"-")</f>
        <v>-</v>
      </c>
      <c r="F847" s="3" t="str">
        <f>IFERROR(INDEX(Movimientos!$G$5:$G$2001,MATCH(A847&amp;"ENTRADA",Movimientos!$R$5:$R$2001,0)),"-")</f>
        <v>-</v>
      </c>
      <c r="G847" s="3" t="str">
        <f>IFERROR(INDEX(Movimientos!$L$5:$L$2001,MATCH(A847&amp;"ENTRADA",Movimientos!$R$5:$R$2001,0)),"-")</f>
        <v>-</v>
      </c>
      <c r="H847" s="19" t="str">
        <f>IFERROR(IF(INDEX(Movimientos!$M$5:$M$2001,MATCH(A847&amp;"ENTRADA",Movimientos!$R$5:$R$2001,0))=0,"S/D",INDEX(Movimientos!$M$5:$M$2001,MATCH(A847&amp;"ENTRADA",Movimientos!$R$5:$R$2001,0))),"S/D")</f>
        <v>S/D</v>
      </c>
      <c r="I847" s="16" t="str">
        <f t="shared" ca="1" si="28"/>
        <v>S/D</v>
      </c>
      <c r="J847" s="6">
        <f>IF(A847="","",SUMIFS(Movimientos!$K:$K,Movimientos!$H:$H,A847))</f>
        <v>0</v>
      </c>
      <c r="K847" s="14" t="str">
        <f t="shared" ca="1" si="29"/>
        <v>OK</v>
      </c>
    </row>
    <row r="848" spans="1:11">
      <c r="A848" s="18" t="s">
        <v>2921</v>
      </c>
      <c r="B848" s="3" t="str">
        <f>IFERROR(INDEX(Movimientos!$C$5:$C$2001,MATCH(A848&amp;"ENTRADA",Movimientos!$R$5:$R$2001,0)),"-")</f>
        <v>-</v>
      </c>
      <c r="C848" s="3" t="str">
        <f>IFERROR(INDEX(Movimientos!$D$5:$D$2001,MATCH(A848&amp;"ENTRADA",Movimientos!$R$5:$R$2001,0)),"-")</f>
        <v>-</v>
      </c>
      <c r="D848" s="3" t="str">
        <f>IFERROR(INDEX(Movimientos!$E$5:$E$2001,MATCH(A848&amp;"ENTRADA",Movimientos!$R$5:$R$2001,0)),"-")</f>
        <v>-</v>
      </c>
      <c r="E848" s="3" t="str">
        <f>IFERROR(INDEX(Movimientos!$F$5:$F$2001,MATCH(A848&amp;"ENTRADA",Movimientos!$R$5:$R$2001,0)),"-")</f>
        <v>-</v>
      </c>
      <c r="F848" s="3" t="str">
        <f>IFERROR(INDEX(Movimientos!$G$5:$G$2001,MATCH(A848&amp;"ENTRADA",Movimientos!$R$5:$R$2001,0)),"-")</f>
        <v>-</v>
      </c>
      <c r="G848" s="3" t="str">
        <f>IFERROR(INDEX(Movimientos!$L$5:$L$2001,MATCH(A848&amp;"ENTRADA",Movimientos!$R$5:$R$2001,0)),"-")</f>
        <v>-</v>
      </c>
      <c r="H848" s="19" t="str">
        <f>IFERROR(IF(INDEX(Movimientos!$M$5:$M$2001,MATCH(A848&amp;"ENTRADA",Movimientos!$R$5:$R$2001,0))=0,"S/D",INDEX(Movimientos!$M$5:$M$2001,MATCH(A848&amp;"ENTRADA",Movimientos!$R$5:$R$2001,0))),"S/D")</f>
        <v>S/D</v>
      </c>
      <c r="I848" s="16" t="str">
        <f t="shared" ca="1" si="28"/>
        <v>S/D</v>
      </c>
      <c r="J848" s="6">
        <f>IF(A848="","",SUMIFS(Movimientos!$K:$K,Movimientos!$H:$H,A848))</f>
        <v>0</v>
      </c>
      <c r="K848" s="14" t="str">
        <f t="shared" ca="1" si="29"/>
        <v>OK</v>
      </c>
    </row>
    <row r="849" spans="1:11">
      <c r="A849" s="18" t="s">
        <v>2922</v>
      </c>
      <c r="B849" s="3" t="str">
        <f>IFERROR(INDEX(Movimientos!$C$5:$C$2001,MATCH(A849&amp;"ENTRADA",Movimientos!$R$5:$R$2001,0)),"-")</f>
        <v>-</v>
      </c>
      <c r="C849" s="3" t="str">
        <f>IFERROR(INDEX(Movimientos!$D$5:$D$2001,MATCH(A849&amp;"ENTRADA",Movimientos!$R$5:$R$2001,0)),"-")</f>
        <v>-</v>
      </c>
      <c r="D849" s="3" t="str">
        <f>IFERROR(INDEX(Movimientos!$E$5:$E$2001,MATCH(A849&amp;"ENTRADA",Movimientos!$R$5:$R$2001,0)),"-")</f>
        <v>-</v>
      </c>
      <c r="E849" s="3" t="str">
        <f>IFERROR(INDEX(Movimientos!$F$5:$F$2001,MATCH(A849&amp;"ENTRADA",Movimientos!$R$5:$R$2001,0)),"-")</f>
        <v>-</v>
      </c>
      <c r="F849" s="3" t="str">
        <f>IFERROR(INDEX(Movimientos!$G$5:$G$2001,MATCH(A849&amp;"ENTRADA",Movimientos!$R$5:$R$2001,0)),"-")</f>
        <v>-</v>
      </c>
      <c r="G849" s="3" t="str">
        <f>IFERROR(INDEX(Movimientos!$L$5:$L$2001,MATCH(A849&amp;"ENTRADA",Movimientos!$R$5:$R$2001,0)),"-")</f>
        <v>-</v>
      </c>
      <c r="H849" s="19" t="str">
        <f>IFERROR(IF(INDEX(Movimientos!$M$5:$M$2001,MATCH(A849&amp;"ENTRADA",Movimientos!$R$5:$R$2001,0))=0,"S/D",INDEX(Movimientos!$M$5:$M$2001,MATCH(A849&amp;"ENTRADA",Movimientos!$R$5:$R$2001,0))),"S/D")</f>
        <v>S/D</v>
      </c>
      <c r="I849" s="16" t="str">
        <f t="shared" ca="1" si="28"/>
        <v>S/D</v>
      </c>
      <c r="J849" s="6">
        <f>IF(A849="","",SUMIFS(Movimientos!$K:$K,Movimientos!$H:$H,A849))</f>
        <v>0</v>
      </c>
      <c r="K849" s="14" t="str">
        <f t="shared" ca="1" si="29"/>
        <v>OK</v>
      </c>
    </row>
    <row r="850" spans="1:11">
      <c r="A850" s="18" t="s">
        <v>2923</v>
      </c>
      <c r="B850" s="3" t="str">
        <f>IFERROR(INDEX(Movimientos!$C$5:$C$2001,MATCH(A850&amp;"ENTRADA",Movimientos!$R$5:$R$2001,0)),"-")</f>
        <v>-</v>
      </c>
      <c r="C850" s="3" t="str">
        <f>IFERROR(INDEX(Movimientos!$D$5:$D$2001,MATCH(A850&amp;"ENTRADA",Movimientos!$R$5:$R$2001,0)),"-")</f>
        <v>-</v>
      </c>
      <c r="D850" s="3" t="str">
        <f>IFERROR(INDEX(Movimientos!$E$5:$E$2001,MATCH(A850&amp;"ENTRADA",Movimientos!$R$5:$R$2001,0)),"-")</f>
        <v>-</v>
      </c>
      <c r="E850" s="3" t="str">
        <f>IFERROR(INDEX(Movimientos!$F$5:$F$2001,MATCH(A850&amp;"ENTRADA",Movimientos!$R$5:$R$2001,0)),"-")</f>
        <v>-</v>
      </c>
      <c r="F850" s="3" t="str">
        <f>IFERROR(INDEX(Movimientos!$G$5:$G$2001,MATCH(A850&amp;"ENTRADA",Movimientos!$R$5:$R$2001,0)),"-")</f>
        <v>-</v>
      </c>
      <c r="G850" s="3" t="str">
        <f>IFERROR(INDEX(Movimientos!$L$5:$L$2001,MATCH(A850&amp;"ENTRADA",Movimientos!$R$5:$R$2001,0)),"-")</f>
        <v>-</v>
      </c>
      <c r="H850" s="19" t="str">
        <f>IFERROR(IF(INDEX(Movimientos!$M$5:$M$2001,MATCH(A850&amp;"ENTRADA",Movimientos!$R$5:$R$2001,0))=0,"S/D",INDEX(Movimientos!$M$5:$M$2001,MATCH(A850&amp;"ENTRADA",Movimientos!$R$5:$R$2001,0))),"S/D")</f>
        <v>S/D</v>
      </c>
      <c r="I850" s="16" t="str">
        <f t="shared" ca="1" si="28"/>
        <v>S/D</v>
      </c>
      <c r="J850" s="6">
        <f>IF(A850="","",SUMIFS(Movimientos!$K:$K,Movimientos!$H:$H,A850))</f>
        <v>0</v>
      </c>
      <c r="K850" s="14" t="str">
        <f t="shared" ca="1" si="29"/>
        <v>OK</v>
      </c>
    </row>
    <row r="851" spans="1:11">
      <c r="A851" s="18" t="s">
        <v>2924</v>
      </c>
      <c r="B851" s="3" t="str">
        <f>IFERROR(INDEX(Movimientos!$C$5:$C$2001,MATCH(A851&amp;"ENTRADA",Movimientos!$R$5:$R$2001,0)),"-")</f>
        <v>-</v>
      </c>
      <c r="C851" s="3" t="str">
        <f>IFERROR(INDEX(Movimientos!$D$5:$D$2001,MATCH(A851&amp;"ENTRADA",Movimientos!$R$5:$R$2001,0)),"-")</f>
        <v>-</v>
      </c>
      <c r="D851" s="3" t="str">
        <f>IFERROR(INDEX(Movimientos!$E$5:$E$2001,MATCH(A851&amp;"ENTRADA",Movimientos!$R$5:$R$2001,0)),"-")</f>
        <v>-</v>
      </c>
      <c r="E851" s="3" t="str">
        <f>IFERROR(INDEX(Movimientos!$F$5:$F$2001,MATCH(A851&amp;"ENTRADA",Movimientos!$R$5:$R$2001,0)),"-")</f>
        <v>-</v>
      </c>
      <c r="F851" s="3" t="str">
        <f>IFERROR(INDEX(Movimientos!$G$5:$G$2001,MATCH(A851&amp;"ENTRADA",Movimientos!$R$5:$R$2001,0)),"-")</f>
        <v>-</v>
      </c>
      <c r="G851" s="3" t="str">
        <f>IFERROR(INDEX(Movimientos!$L$5:$L$2001,MATCH(A851&amp;"ENTRADA",Movimientos!$R$5:$R$2001,0)),"-")</f>
        <v>-</v>
      </c>
      <c r="H851" s="19" t="str">
        <f>IFERROR(IF(INDEX(Movimientos!$M$5:$M$2001,MATCH(A851&amp;"ENTRADA",Movimientos!$R$5:$R$2001,0))=0,"S/D",INDEX(Movimientos!$M$5:$M$2001,MATCH(A851&amp;"ENTRADA",Movimientos!$R$5:$R$2001,0))),"S/D")</f>
        <v>S/D</v>
      </c>
      <c r="I851" s="16" t="str">
        <f t="shared" ca="1" si="28"/>
        <v>S/D</v>
      </c>
      <c r="J851" s="6">
        <f>IF(A851="","",SUMIFS(Movimientos!$K:$K,Movimientos!$H:$H,A851))</f>
        <v>0</v>
      </c>
      <c r="K851" s="14" t="str">
        <f t="shared" ca="1" si="29"/>
        <v>OK</v>
      </c>
    </row>
    <row r="852" spans="1:11">
      <c r="A852" s="18" t="s">
        <v>2925</v>
      </c>
      <c r="B852" s="3" t="str">
        <f>IFERROR(INDEX(Movimientos!$C$5:$C$2001,MATCH(A852&amp;"ENTRADA",Movimientos!$R$5:$R$2001,0)),"-")</f>
        <v>-</v>
      </c>
      <c r="C852" s="3" t="str">
        <f>IFERROR(INDEX(Movimientos!$D$5:$D$2001,MATCH(A852&amp;"ENTRADA",Movimientos!$R$5:$R$2001,0)),"-")</f>
        <v>-</v>
      </c>
      <c r="D852" s="3" t="str">
        <f>IFERROR(INDEX(Movimientos!$E$5:$E$2001,MATCH(A852&amp;"ENTRADA",Movimientos!$R$5:$R$2001,0)),"-")</f>
        <v>-</v>
      </c>
      <c r="E852" s="3" t="str">
        <f>IFERROR(INDEX(Movimientos!$F$5:$F$2001,MATCH(A852&amp;"ENTRADA",Movimientos!$R$5:$R$2001,0)),"-")</f>
        <v>-</v>
      </c>
      <c r="F852" s="3" t="str">
        <f>IFERROR(INDEX(Movimientos!$G$5:$G$2001,MATCH(A852&amp;"ENTRADA",Movimientos!$R$5:$R$2001,0)),"-")</f>
        <v>-</v>
      </c>
      <c r="G852" s="3" t="str">
        <f>IFERROR(INDEX(Movimientos!$L$5:$L$2001,MATCH(A852&amp;"ENTRADA",Movimientos!$R$5:$R$2001,0)),"-")</f>
        <v>-</v>
      </c>
      <c r="H852" s="19" t="str">
        <f>IFERROR(IF(INDEX(Movimientos!$M$5:$M$2001,MATCH(A852&amp;"ENTRADA",Movimientos!$R$5:$R$2001,0))=0,"S/D",INDEX(Movimientos!$M$5:$M$2001,MATCH(A852&amp;"ENTRADA",Movimientos!$R$5:$R$2001,0))),"S/D")</f>
        <v>S/D</v>
      </c>
      <c r="I852" s="16" t="str">
        <f t="shared" ca="1" si="28"/>
        <v>S/D</v>
      </c>
      <c r="J852" s="6">
        <f>IF(A852="","",SUMIFS(Movimientos!$K:$K,Movimientos!$H:$H,A852))</f>
        <v>0</v>
      </c>
      <c r="K852" s="14" t="str">
        <f t="shared" ca="1" si="29"/>
        <v>OK</v>
      </c>
    </row>
    <row r="853" spans="1:11">
      <c r="A853" s="18" t="s">
        <v>2926</v>
      </c>
      <c r="B853" s="3" t="str">
        <f>IFERROR(INDEX(Movimientos!$C$5:$C$2001,MATCH(A853&amp;"ENTRADA",Movimientos!$R$5:$R$2001,0)),"-")</f>
        <v>-</v>
      </c>
      <c r="C853" s="3" t="str">
        <f>IFERROR(INDEX(Movimientos!$D$5:$D$2001,MATCH(A853&amp;"ENTRADA",Movimientos!$R$5:$R$2001,0)),"-")</f>
        <v>-</v>
      </c>
      <c r="D853" s="3" t="str">
        <f>IFERROR(INDEX(Movimientos!$E$5:$E$2001,MATCH(A853&amp;"ENTRADA",Movimientos!$R$5:$R$2001,0)),"-")</f>
        <v>-</v>
      </c>
      <c r="E853" s="3" t="str">
        <f>IFERROR(INDEX(Movimientos!$F$5:$F$2001,MATCH(A853&amp;"ENTRADA",Movimientos!$R$5:$R$2001,0)),"-")</f>
        <v>-</v>
      </c>
      <c r="F853" s="3" t="str">
        <f>IFERROR(INDEX(Movimientos!$G$5:$G$2001,MATCH(A853&amp;"ENTRADA",Movimientos!$R$5:$R$2001,0)),"-")</f>
        <v>-</v>
      </c>
      <c r="G853" s="3" t="str">
        <f>IFERROR(INDEX(Movimientos!$L$5:$L$2001,MATCH(A853&amp;"ENTRADA",Movimientos!$R$5:$R$2001,0)),"-")</f>
        <v>-</v>
      </c>
      <c r="H853" s="19" t="str">
        <f>IFERROR(IF(INDEX(Movimientos!$M$5:$M$2001,MATCH(A853&amp;"ENTRADA",Movimientos!$R$5:$R$2001,0))=0,"S/D",INDEX(Movimientos!$M$5:$M$2001,MATCH(A853&amp;"ENTRADA",Movimientos!$R$5:$R$2001,0))),"S/D")</f>
        <v>S/D</v>
      </c>
      <c r="I853" s="16" t="str">
        <f t="shared" ca="1" si="28"/>
        <v>S/D</v>
      </c>
      <c r="J853" s="6">
        <f>IF(A853="","",SUMIFS(Movimientos!$K:$K,Movimientos!$H:$H,A853))</f>
        <v>0</v>
      </c>
      <c r="K853" s="14" t="str">
        <f t="shared" ca="1" si="29"/>
        <v>OK</v>
      </c>
    </row>
    <row r="854" spans="1:11">
      <c r="A854" s="18" t="s">
        <v>2927</v>
      </c>
      <c r="B854" s="3" t="str">
        <f>IFERROR(INDEX(Movimientos!$C$5:$C$2001,MATCH(A854&amp;"ENTRADA",Movimientos!$R$5:$R$2001,0)),"-")</f>
        <v>-</v>
      </c>
      <c r="C854" s="3" t="str">
        <f>IFERROR(INDEX(Movimientos!$D$5:$D$2001,MATCH(A854&amp;"ENTRADA",Movimientos!$R$5:$R$2001,0)),"-")</f>
        <v>-</v>
      </c>
      <c r="D854" s="3" t="str">
        <f>IFERROR(INDEX(Movimientos!$E$5:$E$2001,MATCH(A854&amp;"ENTRADA",Movimientos!$R$5:$R$2001,0)),"-")</f>
        <v>-</v>
      </c>
      <c r="E854" s="3" t="str">
        <f>IFERROR(INDEX(Movimientos!$F$5:$F$2001,MATCH(A854&amp;"ENTRADA",Movimientos!$R$5:$R$2001,0)),"-")</f>
        <v>-</v>
      </c>
      <c r="F854" s="3" t="str">
        <f>IFERROR(INDEX(Movimientos!$G$5:$G$2001,MATCH(A854&amp;"ENTRADA",Movimientos!$R$5:$R$2001,0)),"-")</f>
        <v>-</v>
      </c>
      <c r="G854" s="3" t="str">
        <f>IFERROR(INDEX(Movimientos!$L$5:$L$2001,MATCH(A854&amp;"ENTRADA",Movimientos!$R$5:$R$2001,0)),"-")</f>
        <v>-</v>
      </c>
      <c r="H854" s="19" t="str">
        <f>IFERROR(IF(INDEX(Movimientos!$M$5:$M$2001,MATCH(A854&amp;"ENTRADA",Movimientos!$R$5:$R$2001,0))=0,"S/D",INDEX(Movimientos!$M$5:$M$2001,MATCH(A854&amp;"ENTRADA",Movimientos!$R$5:$R$2001,0))),"S/D")</f>
        <v>S/D</v>
      </c>
      <c r="I854" s="16" t="str">
        <f t="shared" ca="1" si="28"/>
        <v>S/D</v>
      </c>
      <c r="J854" s="6">
        <f>IF(A854="","",SUMIFS(Movimientos!$K:$K,Movimientos!$H:$H,A854))</f>
        <v>0</v>
      </c>
      <c r="K854" s="14" t="str">
        <f t="shared" ca="1" si="29"/>
        <v>OK</v>
      </c>
    </row>
    <row r="855" spans="1:11">
      <c r="A855" s="18" t="s">
        <v>2928</v>
      </c>
      <c r="B855" s="3" t="str">
        <f>IFERROR(INDEX(Movimientos!$C$5:$C$2001,MATCH(A855&amp;"ENTRADA",Movimientos!$R$5:$R$2001,0)),"-")</f>
        <v>-</v>
      </c>
      <c r="C855" s="3" t="str">
        <f>IFERROR(INDEX(Movimientos!$D$5:$D$2001,MATCH(A855&amp;"ENTRADA",Movimientos!$R$5:$R$2001,0)),"-")</f>
        <v>-</v>
      </c>
      <c r="D855" s="3" t="str">
        <f>IFERROR(INDEX(Movimientos!$E$5:$E$2001,MATCH(A855&amp;"ENTRADA",Movimientos!$R$5:$R$2001,0)),"-")</f>
        <v>-</v>
      </c>
      <c r="E855" s="3" t="str">
        <f>IFERROR(INDEX(Movimientos!$F$5:$F$2001,MATCH(A855&amp;"ENTRADA",Movimientos!$R$5:$R$2001,0)),"-")</f>
        <v>-</v>
      </c>
      <c r="F855" s="3" t="str">
        <f>IFERROR(INDEX(Movimientos!$G$5:$G$2001,MATCH(A855&amp;"ENTRADA",Movimientos!$R$5:$R$2001,0)),"-")</f>
        <v>-</v>
      </c>
      <c r="G855" s="3" t="str">
        <f>IFERROR(INDEX(Movimientos!$L$5:$L$2001,MATCH(A855&amp;"ENTRADA",Movimientos!$R$5:$R$2001,0)),"-")</f>
        <v>-</v>
      </c>
      <c r="H855" s="19" t="str">
        <f>IFERROR(IF(INDEX(Movimientos!$M$5:$M$2001,MATCH(A855&amp;"ENTRADA",Movimientos!$R$5:$R$2001,0))=0,"S/D",INDEX(Movimientos!$M$5:$M$2001,MATCH(A855&amp;"ENTRADA",Movimientos!$R$5:$R$2001,0))),"S/D")</f>
        <v>S/D</v>
      </c>
      <c r="I855" s="16" t="str">
        <f t="shared" ca="1" si="28"/>
        <v>S/D</v>
      </c>
      <c r="J855" s="6">
        <f>IF(A855="","",SUMIFS(Movimientos!$K:$K,Movimientos!$H:$H,A855))</f>
        <v>0</v>
      </c>
      <c r="K855" s="14" t="str">
        <f t="shared" ca="1" si="29"/>
        <v>OK</v>
      </c>
    </row>
    <row r="856" spans="1:11">
      <c r="A856" s="18" t="s">
        <v>2929</v>
      </c>
      <c r="B856" s="3" t="str">
        <f>IFERROR(INDEX(Movimientos!$C$5:$C$2001,MATCH(A856&amp;"ENTRADA",Movimientos!$R$5:$R$2001,0)),"-")</f>
        <v>-</v>
      </c>
      <c r="C856" s="3" t="str">
        <f>IFERROR(INDEX(Movimientos!$D$5:$D$2001,MATCH(A856&amp;"ENTRADA",Movimientos!$R$5:$R$2001,0)),"-")</f>
        <v>-</v>
      </c>
      <c r="D856" s="3" t="str">
        <f>IFERROR(INDEX(Movimientos!$E$5:$E$2001,MATCH(A856&amp;"ENTRADA",Movimientos!$R$5:$R$2001,0)),"-")</f>
        <v>-</v>
      </c>
      <c r="E856" s="3" t="str">
        <f>IFERROR(INDEX(Movimientos!$F$5:$F$2001,MATCH(A856&amp;"ENTRADA",Movimientos!$R$5:$R$2001,0)),"-")</f>
        <v>-</v>
      </c>
      <c r="F856" s="3" t="str">
        <f>IFERROR(INDEX(Movimientos!$G$5:$G$2001,MATCH(A856&amp;"ENTRADA",Movimientos!$R$5:$R$2001,0)),"-")</f>
        <v>-</v>
      </c>
      <c r="G856" s="3" t="str">
        <f>IFERROR(INDEX(Movimientos!$L$5:$L$2001,MATCH(A856&amp;"ENTRADA",Movimientos!$R$5:$R$2001,0)),"-")</f>
        <v>-</v>
      </c>
      <c r="H856" s="19" t="str">
        <f>IFERROR(IF(INDEX(Movimientos!$M$5:$M$2001,MATCH(A856&amp;"ENTRADA",Movimientos!$R$5:$R$2001,0))=0,"S/D",INDEX(Movimientos!$M$5:$M$2001,MATCH(A856&amp;"ENTRADA",Movimientos!$R$5:$R$2001,0))),"S/D")</f>
        <v>S/D</v>
      </c>
      <c r="I856" s="16" t="str">
        <f t="shared" ca="1" si="28"/>
        <v>S/D</v>
      </c>
      <c r="J856" s="6">
        <f>IF(A856="","",SUMIFS(Movimientos!$K:$K,Movimientos!$H:$H,A856))</f>
        <v>0</v>
      </c>
      <c r="K856" s="14" t="str">
        <f t="shared" ca="1" si="29"/>
        <v>OK</v>
      </c>
    </row>
    <row r="857" spans="1:11">
      <c r="A857" s="18" t="s">
        <v>2930</v>
      </c>
      <c r="B857" s="3" t="str">
        <f>IFERROR(INDEX(Movimientos!$C$5:$C$2001,MATCH(A857&amp;"ENTRADA",Movimientos!$R$5:$R$2001,0)),"-")</f>
        <v>-</v>
      </c>
      <c r="C857" s="3" t="str">
        <f>IFERROR(INDEX(Movimientos!$D$5:$D$2001,MATCH(A857&amp;"ENTRADA",Movimientos!$R$5:$R$2001,0)),"-")</f>
        <v>-</v>
      </c>
      <c r="D857" s="3" t="str">
        <f>IFERROR(INDEX(Movimientos!$E$5:$E$2001,MATCH(A857&amp;"ENTRADA",Movimientos!$R$5:$R$2001,0)),"-")</f>
        <v>-</v>
      </c>
      <c r="E857" s="3" t="str">
        <f>IFERROR(INDEX(Movimientos!$F$5:$F$2001,MATCH(A857&amp;"ENTRADA",Movimientos!$R$5:$R$2001,0)),"-")</f>
        <v>-</v>
      </c>
      <c r="F857" s="3" t="str">
        <f>IFERROR(INDEX(Movimientos!$G$5:$G$2001,MATCH(A857&amp;"ENTRADA",Movimientos!$R$5:$R$2001,0)),"-")</f>
        <v>-</v>
      </c>
      <c r="G857" s="3" t="str">
        <f>IFERROR(INDEX(Movimientos!$L$5:$L$2001,MATCH(A857&amp;"ENTRADA",Movimientos!$R$5:$R$2001,0)),"-")</f>
        <v>-</v>
      </c>
      <c r="H857" s="19" t="str">
        <f>IFERROR(IF(INDEX(Movimientos!$M$5:$M$2001,MATCH(A857&amp;"ENTRADA",Movimientos!$R$5:$R$2001,0))=0,"S/D",INDEX(Movimientos!$M$5:$M$2001,MATCH(A857&amp;"ENTRADA",Movimientos!$R$5:$R$2001,0))),"S/D")</f>
        <v>S/D</v>
      </c>
      <c r="I857" s="16" t="str">
        <f t="shared" ca="1" si="28"/>
        <v>S/D</v>
      </c>
      <c r="J857" s="6">
        <f>IF(A857="","",SUMIFS(Movimientos!$K:$K,Movimientos!$H:$H,A857))</f>
        <v>0</v>
      </c>
      <c r="K857" s="14" t="str">
        <f t="shared" ca="1" si="29"/>
        <v>OK</v>
      </c>
    </row>
    <row r="858" spans="1:11">
      <c r="A858" s="18" t="s">
        <v>2931</v>
      </c>
      <c r="B858" s="3" t="str">
        <f>IFERROR(INDEX(Movimientos!$C$5:$C$2001,MATCH(A858&amp;"ENTRADA",Movimientos!$R$5:$R$2001,0)),"-")</f>
        <v>-</v>
      </c>
      <c r="C858" s="3" t="str">
        <f>IFERROR(INDEX(Movimientos!$D$5:$D$2001,MATCH(A858&amp;"ENTRADA",Movimientos!$R$5:$R$2001,0)),"-")</f>
        <v>-</v>
      </c>
      <c r="D858" s="3" t="str">
        <f>IFERROR(INDEX(Movimientos!$E$5:$E$2001,MATCH(A858&amp;"ENTRADA",Movimientos!$R$5:$R$2001,0)),"-")</f>
        <v>-</v>
      </c>
      <c r="E858" s="3" t="str">
        <f>IFERROR(INDEX(Movimientos!$F$5:$F$2001,MATCH(A858&amp;"ENTRADA",Movimientos!$R$5:$R$2001,0)),"-")</f>
        <v>-</v>
      </c>
      <c r="F858" s="3" t="str">
        <f>IFERROR(INDEX(Movimientos!$G$5:$G$2001,MATCH(A858&amp;"ENTRADA",Movimientos!$R$5:$R$2001,0)),"-")</f>
        <v>-</v>
      </c>
      <c r="G858" s="3" t="str">
        <f>IFERROR(INDEX(Movimientos!$L$5:$L$2001,MATCH(A858&amp;"ENTRADA",Movimientos!$R$5:$R$2001,0)),"-")</f>
        <v>-</v>
      </c>
      <c r="H858" s="19" t="str">
        <f>IFERROR(IF(INDEX(Movimientos!$M$5:$M$2001,MATCH(A858&amp;"ENTRADA",Movimientos!$R$5:$R$2001,0))=0,"S/D",INDEX(Movimientos!$M$5:$M$2001,MATCH(A858&amp;"ENTRADA",Movimientos!$R$5:$R$2001,0))),"S/D")</f>
        <v>S/D</v>
      </c>
      <c r="I858" s="16" t="str">
        <f t="shared" ca="1" si="28"/>
        <v>S/D</v>
      </c>
      <c r="J858" s="6">
        <f>IF(A858="","",SUMIFS(Movimientos!$K:$K,Movimientos!$H:$H,A858))</f>
        <v>0</v>
      </c>
      <c r="K858" s="14" t="str">
        <f t="shared" ca="1" si="29"/>
        <v>OK</v>
      </c>
    </row>
    <row r="859" spans="1:11">
      <c r="A859" s="18" t="s">
        <v>2932</v>
      </c>
      <c r="B859" s="3" t="str">
        <f>IFERROR(INDEX(Movimientos!$C$5:$C$2001,MATCH(A859&amp;"ENTRADA",Movimientos!$R$5:$R$2001,0)),"-")</f>
        <v>-</v>
      </c>
      <c r="C859" s="3" t="str">
        <f>IFERROR(INDEX(Movimientos!$D$5:$D$2001,MATCH(A859&amp;"ENTRADA",Movimientos!$R$5:$R$2001,0)),"-")</f>
        <v>-</v>
      </c>
      <c r="D859" s="3" t="str">
        <f>IFERROR(INDEX(Movimientos!$E$5:$E$2001,MATCH(A859&amp;"ENTRADA",Movimientos!$R$5:$R$2001,0)),"-")</f>
        <v>-</v>
      </c>
      <c r="E859" s="3" t="str">
        <f>IFERROR(INDEX(Movimientos!$F$5:$F$2001,MATCH(A859&amp;"ENTRADA",Movimientos!$R$5:$R$2001,0)),"-")</f>
        <v>-</v>
      </c>
      <c r="F859" s="3" t="str">
        <f>IFERROR(INDEX(Movimientos!$G$5:$G$2001,MATCH(A859&amp;"ENTRADA",Movimientos!$R$5:$R$2001,0)),"-")</f>
        <v>-</v>
      </c>
      <c r="G859" s="3" t="str">
        <f>IFERROR(INDEX(Movimientos!$L$5:$L$2001,MATCH(A859&amp;"ENTRADA",Movimientos!$R$5:$R$2001,0)),"-")</f>
        <v>-</v>
      </c>
      <c r="H859" s="19" t="str">
        <f>IFERROR(IF(INDEX(Movimientos!$M$5:$M$2001,MATCH(A859&amp;"ENTRADA",Movimientos!$R$5:$R$2001,0))=0,"S/D",INDEX(Movimientos!$M$5:$M$2001,MATCH(A859&amp;"ENTRADA",Movimientos!$R$5:$R$2001,0))),"S/D")</f>
        <v>S/D</v>
      </c>
      <c r="I859" s="16" t="str">
        <f t="shared" ca="1" si="28"/>
        <v>S/D</v>
      </c>
      <c r="J859" s="6">
        <f>IF(A859="","",SUMIFS(Movimientos!$K:$K,Movimientos!$H:$H,A859))</f>
        <v>0</v>
      </c>
      <c r="K859" s="14" t="str">
        <f t="shared" ca="1" si="29"/>
        <v>OK</v>
      </c>
    </row>
    <row r="860" spans="1:11">
      <c r="A860" s="18" t="s">
        <v>2933</v>
      </c>
      <c r="B860" s="3" t="str">
        <f>IFERROR(INDEX(Movimientos!$C$5:$C$2001,MATCH(A860&amp;"ENTRADA",Movimientos!$R$5:$R$2001,0)),"-")</f>
        <v>-</v>
      </c>
      <c r="C860" s="3" t="str">
        <f>IFERROR(INDEX(Movimientos!$D$5:$D$2001,MATCH(A860&amp;"ENTRADA",Movimientos!$R$5:$R$2001,0)),"-")</f>
        <v>-</v>
      </c>
      <c r="D860" s="3" t="str">
        <f>IFERROR(INDEX(Movimientos!$E$5:$E$2001,MATCH(A860&amp;"ENTRADA",Movimientos!$R$5:$R$2001,0)),"-")</f>
        <v>-</v>
      </c>
      <c r="E860" s="3" t="str">
        <f>IFERROR(INDEX(Movimientos!$F$5:$F$2001,MATCH(A860&amp;"ENTRADA",Movimientos!$R$5:$R$2001,0)),"-")</f>
        <v>-</v>
      </c>
      <c r="F860" s="3" t="str">
        <f>IFERROR(INDEX(Movimientos!$G$5:$G$2001,MATCH(A860&amp;"ENTRADA",Movimientos!$R$5:$R$2001,0)),"-")</f>
        <v>-</v>
      </c>
      <c r="G860" s="3" t="str">
        <f>IFERROR(INDEX(Movimientos!$L$5:$L$2001,MATCH(A860&amp;"ENTRADA",Movimientos!$R$5:$R$2001,0)),"-")</f>
        <v>-</v>
      </c>
      <c r="H860" s="19" t="str">
        <f>IFERROR(IF(INDEX(Movimientos!$M$5:$M$2001,MATCH(A860&amp;"ENTRADA",Movimientos!$R$5:$R$2001,0))=0,"S/D",INDEX(Movimientos!$M$5:$M$2001,MATCH(A860&amp;"ENTRADA",Movimientos!$R$5:$R$2001,0))),"S/D")</f>
        <v>S/D</v>
      </c>
      <c r="I860" s="16" t="str">
        <f t="shared" ca="1" si="28"/>
        <v>S/D</v>
      </c>
      <c r="J860" s="6">
        <f>IF(A860="","",SUMIFS(Movimientos!$K:$K,Movimientos!$H:$H,A860))</f>
        <v>0</v>
      </c>
      <c r="K860" s="14" t="str">
        <f t="shared" ca="1" si="29"/>
        <v>OK</v>
      </c>
    </row>
    <row r="861" spans="1:11">
      <c r="A861" s="18" t="s">
        <v>2934</v>
      </c>
      <c r="B861" s="3" t="str">
        <f>IFERROR(INDEX(Movimientos!$C$5:$C$2001,MATCH(A861&amp;"ENTRADA",Movimientos!$R$5:$R$2001,0)),"-")</f>
        <v>-</v>
      </c>
      <c r="C861" s="3" t="str">
        <f>IFERROR(INDEX(Movimientos!$D$5:$D$2001,MATCH(A861&amp;"ENTRADA",Movimientos!$R$5:$R$2001,0)),"-")</f>
        <v>-</v>
      </c>
      <c r="D861" s="3" t="str">
        <f>IFERROR(INDEX(Movimientos!$E$5:$E$2001,MATCH(A861&amp;"ENTRADA",Movimientos!$R$5:$R$2001,0)),"-")</f>
        <v>-</v>
      </c>
      <c r="E861" s="3" t="str">
        <f>IFERROR(INDEX(Movimientos!$F$5:$F$2001,MATCH(A861&amp;"ENTRADA",Movimientos!$R$5:$R$2001,0)),"-")</f>
        <v>-</v>
      </c>
      <c r="F861" s="3" t="str">
        <f>IFERROR(INDEX(Movimientos!$G$5:$G$2001,MATCH(A861&amp;"ENTRADA",Movimientos!$R$5:$R$2001,0)),"-")</f>
        <v>-</v>
      </c>
      <c r="G861" s="3" t="str">
        <f>IFERROR(INDEX(Movimientos!$L$5:$L$2001,MATCH(A861&amp;"ENTRADA",Movimientos!$R$5:$R$2001,0)),"-")</f>
        <v>-</v>
      </c>
      <c r="H861" s="19" t="str">
        <f>IFERROR(IF(INDEX(Movimientos!$M$5:$M$2001,MATCH(A861&amp;"ENTRADA",Movimientos!$R$5:$R$2001,0))=0,"S/D",INDEX(Movimientos!$M$5:$M$2001,MATCH(A861&amp;"ENTRADA",Movimientos!$R$5:$R$2001,0))),"S/D")</f>
        <v>S/D</v>
      </c>
      <c r="I861" s="16" t="str">
        <f t="shared" ca="1" si="28"/>
        <v>S/D</v>
      </c>
      <c r="J861" s="6">
        <f>IF(A861="","",SUMIFS(Movimientos!$K:$K,Movimientos!$H:$H,A861))</f>
        <v>0</v>
      </c>
      <c r="K861" s="14" t="str">
        <f t="shared" ca="1" si="29"/>
        <v>OK</v>
      </c>
    </row>
    <row r="862" spans="1:11">
      <c r="A862" s="18" t="s">
        <v>2935</v>
      </c>
      <c r="B862" s="3" t="str">
        <f>IFERROR(INDEX(Movimientos!$C$5:$C$2001,MATCH(A862&amp;"ENTRADA",Movimientos!$R$5:$R$2001,0)),"-")</f>
        <v>-</v>
      </c>
      <c r="C862" s="3" t="str">
        <f>IFERROR(INDEX(Movimientos!$D$5:$D$2001,MATCH(A862&amp;"ENTRADA",Movimientos!$R$5:$R$2001,0)),"-")</f>
        <v>-</v>
      </c>
      <c r="D862" s="3" t="str">
        <f>IFERROR(INDEX(Movimientos!$E$5:$E$2001,MATCH(A862&amp;"ENTRADA",Movimientos!$R$5:$R$2001,0)),"-")</f>
        <v>-</v>
      </c>
      <c r="E862" s="3" t="str">
        <f>IFERROR(INDEX(Movimientos!$F$5:$F$2001,MATCH(A862&amp;"ENTRADA",Movimientos!$R$5:$R$2001,0)),"-")</f>
        <v>-</v>
      </c>
      <c r="F862" s="3" t="str">
        <f>IFERROR(INDEX(Movimientos!$G$5:$G$2001,MATCH(A862&amp;"ENTRADA",Movimientos!$R$5:$R$2001,0)),"-")</f>
        <v>-</v>
      </c>
      <c r="G862" s="3" t="str">
        <f>IFERROR(INDEX(Movimientos!$L$5:$L$2001,MATCH(A862&amp;"ENTRADA",Movimientos!$R$5:$R$2001,0)),"-")</f>
        <v>-</v>
      </c>
      <c r="H862" s="19" t="str">
        <f>IFERROR(IF(INDEX(Movimientos!$M$5:$M$2001,MATCH(A862&amp;"ENTRADA",Movimientos!$R$5:$R$2001,0))=0,"S/D",INDEX(Movimientos!$M$5:$M$2001,MATCH(A862&amp;"ENTRADA",Movimientos!$R$5:$R$2001,0))),"S/D")</f>
        <v>S/D</v>
      </c>
      <c r="I862" s="16" t="str">
        <f t="shared" ca="1" si="28"/>
        <v>S/D</v>
      </c>
      <c r="J862" s="6">
        <f>IF(A862="","",SUMIFS(Movimientos!$K:$K,Movimientos!$H:$H,A862))</f>
        <v>0</v>
      </c>
      <c r="K862" s="14" t="str">
        <f t="shared" ca="1" si="29"/>
        <v>OK</v>
      </c>
    </row>
    <row r="863" spans="1:11">
      <c r="A863" s="18" t="s">
        <v>2936</v>
      </c>
      <c r="B863" s="3" t="str">
        <f>IFERROR(INDEX(Movimientos!$C$5:$C$2001,MATCH(A863&amp;"ENTRADA",Movimientos!$R$5:$R$2001,0)),"-")</f>
        <v>-</v>
      </c>
      <c r="C863" s="3" t="str">
        <f>IFERROR(INDEX(Movimientos!$D$5:$D$2001,MATCH(A863&amp;"ENTRADA",Movimientos!$R$5:$R$2001,0)),"-")</f>
        <v>-</v>
      </c>
      <c r="D863" s="3" t="str">
        <f>IFERROR(INDEX(Movimientos!$E$5:$E$2001,MATCH(A863&amp;"ENTRADA",Movimientos!$R$5:$R$2001,0)),"-")</f>
        <v>-</v>
      </c>
      <c r="E863" s="3" t="str">
        <f>IFERROR(INDEX(Movimientos!$F$5:$F$2001,MATCH(A863&amp;"ENTRADA",Movimientos!$R$5:$R$2001,0)),"-")</f>
        <v>-</v>
      </c>
      <c r="F863" s="3" t="str">
        <f>IFERROR(INDEX(Movimientos!$G$5:$G$2001,MATCH(A863&amp;"ENTRADA",Movimientos!$R$5:$R$2001,0)),"-")</f>
        <v>-</v>
      </c>
      <c r="G863" s="3" t="str">
        <f>IFERROR(INDEX(Movimientos!$L$5:$L$2001,MATCH(A863&amp;"ENTRADA",Movimientos!$R$5:$R$2001,0)),"-")</f>
        <v>-</v>
      </c>
      <c r="H863" s="19" t="str">
        <f>IFERROR(IF(INDEX(Movimientos!$M$5:$M$2001,MATCH(A863&amp;"ENTRADA",Movimientos!$R$5:$R$2001,0))=0,"S/D",INDEX(Movimientos!$M$5:$M$2001,MATCH(A863&amp;"ENTRADA",Movimientos!$R$5:$R$2001,0))),"S/D")</f>
        <v>S/D</v>
      </c>
      <c r="I863" s="16" t="str">
        <f t="shared" ca="1" si="28"/>
        <v>S/D</v>
      </c>
      <c r="J863" s="6">
        <f>IF(A863="","",SUMIFS(Movimientos!$K:$K,Movimientos!$H:$H,A863))</f>
        <v>0</v>
      </c>
      <c r="K863" s="14" t="str">
        <f t="shared" ca="1" si="29"/>
        <v>OK</v>
      </c>
    </row>
    <row r="864" spans="1:11">
      <c r="A864" s="18" t="s">
        <v>2937</v>
      </c>
      <c r="B864" s="3" t="str">
        <f>IFERROR(INDEX(Movimientos!$C$5:$C$2001,MATCH(A864&amp;"ENTRADA",Movimientos!$R$5:$R$2001,0)),"-")</f>
        <v>-</v>
      </c>
      <c r="C864" s="3" t="str">
        <f>IFERROR(INDEX(Movimientos!$D$5:$D$2001,MATCH(A864&amp;"ENTRADA",Movimientos!$R$5:$R$2001,0)),"-")</f>
        <v>-</v>
      </c>
      <c r="D864" s="3" t="str">
        <f>IFERROR(INDEX(Movimientos!$E$5:$E$2001,MATCH(A864&amp;"ENTRADA",Movimientos!$R$5:$R$2001,0)),"-")</f>
        <v>-</v>
      </c>
      <c r="E864" s="3" t="str">
        <f>IFERROR(INDEX(Movimientos!$F$5:$F$2001,MATCH(A864&amp;"ENTRADA",Movimientos!$R$5:$R$2001,0)),"-")</f>
        <v>-</v>
      </c>
      <c r="F864" s="3" t="str">
        <f>IFERROR(INDEX(Movimientos!$G$5:$G$2001,MATCH(A864&amp;"ENTRADA",Movimientos!$R$5:$R$2001,0)),"-")</f>
        <v>-</v>
      </c>
      <c r="G864" s="3" t="str">
        <f>IFERROR(INDEX(Movimientos!$L$5:$L$2001,MATCH(A864&amp;"ENTRADA",Movimientos!$R$5:$R$2001,0)),"-")</f>
        <v>-</v>
      </c>
      <c r="H864" s="19" t="str">
        <f>IFERROR(IF(INDEX(Movimientos!$M$5:$M$2001,MATCH(A864&amp;"ENTRADA",Movimientos!$R$5:$R$2001,0))=0,"S/D",INDEX(Movimientos!$M$5:$M$2001,MATCH(A864&amp;"ENTRADA",Movimientos!$R$5:$R$2001,0))),"S/D")</f>
        <v>S/D</v>
      </c>
      <c r="I864" s="16" t="str">
        <f t="shared" ca="1" si="28"/>
        <v>S/D</v>
      </c>
      <c r="J864" s="6">
        <f>IF(A864="","",SUMIFS(Movimientos!$K:$K,Movimientos!$H:$H,A864))</f>
        <v>0</v>
      </c>
      <c r="K864" s="14" t="str">
        <f t="shared" ca="1" si="29"/>
        <v>OK</v>
      </c>
    </row>
    <row r="865" spans="1:11">
      <c r="A865" s="18" t="s">
        <v>2938</v>
      </c>
      <c r="B865" s="3" t="str">
        <f>IFERROR(INDEX(Movimientos!$C$5:$C$2001,MATCH(A865&amp;"ENTRADA",Movimientos!$R$5:$R$2001,0)),"-")</f>
        <v>-</v>
      </c>
      <c r="C865" s="3" t="str">
        <f>IFERROR(INDEX(Movimientos!$D$5:$D$2001,MATCH(A865&amp;"ENTRADA",Movimientos!$R$5:$R$2001,0)),"-")</f>
        <v>-</v>
      </c>
      <c r="D865" s="3" t="str">
        <f>IFERROR(INDEX(Movimientos!$E$5:$E$2001,MATCH(A865&amp;"ENTRADA",Movimientos!$R$5:$R$2001,0)),"-")</f>
        <v>-</v>
      </c>
      <c r="E865" s="3" t="str">
        <f>IFERROR(INDEX(Movimientos!$F$5:$F$2001,MATCH(A865&amp;"ENTRADA",Movimientos!$R$5:$R$2001,0)),"-")</f>
        <v>-</v>
      </c>
      <c r="F865" s="3" t="str">
        <f>IFERROR(INDEX(Movimientos!$G$5:$G$2001,MATCH(A865&amp;"ENTRADA",Movimientos!$R$5:$R$2001,0)),"-")</f>
        <v>-</v>
      </c>
      <c r="G865" s="3" t="str">
        <f>IFERROR(INDEX(Movimientos!$L$5:$L$2001,MATCH(A865&amp;"ENTRADA",Movimientos!$R$5:$R$2001,0)),"-")</f>
        <v>-</v>
      </c>
      <c r="H865" s="19" t="str">
        <f>IFERROR(IF(INDEX(Movimientos!$M$5:$M$2001,MATCH(A865&amp;"ENTRADA",Movimientos!$R$5:$R$2001,0))=0,"S/D",INDEX(Movimientos!$M$5:$M$2001,MATCH(A865&amp;"ENTRADA",Movimientos!$R$5:$R$2001,0))),"S/D")</f>
        <v>S/D</v>
      </c>
      <c r="I865" s="16" t="str">
        <f t="shared" ca="1" si="28"/>
        <v>S/D</v>
      </c>
      <c r="J865" s="6">
        <f>IF(A865="","",SUMIFS(Movimientos!$K:$K,Movimientos!$H:$H,A865))</f>
        <v>0</v>
      </c>
      <c r="K865" s="14" t="str">
        <f t="shared" ca="1" si="29"/>
        <v>OK</v>
      </c>
    </row>
    <row r="866" spans="1:11">
      <c r="A866" s="18" t="s">
        <v>2939</v>
      </c>
      <c r="B866" s="3" t="str">
        <f>IFERROR(INDEX(Movimientos!$C$5:$C$2001,MATCH(A866&amp;"ENTRADA",Movimientos!$R$5:$R$2001,0)),"-")</f>
        <v>-</v>
      </c>
      <c r="C866" s="3" t="str">
        <f>IFERROR(INDEX(Movimientos!$D$5:$D$2001,MATCH(A866&amp;"ENTRADA",Movimientos!$R$5:$R$2001,0)),"-")</f>
        <v>-</v>
      </c>
      <c r="D866" s="3" t="str">
        <f>IFERROR(INDEX(Movimientos!$E$5:$E$2001,MATCH(A866&amp;"ENTRADA",Movimientos!$R$5:$R$2001,0)),"-")</f>
        <v>-</v>
      </c>
      <c r="E866" s="3" t="str">
        <f>IFERROR(INDEX(Movimientos!$F$5:$F$2001,MATCH(A866&amp;"ENTRADA",Movimientos!$R$5:$R$2001,0)),"-")</f>
        <v>-</v>
      </c>
      <c r="F866" s="3" t="str">
        <f>IFERROR(INDEX(Movimientos!$G$5:$G$2001,MATCH(A866&amp;"ENTRADA",Movimientos!$R$5:$R$2001,0)),"-")</f>
        <v>-</v>
      </c>
      <c r="G866" s="3" t="str">
        <f>IFERROR(INDEX(Movimientos!$L$5:$L$2001,MATCH(A866&amp;"ENTRADA",Movimientos!$R$5:$R$2001,0)),"-")</f>
        <v>-</v>
      </c>
      <c r="H866" s="19" t="str">
        <f>IFERROR(IF(INDEX(Movimientos!$M$5:$M$2001,MATCH(A866&amp;"ENTRADA",Movimientos!$R$5:$R$2001,0))=0,"S/D",INDEX(Movimientos!$M$5:$M$2001,MATCH(A866&amp;"ENTRADA",Movimientos!$R$5:$R$2001,0))),"S/D")</f>
        <v>S/D</v>
      </c>
      <c r="I866" s="16" t="str">
        <f t="shared" ca="1" si="28"/>
        <v>S/D</v>
      </c>
      <c r="J866" s="6">
        <f>IF(A866="","",SUMIFS(Movimientos!$K:$K,Movimientos!$H:$H,A866))</f>
        <v>0</v>
      </c>
      <c r="K866" s="14" t="str">
        <f t="shared" ca="1" si="29"/>
        <v>OK</v>
      </c>
    </row>
    <row r="867" spans="1:11">
      <c r="A867" s="18" t="s">
        <v>2940</v>
      </c>
      <c r="B867" s="3" t="str">
        <f>IFERROR(INDEX(Movimientos!$C$5:$C$2001,MATCH(A867&amp;"ENTRADA",Movimientos!$R$5:$R$2001,0)),"-")</f>
        <v>-</v>
      </c>
      <c r="C867" s="3" t="str">
        <f>IFERROR(INDEX(Movimientos!$D$5:$D$2001,MATCH(A867&amp;"ENTRADA",Movimientos!$R$5:$R$2001,0)),"-")</f>
        <v>-</v>
      </c>
      <c r="D867" s="3" t="str">
        <f>IFERROR(INDEX(Movimientos!$E$5:$E$2001,MATCH(A867&amp;"ENTRADA",Movimientos!$R$5:$R$2001,0)),"-")</f>
        <v>-</v>
      </c>
      <c r="E867" s="3" t="str">
        <f>IFERROR(INDEX(Movimientos!$F$5:$F$2001,MATCH(A867&amp;"ENTRADA",Movimientos!$R$5:$R$2001,0)),"-")</f>
        <v>-</v>
      </c>
      <c r="F867" s="3" t="str">
        <f>IFERROR(INDEX(Movimientos!$G$5:$G$2001,MATCH(A867&amp;"ENTRADA",Movimientos!$R$5:$R$2001,0)),"-")</f>
        <v>-</v>
      </c>
      <c r="G867" s="3" t="str">
        <f>IFERROR(INDEX(Movimientos!$L$5:$L$2001,MATCH(A867&amp;"ENTRADA",Movimientos!$R$5:$R$2001,0)),"-")</f>
        <v>-</v>
      </c>
      <c r="H867" s="19" t="str">
        <f>IFERROR(IF(INDEX(Movimientos!$M$5:$M$2001,MATCH(A867&amp;"ENTRADA",Movimientos!$R$5:$R$2001,0))=0,"S/D",INDEX(Movimientos!$M$5:$M$2001,MATCH(A867&amp;"ENTRADA",Movimientos!$R$5:$R$2001,0))),"S/D")</f>
        <v>S/D</v>
      </c>
      <c r="I867" s="16" t="str">
        <f t="shared" ca="1" si="28"/>
        <v>S/D</v>
      </c>
      <c r="J867" s="6">
        <f>IF(A867="","",SUMIFS(Movimientos!$K:$K,Movimientos!$H:$H,A867))</f>
        <v>0</v>
      </c>
      <c r="K867" s="14" t="str">
        <f t="shared" ca="1" si="29"/>
        <v>OK</v>
      </c>
    </row>
    <row r="868" spans="1:11">
      <c r="A868" s="18" t="s">
        <v>2941</v>
      </c>
      <c r="B868" s="3" t="str">
        <f>IFERROR(INDEX(Movimientos!$C$5:$C$2001,MATCH(A868&amp;"ENTRADA",Movimientos!$R$5:$R$2001,0)),"-")</f>
        <v>-</v>
      </c>
      <c r="C868" s="3" t="str">
        <f>IFERROR(INDEX(Movimientos!$D$5:$D$2001,MATCH(A868&amp;"ENTRADA",Movimientos!$R$5:$R$2001,0)),"-")</f>
        <v>-</v>
      </c>
      <c r="D868" s="3" t="str">
        <f>IFERROR(INDEX(Movimientos!$E$5:$E$2001,MATCH(A868&amp;"ENTRADA",Movimientos!$R$5:$R$2001,0)),"-")</f>
        <v>-</v>
      </c>
      <c r="E868" s="3" t="str">
        <f>IFERROR(INDEX(Movimientos!$F$5:$F$2001,MATCH(A868&amp;"ENTRADA",Movimientos!$R$5:$R$2001,0)),"-")</f>
        <v>-</v>
      </c>
      <c r="F868" s="3" t="str">
        <f>IFERROR(INDEX(Movimientos!$G$5:$G$2001,MATCH(A868&amp;"ENTRADA",Movimientos!$R$5:$R$2001,0)),"-")</f>
        <v>-</v>
      </c>
      <c r="G868" s="3" t="str">
        <f>IFERROR(INDEX(Movimientos!$L$5:$L$2001,MATCH(A868&amp;"ENTRADA",Movimientos!$R$5:$R$2001,0)),"-")</f>
        <v>-</v>
      </c>
      <c r="H868" s="19" t="str">
        <f>IFERROR(IF(INDEX(Movimientos!$M$5:$M$2001,MATCH(A868&amp;"ENTRADA",Movimientos!$R$5:$R$2001,0))=0,"S/D",INDEX(Movimientos!$M$5:$M$2001,MATCH(A868&amp;"ENTRADA",Movimientos!$R$5:$R$2001,0))),"S/D")</f>
        <v>S/D</v>
      </c>
      <c r="I868" s="16" t="str">
        <f t="shared" ca="1" si="28"/>
        <v>S/D</v>
      </c>
      <c r="J868" s="6">
        <f>IF(A868="","",SUMIFS(Movimientos!$K:$K,Movimientos!$H:$H,A868))</f>
        <v>0</v>
      </c>
      <c r="K868" s="14" t="str">
        <f t="shared" ca="1" si="29"/>
        <v>OK</v>
      </c>
    </row>
    <row r="869" spans="1:11">
      <c r="A869" s="18" t="s">
        <v>2942</v>
      </c>
      <c r="B869" s="3" t="str">
        <f>IFERROR(INDEX(Movimientos!$C$5:$C$2001,MATCH(A869&amp;"ENTRADA",Movimientos!$R$5:$R$2001,0)),"-")</f>
        <v>-</v>
      </c>
      <c r="C869" s="3" t="str">
        <f>IFERROR(INDEX(Movimientos!$D$5:$D$2001,MATCH(A869&amp;"ENTRADA",Movimientos!$R$5:$R$2001,0)),"-")</f>
        <v>-</v>
      </c>
      <c r="D869" s="3" t="str">
        <f>IFERROR(INDEX(Movimientos!$E$5:$E$2001,MATCH(A869&amp;"ENTRADA",Movimientos!$R$5:$R$2001,0)),"-")</f>
        <v>-</v>
      </c>
      <c r="E869" s="3" t="str">
        <f>IFERROR(INDEX(Movimientos!$F$5:$F$2001,MATCH(A869&amp;"ENTRADA",Movimientos!$R$5:$R$2001,0)),"-")</f>
        <v>-</v>
      </c>
      <c r="F869" s="3" t="str">
        <f>IFERROR(INDEX(Movimientos!$G$5:$G$2001,MATCH(A869&amp;"ENTRADA",Movimientos!$R$5:$R$2001,0)),"-")</f>
        <v>-</v>
      </c>
      <c r="G869" s="3" t="str">
        <f>IFERROR(INDEX(Movimientos!$L$5:$L$2001,MATCH(A869&amp;"ENTRADA",Movimientos!$R$5:$R$2001,0)),"-")</f>
        <v>-</v>
      </c>
      <c r="H869" s="19" t="str">
        <f>IFERROR(IF(INDEX(Movimientos!$M$5:$M$2001,MATCH(A869&amp;"ENTRADA",Movimientos!$R$5:$R$2001,0))=0,"S/D",INDEX(Movimientos!$M$5:$M$2001,MATCH(A869&amp;"ENTRADA",Movimientos!$R$5:$R$2001,0))),"S/D")</f>
        <v>S/D</v>
      </c>
      <c r="I869" s="16" t="str">
        <f t="shared" ca="1" si="28"/>
        <v>S/D</v>
      </c>
      <c r="J869" s="6">
        <f>IF(A869="","",SUMIFS(Movimientos!$K:$K,Movimientos!$H:$H,A869))</f>
        <v>0</v>
      </c>
      <c r="K869" s="14" t="str">
        <f t="shared" ca="1" si="29"/>
        <v>OK</v>
      </c>
    </row>
    <row r="870" spans="1:11">
      <c r="A870" s="18" t="s">
        <v>2943</v>
      </c>
      <c r="B870" s="3" t="str">
        <f>IFERROR(INDEX(Movimientos!$C$5:$C$2001,MATCH(A870&amp;"ENTRADA",Movimientos!$R$5:$R$2001,0)),"-")</f>
        <v>-</v>
      </c>
      <c r="C870" s="3" t="str">
        <f>IFERROR(INDEX(Movimientos!$D$5:$D$2001,MATCH(A870&amp;"ENTRADA",Movimientos!$R$5:$R$2001,0)),"-")</f>
        <v>-</v>
      </c>
      <c r="D870" s="3" t="str">
        <f>IFERROR(INDEX(Movimientos!$E$5:$E$2001,MATCH(A870&amp;"ENTRADA",Movimientos!$R$5:$R$2001,0)),"-")</f>
        <v>-</v>
      </c>
      <c r="E870" s="3" t="str">
        <f>IFERROR(INDEX(Movimientos!$F$5:$F$2001,MATCH(A870&amp;"ENTRADA",Movimientos!$R$5:$R$2001,0)),"-")</f>
        <v>-</v>
      </c>
      <c r="F870" s="3" t="str">
        <f>IFERROR(INDEX(Movimientos!$G$5:$G$2001,MATCH(A870&amp;"ENTRADA",Movimientos!$R$5:$R$2001,0)),"-")</f>
        <v>-</v>
      </c>
      <c r="G870" s="3" t="str">
        <f>IFERROR(INDEX(Movimientos!$L$5:$L$2001,MATCH(A870&amp;"ENTRADA",Movimientos!$R$5:$R$2001,0)),"-")</f>
        <v>-</v>
      </c>
      <c r="H870" s="19" t="str">
        <f>IFERROR(IF(INDEX(Movimientos!$M$5:$M$2001,MATCH(A870&amp;"ENTRADA",Movimientos!$R$5:$R$2001,0))=0,"S/D",INDEX(Movimientos!$M$5:$M$2001,MATCH(A870&amp;"ENTRADA",Movimientos!$R$5:$R$2001,0))),"S/D")</f>
        <v>S/D</v>
      </c>
      <c r="I870" s="16" t="str">
        <f t="shared" ca="1" si="28"/>
        <v>S/D</v>
      </c>
      <c r="J870" s="6">
        <f>IF(A870="","",SUMIFS(Movimientos!$K:$K,Movimientos!$H:$H,A870))</f>
        <v>0</v>
      </c>
      <c r="K870" s="14" t="str">
        <f t="shared" ca="1" si="29"/>
        <v>OK</v>
      </c>
    </row>
    <row r="871" spans="1:11">
      <c r="A871" s="18" t="s">
        <v>2944</v>
      </c>
      <c r="B871" s="3" t="str">
        <f>IFERROR(INDEX(Movimientos!$C$5:$C$2001,MATCH(A871&amp;"ENTRADA",Movimientos!$R$5:$R$2001,0)),"-")</f>
        <v>-</v>
      </c>
      <c r="C871" s="3" t="str">
        <f>IFERROR(INDEX(Movimientos!$D$5:$D$2001,MATCH(A871&amp;"ENTRADA",Movimientos!$R$5:$R$2001,0)),"-")</f>
        <v>-</v>
      </c>
      <c r="D871" s="3" t="str">
        <f>IFERROR(INDEX(Movimientos!$E$5:$E$2001,MATCH(A871&amp;"ENTRADA",Movimientos!$R$5:$R$2001,0)),"-")</f>
        <v>-</v>
      </c>
      <c r="E871" s="3" t="str">
        <f>IFERROR(INDEX(Movimientos!$F$5:$F$2001,MATCH(A871&amp;"ENTRADA",Movimientos!$R$5:$R$2001,0)),"-")</f>
        <v>-</v>
      </c>
      <c r="F871" s="3" t="str">
        <f>IFERROR(INDEX(Movimientos!$G$5:$G$2001,MATCH(A871&amp;"ENTRADA",Movimientos!$R$5:$R$2001,0)),"-")</f>
        <v>-</v>
      </c>
      <c r="G871" s="3" t="str">
        <f>IFERROR(INDEX(Movimientos!$L$5:$L$2001,MATCH(A871&amp;"ENTRADA",Movimientos!$R$5:$R$2001,0)),"-")</f>
        <v>-</v>
      </c>
      <c r="H871" s="19" t="str">
        <f>IFERROR(IF(INDEX(Movimientos!$M$5:$M$2001,MATCH(A871&amp;"ENTRADA",Movimientos!$R$5:$R$2001,0))=0,"S/D",INDEX(Movimientos!$M$5:$M$2001,MATCH(A871&amp;"ENTRADA",Movimientos!$R$5:$R$2001,0))),"S/D")</f>
        <v>S/D</v>
      </c>
      <c r="I871" s="16" t="str">
        <f t="shared" ca="1" si="28"/>
        <v>S/D</v>
      </c>
      <c r="J871" s="6">
        <f>IF(A871="","",SUMIFS(Movimientos!$K:$K,Movimientos!$H:$H,A871))</f>
        <v>0</v>
      </c>
      <c r="K871" s="14" t="str">
        <f t="shared" ca="1" si="29"/>
        <v>OK</v>
      </c>
    </row>
    <row r="872" spans="1:11">
      <c r="A872" s="18" t="s">
        <v>2945</v>
      </c>
      <c r="B872" s="3" t="str">
        <f>IFERROR(INDEX(Movimientos!$C$5:$C$2001,MATCH(A872&amp;"ENTRADA",Movimientos!$R$5:$R$2001,0)),"-")</f>
        <v>-</v>
      </c>
      <c r="C872" s="3" t="str">
        <f>IFERROR(INDEX(Movimientos!$D$5:$D$2001,MATCH(A872&amp;"ENTRADA",Movimientos!$R$5:$R$2001,0)),"-")</f>
        <v>-</v>
      </c>
      <c r="D872" s="3" t="str">
        <f>IFERROR(INDEX(Movimientos!$E$5:$E$2001,MATCH(A872&amp;"ENTRADA",Movimientos!$R$5:$R$2001,0)),"-")</f>
        <v>-</v>
      </c>
      <c r="E872" s="3" t="str">
        <f>IFERROR(INDEX(Movimientos!$F$5:$F$2001,MATCH(A872&amp;"ENTRADA",Movimientos!$R$5:$R$2001,0)),"-")</f>
        <v>-</v>
      </c>
      <c r="F872" s="3" t="str">
        <f>IFERROR(INDEX(Movimientos!$G$5:$G$2001,MATCH(A872&amp;"ENTRADA",Movimientos!$R$5:$R$2001,0)),"-")</f>
        <v>-</v>
      </c>
      <c r="G872" s="3" t="str">
        <f>IFERROR(INDEX(Movimientos!$L$5:$L$2001,MATCH(A872&amp;"ENTRADA",Movimientos!$R$5:$R$2001,0)),"-")</f>
        <v>-</v>
      </c>
      <c r="H872" s="19" t="str">
        <f>IFERROR(IF(INDEX(Movimientos!$M$5:$M$2001,MATCH(A872&amp;"ENTRADA",Movimientos!$R$5:$R$2001,0))=0,"S/D",INDEX(Movimientos!$M$5:$M$2001,MATCH(A872&amp;"ENTRADA",Movimientos!$R$5:$R$2001,0))),"S/D")</f>
        <v>S/D</v>
      </c>
      <c r="I872" s="16" t="str">
        <f t="shared" ca="1" si="28"/>
        <v>S/D</v>
      </c>
      <c r="J872" s="6">
        <f>IF(A872="","",SUMIFS(Movimientos!$K:$K,Movimientos!$H:$H,A872))</f>
        <v>0</v>
      </c>
      <c r="K872" s="14" t="str">
        <f t="shared" ca="1" si="29"/>
        <v>OK</v>
      </c>
    </row>
    <row r="873" spans="1:11">
      <c r="A873" s="18" t="s">
        <v>2946</v>
      </c>
      <c r="B873" s="3" t="str">
        <f>IFERROR(INDEX(Movimientos!$C$5:$C$2001,MATCH(A873&amp;"ENTRADA",Movimientos!$R$5:$R$2001,0)),"-")</f>
        <v>-</v>
      </c>
      <c r="C873" s="3" t="str">
        <f>IFERROR(INDEX(Movimientos!$D$5:$D$2001,MATCH(A873&amp;"ENTRADA",Movimientos!$R$5:$R$2001,0)),"-")</f>
        <v>-</v>
      </c>
      <c r="D873" s="3" t="str">
        <f>IFERROR(INDEX(Movimientos!$E$5:$E$2001,MATCH(A873&amp;"ENTRADA",Movimientos!$R$5:$R$2001,0)),"-")</f>
        <v>-</v>
      </c>
      <c r="E873" s="3" t="str">
        <f>IFERROR(INDEX(Movimientos!$F$5:$F$2001,MATCH(A873&amp;"ENTRADA",Movimientos!$R$5:$R$2001,0)),"-")</f>
        <v>-</v>
      </c>
      <c r="F873" s="3" t="str">
        <f>IFERROR(INDEX(Movimientos!$G$5:$G$2001,MATCH(A873&amp;"ENTRADA",Movimientos!$R$5:$R$2001,0)),"-")</f>
        <v>-</v>
      </c>
      <c r="G873" s="3" t="str">
        <f>IFERROR(INDEX(Movimientos!$L$5:$L$2001,MATCH(A873&amp;"ENTRADA",Movimientos!$R$5:$R$2001,0)),"-")</f>
        <v>-</v>
      </c>
      <c r="H873" s="19" t="str">
        <f>IFERROR(IF(INDEX(Movimientos!$M$5:$M$2001,MATCH(A873&amp;"ENTRADA",Movimientos!$R$5:$R$2001,0))=0,"S/D",INDEX(Movimientos!$M$5:$M$2001,MATCH(A873&amp;"ENTRADA",Movimientos!$R$5:$R$2001,0))),"S/D")</f>
        <v>S/D</v>
      </c>
      <c r="I873" s="16" t="str">
        <f t="shared" ca="1" si="28"/>
        <v>S/D</v>
      </c>
      <c r="J873" s="6">
        <f>IF(A873="","",SUMIFS(Movimientos!$K:$K,Movimientos!$H:$H,A873))</f>
        <v>0</v>
      </c>
      <c r="K873" s="14" t="str">
        <f t="shared" ca="1" si="29"/>
        <v>OK</v>
      </c>
    </row>
    <row r="874" spans="1:11">
      <c r="A874" s="18" t="s">
        <v>2947</v>
      </c>
      <c r="B874" s="3" t="str">
        <f>IFERROR(INDEX(Movimientos!$C$5:$C$2001,MATCH(A874&amp;"ENTRADA",Movimientos!$R$5:$R$2001,0)),"-")</f>
        <v>-</v>
      </c>
      <c r="C874" s="3" t="str">
        <f>IFERROR(INDEX(Movimientos!$D$5:$D$2001,MATCH(A874&amp;"ENTRADA",Movimientos!$R$5:$R$2001,0)),"-")</f>
        <v>-</v>
      </c>
      <c r="D874" s="3" t="str">
        <f>IFERROR(INDEX(Movimientos!$E$5:$E$2001,MATCH(A874&amp;"ENTRADA",Movimientos!$R$5:$R$2001,0)),"-")</f>
        <v>-</v>
      </c>
      <c r="E874" s="3" t="str">
        <f>IFERROR(INDEX(Movimientos!$F$5:$F$2001,MATCH(A874&amp;"ENTRADA",Movimientos!$R$5:$R$2001,0)),"-")</f>
        <v>-</v>
      </c>
      <c r="F874" s="3" t="str">
        <f>IFERROR(INDEX(Movimientos!$G$5:$G$2001,MATCH(A874&amp;"ENTRADA",Movimientos!$R$5:$R$2001,0)),"-")</f>
        <v>-</v>
      </c>
      <c r="G874" s="3" t="str">
        <f>IFERROR(INDEX(Movimientos!$L$5:$L$2001,MATCH(A874&amp;"ENTRADA",Movimientos!$R$5:$R$2001,0)),"-")</f>
        <v>-</v>
      </c>
      <c r="H874" s="19" t="str">
        <f>IFERROR(IF(INDEX(Movimientos!$M$5:$M$2001,MATCH(A874&amp;"ENTRADA",Movimientos!$R$5:$R$2001,0))=0,"S/D",INDEX(Movimientos!$M$5:$M$2001,MATCH(A874&amp;"ENTRADA",Movimientos!$R$5:$R$2001,0))),"S/D")</f>
        <v>S/D</v>
      </c>
      <c r="I874" s="16" t="str">
        <f t="shared" ca="1" si="28"/>
        <v>S/D</v>
      </c>
      <c r="J874" s="6">
        <f>IF(A874="","",SUMIFS(Movimientos!$K:$K,Movimientos!$H:$H,A874))</f>
        <v>0</v>
      </c>
      <c r="K874" s="14" t="str">
        <f t="shared" ca="1" si="29"/>
        <v>OK</v>
      </c>
    </row>
    <row r="875" spans="1:11">
      <c r="A875" s="18" t="s">
        <v>2948</v>
      </c>
      <c r="B875" s="3" t="str">
        <f>IFERROR(INDEX(Movimientos!$C$5:$C$2001,MATCH(A875&amp;"ENTRADA",Movimientos!$R$5:$R$2001,0)),"-")</f>
        <v>-</v>
      </c>
      <c r="C875" s="3" t="str">
        <f>IFERROR(INDEX(Movimientos!$D$5:$D$2001,MATCH(A875&amp;"ENTRADA",Movimientos!$R$5:$R$2001,0)),"-")</f>
        <v>-</v>
      </c>
      <c r="D875" s="3" t="str">
        <f>IFERROR(INDEX(Movimientos!$E$5:$E$2001,MATCH(A875&amp;"ENTRADA",Movimientos!$R$5:$R$2001,0)),"-")</f>
        <v>-</v>
      </c>
      <c r="E875" s="3" t="str">
        <f>IFERROR(INDEX(Movimientos!$F$5:$F$2001,MATCH(A875&amp;"ENTRADA",Movimientos!$R$5:$R$2001,0)),"-")</f>
        <v>-</v>
      </c>
      <c r="F875" s="3" t="str">
        <f>IFERROR(INDEX(Movimientos!$G$5:$G$2001,MATCH(A875&amp;"ENTRADA",Movimientos!$R$5:$R$2001,0)),"-")</f>
        <v>-</v>
      </c>
      <c r="G875" s="3" t="str">
        <f>IFERROR(INDEX(Movimientos!$L$5:$L$2001,MATCH(A875&amp;"ENTRADA",Movimientos!$R$5:$R$2001,0)),"-")</f>
        <v>-</v>
      </c>
      <c r="H875" s="19" t="str">
        <f>IFERROR(IF(INDEX(Movimientos!$M$5:$M$2001,MATCH(A875&amp;"ENTRADA",Movimientos!$R$5:$R$2001,0))=0,"S/D",INDEX(Movimientos!$M$5:$M$2001,MATCH(A875&amp;"ENTRADA",Movimientos!$R$5:$R$2001,0))),"S/D")</f>
        <v>S/D</v>
      </c>
      <c r="I875" s="16" t="str">
        <f t="shared" ca="1" si="28"/>
        <v>S/D</v>
      </c>
      <c r="J875" s="6">
        <f>IF(A875="","",SUMIFS(Movimientos!$K:$K,Movimientos!$H:$H,A875))</f>
        <v>0</v>
      </c>
      <c r="K875" s="14" t="str">
        <f t="shared" ca="1" si="29"/>
        <v>OK</v>
      </c>
    </row>
    <row r="876" spans="1:11">
      <c r="A876" s="18" t="s">
        <v>2949</v>
      </c>
      <c r="B876" s="3" t="str">
        <f>IFERROR(INDEX(Movimientos!$C$5:$C$2001,MATCH(A876&amp;"ENTRADA",Movimientos!$R$5:$R$2001,0)),"-")</f>
        <v>-</v>
      </c>
      <c r="C876" s="3" t="str">
        <f>IFERROR(INDEX(Movimientos!$D$5:$D$2001,MATCH(A876&amp;"ENTRADA",Movimientos!$R$5:$R$2001,0)),"-")</f>
        <v>-</v>
      </c>
      <c r="D876" s="3" t="str">
        <f>IFERROR(INDEX(Movimientos!$E$5:$E$2001,MATCH(A876&amp;"ENTRADA",Movimientos!$R$5:$R$2001,0)),"-")</f>
        <v>-</v>
      </c>
      <c r="E876" s="3" t="str">
        <f>IFERROR(INDEX(Movimientos!$F$5:$F$2001,MATCH(A876&amp;"ENTRADA",Movimientos!$R$5:$R$2001,0)),"-")</f>
        <v>-</v>
      </c>
      <c r="F876" s="3" t="str">
        <f>IFERROR(INDEX(Movimientos!$G$5:$G$2001,MATCH(A876&amp;"ENTRADA",Movimientos!$R$5:$R$2001,0)),"-")</f>
        <v>-</v>
      </c>
      <c r="G876" s="3" t="str">
        <f>IFERROR(INDEX(Movimientos!$L$5:$L$2001,MATCH(A876&amp;"ENTRADA",Movimientos!$R$5:$R$2001,0)),"-")</f>
        <v>-</v>
      </c>
      <c r="H876" s="19" t="str">
        <f>IFERROR(IF(INDEX(Movimientos!$M$5:$M$2001,MATCH(A876&amp;"ENTRADA",Movimientos!$R$5:$R$2001,0))=0,"S/D",INDEX(Movimientos!$M$5:$M$2001,MATCH(A876&amp;"ENTRADA",Movimientos!$R$5:$R$2001,0))),"S/D")</f>
        <v>S/D</v>
      </c>
      <c r="I876" s="16" t="str">
        <f t="shared" ca="1" si="28"/>
        <v>S/D</v>
      </c>
      <c r="J876" s="6">
        <f>IF(A876="","",SUMIFS(Movimientos!$K:$K,Movimientos!$H:$H,A876))</f>
        <v>0</v>
      </c>
      <c r="K876" s="14" t="str">
        <f t="shared" ca="1" si="29"/>
        <v>OK</v>
      </c>
    </row>
    <row r="877" spans="1:11">
      <c r="A877" s="18" t="s">
        <v>2950</v>
      </c>
      <c r="B877" s="3" t="str">
        <f>IFERROR(INDEX(Movimientos!$C$5:$C$2001,MATCH(A877&amp;"ENTRADA",Movimientos!$R$5:$R$2001,0)),"-")</f>
        <v>-</v>
      </c>
      <c r="C877" s="3" t="str">
        <f>IFERROR(INDEX(Movimientos!$D$5:$D$2001,MATCH(A877&amp;"ENTRADA",Movimientos!$R$5:$R$2001,0)),"-")</f>
        <v>-</v>
      </c>
      <c r="D877" s="3" t="str">
        <f>IFERROR(INDEX(Movimientos!$E$5:$E$2001,MATCH(A877&amp;"ENTRADA",Movimientos!$R$5:$R$2001,0)),"-")</f>
        <v>-</v>
      </c>
      <c r="E877" s="3" t="str">
        <f>IFERROR(INDEX(Movimientos!$F$5:$F$2001,MATCH(A877&amp;"ENTRADA",Movimientos!$R$5:$R$2001,0)),"-")</f>
        <v>-</v>
      </c>
      <c r="F877" s="3" t="str">
        <f>IFERROR(INDEX(Movimientos!$G$5:$G$2001,MATCH(A877&amp;"ENTRADA",Movimientos!$R$5:$R$2001,0)),"-")</f>
        <v>-</v>
      </c>
      <c r="G877" s="3" t="str">
        <f>IFERROR(INDEX(Movimientos!$L$5:$L$2001,MATCH(A877&amp;"ENTRADA",Movimientos!$R$5:$R$2001,0)),"-")</f>
        <v>-</v>
      </c>
      <c r="H877" s="19" t="str">
        <f>IFERROR(IF(INDEX(Movimientos!$M$5:$M$2001,MATCH(A877&amp;"ENTRADA",Movimientos!$R$5:$R$2001,0))=0,"S/D",INDEX(Movimientos!$M$5:$M$2001,MATCH(A877&amp;"ENTRADA",Movimientos!$R$5:$R$2001,0))),"S/D")</f>
        <v>S/D</v>
      </c>
      <c r="I877" s="16" t="str">
        <f t="shared" ca="1" si="28"/>
        <v>S/D</v>
      </c>
      <c r="J877" s="6">
        <f>IF(A877="","",SUMIFS(Movimientos!$K:$K,Movimientos!$H:$H,A877))</f>
        <v>0</v>
      </c>
      <c r="K877" s="14" t="str">
        <f t="shared" ca="1" si="29"/>
        <v>OK</v>
      </c>
    </row>
    <row r="878" spans="1:11">
      <c r="A878" s="18" t="s">
        <v>2951</v>
      </c>
      <c r="B878" s="3" t="str">
        <f>IFERROR(INDEX(Movimientos!$C$5:$C$2001,MATCH(A878&amp;"ENTRADA",Movimientos!$R$5:$R$2001,0)),"-")</f>
        <v>-</v>
      </c>
      <c r="C878" s="3" t="str">
        <f>IFERROR(INDEX(Movimientos!$D$5:$D$2001,MATCH(A878&amp;"ENTRADA",Movimientos!$R$5:$R$2001,0)),"-")</f>
        <v>-</v>
      </c>
      <c r="D878" s="3" t="str">
        <f>IFERROR(INDEX(Movimientos!$E$5:$E$2001,MATCH(A878&amp;"ENTRADA",Movimientos!$R$5:$R$2001,0)),"-")</f>
        <v>-</v>
      </c>
      <c r="E878" s="3" t="str">
        <f>IFERROR(INDEX(Movimientos!$F$5:$F$2001,MATCH(A878&amp;"ENTRADA",Movimientos!$R$5:$R$2001,0)),"-")</f>
        <v>-</v>
      </c>
      <c r="F878" s="3" t="str">
        <f>IFERROR(INDEX(Movimientos!$G$5:$G$2001,MATCH(A878&amp;"ENTRADA",Movimientos!$R$5:$R$2001,0)),"-")</f>
        <v>-</v>
      </c>
      <c r="G878" s="3" t="str">
        <f>IFERROR(INDEX(Movimientos!$L$5:$L$2001,MATCH(A878&amp;"ENTRADA",Movimientos!$R$5:$R$2001,0)),"-")</f>
        <v>-</v>
      </c>
      <c r="H878" s="19" t="str">
        <f>IFERROR(IF(INDEX(Movimientos!$M$5:$M$2001,MATCH(A878&amp;"ENTRADA",Movimientos!$R$5:$R$2001,0))=0,"S/D",INDEX(Movimientos!$M$5:$M$2001,MATCH(A878&amp;"ENTRADA",Movimientos!$R$5:$R$2001,0))),"S/D")</f>
        <v>S/D</v>
      </c>
      <c r="I878" s="16" t="str">
        <f t="shared" ca="1" si="28"/>
        <v>S/D</v>
      </c>
      <c r="J878" s="6">
        <f>IF(A878="","",SUMIFS(Movimientos!$K:$K,Movimientos!$H:$H,A878))</f>
        <v>0</v>
      </c>
      <c r="K878" s="14" t="str">
        <f t="shared" ca="1" si="29"/>
        <v>OK</v>
      </c>
    </row>
    <row r="879" spans="1:11">
      <c r="A879" s="18" t="s">
        <v>2952</v>
      </c>
      <c r="B879" s="3" t="str">
        <f>IFERROR(INDEX(Movimientos!$C$5:$C$2001,MATCH(A879&amp;"ENTRADA",Movimientos!$R$5:$R$2001,0)),"-")</f>
        <v>-</v>
      </c>
      <c r="C879" s="3" t="str">
        <f>IFERROR(INDEX(Movimientos!$D$5:$D$2001,MATCH(A879&amp;"ENTRADA",Movimientos!$R$5:$R$2001,0)),"-")</f>
        <v>-</v>
      </c>
      <c r="D879" s="3" t="str">
        <f>IFERROR(INDEX(Movimientos!$E$5:$E$2001,MATCH(A879&amp;"ENTRADA",Movimientos!$R$5:$R$2001,0)),"-")</f>
        <v>-</v>
      </c>
      <c r="E879" s="3" t="str">
        <f>IFERROR(INDEX(Movimientos!$F$5:$F$2001,MATCH(A879&amp;"ENTRADA",Movimientos!$R$5:$R$2001,0)),"-")</f>
        <v>-</v>
      </c>
      <c r="F879" s="3" t="str">
        <f>IFERROR(INDEX(Movimientos!$G$5:$G$2001,MATCH(A879&amp;"ENTRADA",Movimientos!$R$5:$R$2001,0)),"-")</f>
        <v>-</v>
      </c>
      <c r="G879" s="3" t="str">
        <f>IFERROR(INDEX(Movimientos!$L$5:$L$2001,MATCH(A879&amp;"ENTRADA",Movimientos!$R$5:$R$2001,0)),"-")</f>
        <v>-</v>
      </c>
      <c r="H879" s="19" t="str">
        <f>IFERROR(IF(INDEX(Movimientos!$M$5:$M$2001,MATCH(A879&amp;"ENTRADA",Movimientos!$R$5:$R$2001,0))=0,"S/D",INDEX(Movimientos!$M$5:$M$2001,MATCH(A879&amp;"ENTRADA",Movimientos!$R$5:$R$2001,0))),"S/D")</f>
        <v>S/D</v>
      </c>
      <c r="I879" s="16" t="str">
        <f t="shared" ca="1" si="28"/>
        <v>S/D</v>
      </c>
      <c r="J879" s="6">
        <f>IF(A879="","",SUMIFS(Movimientos!$K:$K,Movimientos!$H:$H,A879))</f>
        <v>0</v>
      </c>
      <c r="K879" s="14" t="str">
        <f t="shared" ca="1" si="29"/>
        <v>OK</v>
      </c>
    </row>
    <row r="880" spans="1:11">
      <c r="A880" s="18" t="s">
        <v>2953</v>
      </c>
      <c r="B880" s="3" t="str">
        <f>IFERROR(INDEX(Movimientos!$C$5:$C$2001,MATCH(A880&amp;"ENTRADA",Movimientos!$R$5:$R$2001,0)),"-")</f>
        <v>-</v>
      </c>
      <c r="C880" s="3" t="str">
        <f>IFERROR(INDEX(Movimientos!$D$5:$D$2001,MATCH(A880&amp;"ENTRADA",Movimientos!$R$5:$R$2001,0)),"-")</f>
        <v>-</v>
      </c>
      <c r="D880" s="3" t="str">
        <f>IFERROR(INDEX(Movimientos!$E$5:$E$2001,MATCH(A880&amp;"ENTRADA",Movimientos!$R$5:$R$2001,0)),"-")</f>
        <v>-</v>
      </c>
      <c r="E880" s="3" t="str">
        <f>IFERROR(INDEX(Movimientos!$F$5:$F$2001,MATCH(A880&amp;"ENTRADA",Movimientos!$R$5:$R$2001,0)),"-")</f>
        <v>-</v>
      </c>
      <c r="F880" s="3" t="str">
        <f>IFERROR(INDEX(Movimientos!$G$5:$G$2001,MATCH(A880&amp;"ENTRADA",Movimientos!$R$5:$R$2001,0)),"-")</f>
        <v>-</v>
      </c>
      <c r="G880" s="3" t="str">
        <f>IFERROR(INDEX(Movimientos!$L$5:$L$2001,MATCH(A880&amp;"ENTRADA",Movimientos!$R$5:$R$2001,0)),"-")</f>
        <v>-</v>
      </c>
      <c r="H880" s="19" t="str">
        <f>IFERROR(IF(INDEX(Movimientos!$M$5:$M$2001,MATCH(A880&amp;"ENTRADA",Movimientos!$R$5:$R$2001,0))=0,"S/D",INDEX(Movimientos!$M$5:$M$2001,MATCH(A880&amp;"ENTRADA",Movimientos!$R$5:$R$2001,0))),"S/D")</f>
        <v>S/D</v>
      </c>
      <c r="I880" s="16" t="str">
        <f t="shared" ca="1" si="28"/>
        <v>S/D</v>
      </c>
      <c r="J880" s="6">
        <f>IF(A880="","",SUMIFS(Movimientos!$K:$K,Movimientos!$H:$H,A880))</f>
        <v>0</v>
      </c>
      <c r="K880" s="14" t="str">
        <f t="shared" ca="1" si="29"/>
        <v>OK</v>
      </c>
    </row>
    <row r="881" spans="1:11">
      <c r="A881" s="18" t="s">
        <v>2954</v>
      </c>
      <c r="B881" s="3" t="str">
        <f>IFERROR(INDEX(Movimientos!$C$5:$C$2001,MATCH(A881&amp;"ENTRADA",Movimientos!$R$5:$R$2001,0)),"-")</f>
        <v>-</v>
      </c>
      <c r="C881" s="3" t="str">
        <f>IFERROR(INDEX(Movimientos!$D$5:$D$2001,MATCH(A881&amp;"ENTRADA",Movimientos!$R$5:$R$2001,0)),"-")</f>
        <v>-</v>
      </c>
      <c r="D881" s="3" t="str">
        <f>IFERROR(INDEX(Movimientos!$E$5:$E$2001,MATCH(A881&amp;"ENTRADA",Movimientos!$R$5:$R$2001,0)),"-")</f>
        <v>-</v>
      </c>
      <c r="E881" s="3" t="str">
        <f>IFERROR(INDEX(Movimientos!$F$5:$F$2001,MATCH(A881&amp;"ENTRADA",Movimientos!$R$5:$R$2001,0)),"-")</f>
        <v>-</v>
      </c>
      <c r="F881" s="3" t="str">
        <f>IFERROR(INDEX(Movimientos!$G$5:$G$2001,MATCH(A881&amp;"ENTRADA",Movimientos!$R$5:$R$2001,0)),"-")</f>
        <v>-</v>
      </c>
      <c r="G881" s="3" t="str">
        <f>IFERROR(INDEX(Movimientos!$L$5:$L$2001,MATCH(A881&amp;"ENTRADA",Movimientos!$R$5:$R$2001,0)),"-")</f>
        <v>-</v>
      </c>
      <c r="H881" s="19" t="str">
        <f>IFERROR(IF(INDEX(Movimientos!$M$5:$M$2001,MATCH(A881&amp;"ENTRADA",Movimientos!$R$5:$R$2001,0))=0,"S/D",INDEX(Movimientos!$M$5:$M$2001,MATCH(A881&amp;"ENTRADA",Movimientos!$R$5:$R$2001,0))),"S/D")</f>
        <v>S/D</v>
      </c>
      <c r="I881" s="16" t="str">
        <f t="shared" ca="1" si="28"/>
        <v>S/D</v>
      </c>
      <c r="J881" s="6">
        <f>IF(A881="","",SUMIFS(Movimientos!$K:$K,Movimientos!$H:$H,A881))</f>
        <v>0</v>
      </c>
      <c r="K881" s="14" t="str">
        <f t="shared" ca="1" si="29"/>
        <v>OK</v>
      </c>
    </row>
    <row r="882" spans="1:11">
      <c r="A882" s="18" t="s">
        <v>2955</v>
      </c>
      <c r="B882" s="3" t="str">
        <f>IFERROR(INDEX(Movimientos!$C$5:$C$2001,MATCH(A882&amp;"ENTRADA",Movimientos!$R$5:$R$2001,0)),"-")</f>
        <v>-</v>
      </c>
      <c r="C882" s="3" t="str">
        <f>IFERROR(INDEX(Movimientos!$D$5:$D$2001,MATCH(A882&amp;"ENTRADA",Movimientos!$R$5:$R$2001,0)),"-")</f>
        <v>-</v>
      </c>
      <c r="D882" s="3" t="str">
        <f>IFERROR(INDEX(Movimientos!$E$5:$E$2001,MATCH(A882&amp;"ENTRADA",Movimientos!$R$5:$R$2001,0)),"-")</f>
        <v>-</v>
      </c>
      <c r="E882" s="3" t="str">
        <f>IFERROR(INDEX(Movimientos!$F$5:$F$2001,MATCH(A882&amp;"ENTRADA",Movimientos!$R$5:$R$2001,0)),"-")</f>
        <v>-</v>
      </c>
      <c r="F882" s="3" t="str">
        <f>IFERROR(INDEX(Movimientos!$G$5:$G$2001,MATCH(A882&amp;"ENTRADA",Movimientos!$R$5:$R$2001,0)),"-")</f>
        <v>-</v>
      </c>
      <c r="G882" s="3" t="str">
        <f>IFERROR(INDEX(Movimientos!$L$5:$L$2001,MATCH(A882&amp;"ENTRADA",Movimientos!$R$5:$R$2001,0)),"-")</f>
        <v>-</v>
      </c>
      <c r="H882" s="19" t="str">
        <f>IFERROR(IF(INDEX(Movimientos!$M$5:$M$2001,MATCH(A882&amp;"ENTRADA",Movimientos!$R$5:$R$2001,0))=0,"S/D",INDEX(Movimientos!$M$5:$M$2001,MATCH(A882&amp;"ENTRADA",Movimientos!$R$5:$R$2001,0))),"S/D")</f>
        <v>S/D</v>
      </c>
      <c r="I882" s="16" t="str">
        <f t="shared" ca="1" si="28"/>
        <v>S/D</v>
      </c>
      <c r="J882" s="6">
        <f>IF(A882="","",SUMIFS(Movimientos!$K:$K,Movimientos!$H:$H,A882))</f>
        <v>0</v>
      </c>
      <c r="K882" s="14" t="str">
        <f t="shared" ca="1" si="29"/>
        <v>OK</v>
      </c>
    </row>
    <row r="883" spans="1:11">
      <c r="A883" s="18" t="s">
        <v>2956</v>
      </c>
      <c r="B883" s="3" t="str">
        <f>IFERROR(INDEX(Movimientos!$C$5:$C$2001,MATCH(A883&amp;"ENTRADA",Movimientos!$R$5:$R$2001,0)),"-")</f>
        <v>-</v>
      </c>
      <c r="C883" s="3" t="str">
        <f>IFERROR(INDEX(Movimientos!$D$5:$D$2001,MATCH(A883&amp;"ENTRADA",Movimientos!$R$5:$R$2001,0)),"-")</f>
        <v>-</v>
      </c>
      <c r="D883" s="3" t="str">
        <f>IFERROR(INDEX(Movimientos!$E$5:$E$2001,MATCH(A883&amp;"ENTRADA",Movimientos!$R$5:$R$2001,0)),"-")</f>
        <v>-</v>
      </c>
      <c r="E883" s="3" t="str">
        <f>IFERROR(INDEX(Movimientos!$F$5:$F$2001,MATCH(A883&amp;"ENTRADA",Movimientos!$R$5:$R$2001,0)),"-")</f>
        <v>-</v>
      </c>
      <c r="F883" s="3" t="str">
        <f>IFERROR(INDEX(Movimientos!$G$5:$G$2001,MATCH(A883&amp;"ENTRADA",Movimientos!$R$5:$R$2001,0)),"-")</f>
        <v>-</v>
      </c>
      <c r="G883" s="3" t="str">
        <f>IFERROR(INDEX(Movimientos!$L$5:$L$2001,MATCH(A883&amp;"ENTRADA",Movimientos!$R$5:$R$2001,0)),"-")</f>
        <v>-</v>
      </c>
      <c r="H883" s="19" t="str">
        <f>IFERROR(IF(INDEX(Movimientos!$M$5:$M$2001,MATCH(A883&amp;"ENTRADA",Movimientos!$R$5:$R$2001,0))=0,"S/D",INDEX(Movimientos!$M$5:$M$2001,MATCH(A883&amp;"ENTRADA",Movimientos!$R$5:$R$2001,0))),"S/D")</f>
        <v>S/D</v>
      </c>
      <c r="I883" s="16" t="str">
        <f t="shared" ca="1" si="28"/>
        <v>S/D</v>
      </c>
      <c r="J883" s="6">
        <f>IF(A883="","",SUMIFS(Movimientos!$K:$K,Movimientos!$H:$H,A883))</f>
        <v>0</v>
      </c>
      <c r="K883" s="14" t="str">
        <f t="shared" ca="1" si="29"/>
        <v>OK</v>
      </c>
    </row>
    <row r="884" spans="1:11">
      <c r="A884" s="18" t="s">
        <v>2957</v>
      </c>
      <c r="B884" s="3" t="str">
        <f>IFERROR(INDEX(Movimientos!$C$5:$C$2001,MATCH(A884&amp;"ENTRADA",Movimientos!$R$5:$R$2001,0)),"-")</f>
        <v>-</v>
      </c>
      <c r="C884" s="3" t="str">
        <f>IFERROR(INDEX(Movimientos!$D$5:$D$2001,MATCH(A884&amp;"ENTRADA",Movimientos!$R$5:$R$2001,0)),"-")</f>
        <v>-</v>
      </c>
      <c r="D884" s="3" t="str">
        <f>IFERROR(INDEX(Movimientos!$E$5:$E$2001,MATCH(A884&amp;"ENTRADA",Movimientos!$R$5:$R$2001,0)),"-")</f>
        <v>-</v>
      </c>
      <c r="E884" s="3" t="str">
        <f>IFERROR(INDEX(Movimientos!$F$5:$F$2001,MATCH(A884&amp;"ENTRADA",Movimientos!$R$5:$R$2001,0)),"-")</f>
        <v>-</v>
      </c>
      <c r="F884" s="3" t="str">
        <f>IFERROR(INDEX(Movimientos!$G$5:$G$2001,MATCH(A884&amp;"ENTRADA",Movimientos!$R$5:$R$2001,0)),"-")</f>
        <v>-</v>
      </c>
      <c r="G884" s="3" t="str">
        <f>IFERROR(INDEX(Movimientos!$L$5:$L$2001,MATCH(A884&amp;"ENTRADA",Movimientos!$R$5:$R$2001,0)),"-")</f>
        <v>-</v>
      </c>
      <c r="H884" s="19" t="str">
        <f>IFERROR(IF(INDEX(Movimientos!$M$5:$M$2001,MATCH(A884&amp;"ENTRADA",Movimientos!$R$5:$R$2001,0))=0,"S/D",INDEX(Movimientos!$M$5:$M$2001,MATCH(A884&amp;"ENTRADA",Movimientos!$R$5:$R$2001,0))),"S/D")</f>
        <v>S/D</v>
      </c>
      <c r="I884" s="16" t="str">
        <f t="shared" ca="1" si="28"/>
        <v>S/D</v>
      </c>
      <c r="J884" s="6">
        <f>IF(A884="","",SUMIFS(Movimientos!$K:$K,Movimientos!$H:$H,A884))</f>
        <v>0</v>
      </c>
      <c r="K884" s="14" t="str">
        <f t="shared" ca="1" si="29"/>
        <v>OK</v>
      </c>
    </row>
    <row r="885" spans="1:11">
      <c r="A885" s="18" t="s">
        <v>2958</v>
      </c>
      <c r="B885" s="3" t="str">
        <f>IFERROR(INDEX(Movimientos!$C$5:$C$2001,MATCH(A885&amp;"ENTRADA",Movimientos!$R$5:$R$2001,0)),"-")</f>
        <v>-</v>
      </c>
      <c r="C885" s="3" t="str">
        <f>IFERROR(INDEX(Movimientos!$D$5:$D$2001,MATCH(A885&amp;"ENTRADA",Movimientos!$R$5:$R$2001,0)),"-")</f>
        <v>-</v>
      </c>
      <c r="D885" s="3" t="str">
        <f>IFERROR(INDEX(Movimientos!$E$5:$E$2001,MATCH(A885&amp;"ENTRADA",Movimientos!$R$5:$R$2001,0)),"-")</f>
        <v>-</v>
      </c>
      <c r="E885" s="3" t="str">
        <f>IFERROR(INDEX(Movimientos!$F$5:$F$2001,MATCH(A885&amp;"ENTRADA",Movimientos!$R$5:$R$2001,0)),"-")</f>
        <v>-</v>
      </c>
      <c r="F885" s="3" t="str">
        <f>IFERROR(INDEX(Movimientos!$G$5:$G$2001,MATCH(A885&amp;"ENTRADA",Movimientos!$R$5:$R$2001,0)),"-")</f>
        <v>-</v>
      </c>
      <c r="G885" s="3" t="str">
        <f>IFERROR(INDEX(Movimientos!$L$5:$L$2001,MATCH(A885&amp;"ENTRADA",Movimientos!$R$5:$R$2001,0)),"-")</f>
        <v>-</v>
      </c>
      <c r="H885" s="19" t="str">
        <f>IFERROR(IF(INDEX(Movimientos!$M$5:$M$2001,MATCH(A885&amp;"ENTRADA",Movimientos!$R$5:$R$2001,0))=0,"S/D",INDEX(Movimientos!$M$5:$M$2001,MATCH(A885&amp;"ENTRADA",Movimientos!$R$5:$R$2001,0))),"S/D")</f>
        <v>S/D</v>
      </c>
      <c r="I885" s="16" t="str">
        <f t="shared" ca="1" si="28"/>
        <v>S/D</v>
      </c>
      <c r="J885" s="6">
        <f>IF(A885="","",SUMIFS(Movimientos!$K:$K,Movimientos!$H:$H,A885))</f>
        <v>0</v>
      </c>
      <c r="K885" s="14" t="str">
        <f t="shared" ca="1" si="29"/>
        <v>OK</v>
      </c>
    </row>
    <row r="886" spans="1:11">
      <c r="A886" s="18" t="s">
        <v>2959</v>
      </c>
      <c r="B886" s="3" t="str">
        <f>IFERROR(INDEX(Movimientos!$C$5:$C$2001,MATCH(A886&amp;"ENTRADA",Movimientos!$R$5:$R$2001,0)),"-")</f>
        <v>-</v>
      </c>
      <c r="C886" s="3" t="str">
        <f>IFERROR(INDEX(Movimientos!$D$5:$D$2001,MATCH(A886&amp;"ENTRADA",Movimientos!$R$5:$R$2001,0)),"-")</f>
        <v>-</v>
      </c>
      <c r="D886" s="3" t="str">
        <f>IFERROR(INDEX(Movimientos!$E$5:$E$2001,MATCH(A886&amp;"ENTRADA",Movimientos!$R$5:$R$2001,0)),"-")</f>
        <v>-</v>
      </c>
      <c r="E886" s="3" t="str">
        <f>IFERROR(INDEX(Movimientos!$F$5:$F$2001,MATCH(A886&amp;"ENTRADA",Movimientos!$R$5:$R$2001,0)),"-")</f>
        <v>-</v>
      </c>
      <c r="F886" s="3" t="str">
        <f>IFERROR(INDEX(Movimientos!$G$5:$G$2001,MATCH(A886&amp;"ENTRADA",Movimientos!$R$5:$R$2001,0)),"-")</f>
        <v>-</v>
      </c>
      <c r="G886" s="3" t="str">
        <f>IFERROR(INDEX(Movimientos!$L$5:$L$2001,MATCH(A886&amp;"ENTRADA",Movimientos!$R$5:$R$2001,0)),"-")</f>
        <v>-</v>
      </c>
      <c r="H886" s="19" t="str">
        <f>IFERROR(IF(INDEX(Movimientos!$M$5:$M$2001,MATCH(A886&amp;"ENTRADA",Movimientos!$R$5:$R$2001,0))=0,"S/D",INDEX(Movimientos!$M$5:$M$2001,MATCH(A886&amp;"ENTRADA",Movimientos!$R$5:$R$2001,0))),"S/D")</f>
        <v>S/D</v>
      </c>
      <c r="I886" s="16" t="str">
        <f t="shared" ca="1" si="28"/>
        <v>S/D</v>
      </c>
      <c r="J886" s="6">
        <f>IF(A886="","",SUMIFS(Movimientos!$K:$K,Movimientos!$H:$H,A886))</f>
        <v>0</v>
      </c>
      <c r="K886" s="14" t="str">
        <f t="shared" ca="1" si="29"/>
        <v>OK</v>
      </c>
    </row>
    <row r="887" spans="1:11">
      <c r="A887" s="18" t="s">
        <v>2960</v>
      </c>
      <c r="B887" s="3" t="str">
        <f>IFERROR(INDEX(Movimientos!$C$5:$C$2001,MATCH(A887&amp;"ENTRADA",Movimientos!$R$5:$R$2001,0)),"-")</f>
        <v>-</v>
      </c>
      <c r="C887" s="3" t="str">
        <f>IFERROR(INDEX(Movimientos!$D$5:$D$2001,MATCH(A887&amp;"ENTRADA",Movimientos!$R$5:$R$2001,0)),"-")</f>
        <v>-</v>
      </c>
      <c r="D887" s="3" t="str">
        <f>IFERROR(INDEX(Movimientos!$E$5:$E$2001,MATCH(A887&amp;"ENTRADA",Movimientos!$R$5:$R$2001,0)),"-")</f>
        <v>-</v>
      </c>
      <c r="E887" s="3" t="str">
        <f>IFERROR(INDEX(Movimientos!$F$5:$F$2001,MATCH(A887&amp;"ENTRADA",Movimientos!$R$5:$R$2001,0)),"-")</f>
        <v>-</v>
      </c>
      <c r="F887" s="3" t="str">
        <f>IFERROR(INDEX(Movimientos!$G$5:$G$2001,MATCH(A887&amp;"ENTRADA",Movimientos!$R$5:$R$2001,0)),"-")</f>
        <v>-</v>
      </c>
      <c r="G887" s="3" t="str">
        <f>IFERROR(INDEX(Movimientos!$L$5:$L$2001,MATCH(A887&amp;"ENTRADA",Movimientos!$R$5:$R$2001,0)),"-")</f>
        <v>-</v>
      </c>
      <c r="H887" s="19" t="str">
        <f>IFERROR(IF(INDEX(Movimientos!$M$5:$M$2001,MATCH(A887&amp;"ENTRADA",Movimientos!$R$5:$R$2001,0))=0,"S/D",INDEX(Movimientos!$M$5:$M$2001,MATCH(A887&amp;"ENTRADA",Movimientos!$R$5:$R$2001,0))),"S/D")</f>
        <v>S/D</v>
      </c>
      <c r="I887" s="16" t="str">
        <f t="shared" ca="1" si="28"/>
        <v>S/D</v>
      </c>
      <c r="J887" s="6">
        <f>IF(A887="","",SUMIFS(Movimientos!$K:$K,Movimientos!$H:$H,A887))</f>
        <v>0</v>
      </c>
      <c r="K887" s="14" t="str">
        <f t="shared" ca="1" si="29"/>
        <v>OK</v>
      </c>
    </row>
    <row r="888" spans="1:11">
      <c r="A888" s="18" t="s">
        <v>2961</v>
      </c>
      <c r="B888" s="3" t="str">
        <f>IFERROR(INDEX(Movimientos!$C$5:$C$2001,MATCH(A888&amp;"ENTRADA",Movimientos!$R$5:$R$2001,0)),"-")</f>
        <v>-</v>
      </c>
      <c r="C888" s="3" t="str">
        <f>IFERROR(INDEX(Movimientos!$D$5:$D$2001,MATCH(A888&amp;"ENTRADA",Movimientos!$R$5:$R$2001,0)),"-")</f>
        <v>-</v>
      </c>
      <c r="D888" s="3" t="str">
        <f>IFERROR(INDEX(Movimientos!$E$5:$E$2001,MATCH(A888&amp;"ENTRADA",Movimientos!$R$5:$R$2001,0)),"-")</f>
        <v>-</v>
      </c>
      <c r="E888" s="3" t="str">
        <f>IFERROR(INDEX(Movimientos!$F$5:$F$2001,MATCH(A888&amp;"ENTRADA",Movimientos!$R$5:$R$2001,0)),"-")</f>
        <v>-</v>
      </c>
      <c r="F888" s="3" t="str">
        <f>IFERROR(INDEX(Movimientos!$G$5:$G$2001,MATCH(A888&amp;"ENTRADA",Movimientos!$R$5:$R$2001,0)),"-")</f>
        <v>-</v>
      </c>
      <c r="G888" s="3" t="str">
        <f>IFERROR(INDEX(Movimientos!$L$5:$L$2001,MATCH(A888&amp;"ENTRADA",Movimientos!$R$5:$R$2001,0)),"-")</f>
        <v>-</v>
      </c>
      <c r="H888" s="19" t="str">
        <f>IFERROR(IF(INDEX(Movimientos!$M$5:$M$2001,MATCH(A888&amp;"ENTRADA",Movimientos!$R$5:$R$2001,0))=0,"S/D",INDEX(Movimientos!$M$5:$M$2001,MATCH(A888&amp;"ENTRADA",Movimientos!$R$5:$R$2001,0))),"S/D")</f>
        <v>S/D</v>
      </c>
      <c r="I888" s="16" t="str">
        <f t="shared" ca="1" si="28"/>
        <v>S/D</v>
      </c>
      <c r="J888" s="6">
        <f>IF(A888="","",SUMIFS(Movimientos!$K:$K,Movimientos!$H:$H,A888))</f>
        <v>0</v>
      </c>
      <c r="K888" s="14" t="str">
        <f t="shared" ca="1" si="29"/>
        <v>OK</v>
      </c>
    </row>
    <row r="889" spans="1:11">
      <c r="A889" s="18" t="s">
        <v>2962</v>
      </c>
      <c r="B889" s="3" t="str">
        <f>IFERROR(INDEX(Movimientos!$C$5:$C$2001,MATCH(A889&amp;"ENTRADA",Movimientos!$R$5:$R$2001,0)),"-")</f>
        <v>-</v>
      </c>
      <c r="C889" s="3" t="str">
        <f>IFERROR(INDEX(Movimientos!$D$5:$D$2001,MATCH(A889&amp;"ENTRADA",Movimientos!$R$5:$R$2001,0)),"-")</f>
        <v>-</v>
      </c>
      <c r="D889" s="3" t="str">
        <f>IFERROR(INDEX(Movimientos!$E$5:$E$2001,MATCH(A889&amp;"ENTRADA",Movimientos!$R$5:$R$2001,0)),"-")</f>
        <v>-</v>
      </c>
      <c r="E889" s="3" t="str">
        <f>IFERROR(INDEX(Movimientos!$F$5:$F$2001,MATCH(A889&amp;"ENTRADA",Movimientos!$R$5:$R$2001,0)),"-")</f>
        <v>-</v>
      </c>
      <c r="F889" s="3" t="str">
        <f>IFERROR(INDEX(Movimientos!$G$5:$G$2001,MATCH(A889&amp;"ENTRADA",Movimientos!$R$5:$R$2001,0)),"-")</f>
        <v>-</v>
      </c>
      <c r="G889" s="3" t="str">
        <f>IFERROR(INDEX(Movimientos!$L$5:$L$2001,MATCH(A889&amp;"ENTRADA",Movimientos!$R$5:$R$2001,0)),"-")</f>
        <v>-</v>
      </c>
      <c r="H889" s="19" t="str">
        <f>IFERROR(IF(INDEX(Movimientos!$M$5:$M$2001,MATCH(A889&amp;"ENTRADA",Movimientos!$R$5:$R$2001,0))=0,"S/D",INDEX(Movimientos!$M$5:$M$2001,MATCH(A889&amp;"ENTRADA",Movimientos!$R$5:$R$2001,0))),"S/D")</f>
        <v>S/D</v>
      </c>
      <c r="I889" s="16" t="str">
        <f t="shared" ca="1" si="28"/>
        <v>S/D</v>
      </c>
      <c r="J889" s="6">
        <f>IF(A889="","",SUMIFS(Movimientos!$K:$K,Movimientos!$H:$H,A889))</f>
        <v>0</v>
      </c>
      <c r="K889" s="14" t="str">
        <f t="shared" ca="1" si="29"/>
        <v>OK</v>
      </c>
    </row>
    <row r="890" spans="1:11">
      <c r="A890" s="18" t="s">
        <v>2963</v>
      </c>
      <c r="B890" s="3" t="str">
        <f>IFERROR(INDEX(Movimientos!$C$5:$C$2001,MATCH(A890&amp;"ENTRADA",Movimientos!$R$5:$R$2001,0)),"-")</f>
        <v>-</v>
      </c>
      <c r="C890" s="3" t="str">
        <f>IFERROR(INDEX(Movimientos!$D$5:$D$2001,MATCH(A890&amp;"ENTRADA",Movimientos!$R$5:$R$2001,0)),"-")</f>
        <v>-</v>
      </c>
      <c r="D890" s="3" t="str">
        <f>IFERROR(INDEX(Movimientos!$E$5:$E$2001,MATCH(A890&amp;"ENTRADA",Movimientos!$R$5:$R$2001,0)),"-")</f>
        <v>-</v>
      </c>
      <c r="E890" s="3" t="str">
        <f>IFERROR(INDEX(Movimientos!$F$5:$F$2001,MATCH(A890&amp;"ENTRADA",Movimientos!$R$5:$R$2001,0)),"-")</f>
        <v>-</v>
      </c>
      <c r="F890" s="3" t="str">
        <f>IFERROR(INDEX(Movimientos!$G$5:$G$2001,MATCH(A890&amp;"ENTRADA",Movimientos!$R$5:$R$2001,0)),"-")</f>
        <v>-</v>
      </c>
      <c r="G890" s="3" t="str">
        <f>IFERROR(INDEX(Movimientos!$L$5:$L$2001,MATCH(A890&amp;"ENTRADA",Movimientos!$R$5:$R$2001,0)),"-")</f>
        <v>-</v>
      </c>
      <c r="H890" s="19" t="str">
        <f>IFERROR(IF(INDEX(Movimientos!$M$5:$M$2001,MATCH(A890&amp;"ENTRADA",Movimientos!$R$5:$R$2001,0))=0,"S/D",INDEX(Movimientos!$M$5:$M$2001,MATCH(A890&amp;"ENTRADA",Movimientos!$R$5:$R$2001,0))),"S/D")</f>
        <v>S/D</v>
      </c>
      <c r="I890" s="16" t="str">
        <f t="shared" ca="1" si="28"/>
        <v>S/D</v>
      </c>
      <c r="J890" s="6">
        <f>IF(A890="","",SUMIFS(Movimientos!$K:$K,Movimientos!$H:$H,A890))</f>
        <v>0</v>
      </c>
      <c r="K890" s="14" t="str">
        <f t="shared" ca="1" si="29"/>
        <v>OK</v>
      </c>
    </row>
    <row r="891" spans="1:11">
      <c r="A891" s="18" t="s">
        <v>2964</v>
      </c>
      <c r="B891" s="3" t="str">
        <f>IFERROR(INDEX(Movimientos!$C$5:$C$2001,MATCH(A891&amp;"ENTRADA",Movimientos!$R$5:$R$2001,0)),"-")</f>
        <v>-</v>
      </c>
      <c r="C891" s="3" t="str">
        <f>IFERROR(INDEX(Movimientos!$D$5:$D$2001,MATCH(A891&amp;"ENTRADA",Movimientos!$R$5:$R$2001,0)),"-")</f>
        <v>-</v>
      </c>
      <c r="D891" s="3" t="str">
        <f>IFERROR(INDEX(Movimientos!$E$5:$E$2001,MATCH(A891&amp;"ENTRADA",Movimientos!$R$5:$R$2001,0)),"-")</f>
        <v>-</v>
      </c>
      <c r="E891" s="3" t="str">
        <f>IFERROR(INDEX(Movimientos!$F$5:$F$2001,MATCH(A891&amp;"ENTRADA",Movimientos!$R$5:$R$2001,0)),"-")</f>
        <v>-</v>
      </c>
      <c r="F891" s="3" t="str">
        <f>IFERROR(INDEX(Movimientos!$G$5:$G$2001,MATCH(A891&amp;"ENTRADA",Movimientos!$R$5:$R$2001,0)),"-")</f>
        <v>-</v>
      </c>
      <c r="G891" s="3" t="str">
        <f>IFERROR(INDEX(Movimientos!$L$5:$L$2001,MATCH(A891&amp;"ENTRADA",Movimientos!$R$5:$R$2001,0)),"-")</f>
        <v>-</v>
      </c>
      <c r="H891" s="19" t="str">
        <f>IFERROR(IF(INDEX(Movimientos!$M$5:$M$2001,MATCH(A891&amp;"ENTRADA",Movimientos!$R$5:$R$2001,0))=0,"S/D",INDEX(Movimientos!$M$5:$M$2001,MATCH(A891&amp;"ENTRADA",Movimientos!$R$5:$R$2001,0))),"S/D")</f>
        <v>S/D</v>
      </c>
      <c r="I891" s="16" t="str">
        <f t="shared" ca="1" si="28"/>
        <v>S/D</v>
      </c>
      <c r="J891" s="6">
        <f>IF(A891="","",SUMIFS(Movimientos!$K:$K,Movimientos!$H:$H,A891))</f>
        <v>0</v>
      </c>
      <c r="K891" s="14" t="str">
        <f t="shared" ca="1" si="29"/>
        <v>OK</v>
      </c>
    </row>
    <row r="892" spans="1:11">
      <c r="A892" s="18" t="s">
        <v>2965</v>
      </c>
      <c r="B892" s="3" t="str">
        <f>IFERROR(INDEX(Movimientos!$C$5:$C$2001,MATCH(A892&amp;"ENTRADA",Movimientos!$R$5:$R$2001,0)),"-")</f>
        <v>-</v>
      </c>
      <c r="C892" s="3" t="str">
        <f>IFERROR(INDEX(Movimientos!$D$5:$D$2001,MATCH(A892&amp;"ENTRADA",Movimientos!$R$5:$R$2001,0)),"-")</f>
        <v>-</v>
      </c>
      <c r="D892" s="3" t="str">
        <f>IFERROR(INDEX(Movimientos!$E$5:$E$2001,MATCH(A892&amp;"ENTRADA",Movimientos!$R$5:$R$2001,0)),"-")</f>
        <v>-</v>
      </c>
      <c r="E892" s="3" t="str">
        <f>IFERROR(INDEX(Movimientos!$F$5:$F$2001,MATCH(A892&amp;"ENTRADA",Movimientos!$R$5:$R$2001,0)),"-")</f>
        <v>-</v>
      </c>
      <c r="F892" s="3" t="str">
        <f>IFERROR(INDEX(Movimientos!$G$5:$G$2001,MATCH(A892&amp;"ENTRADA",Movimientos!$R$5:$R$2001,0)),"-")</f>
        <v>-</v>
      </c>
      <c r="G892" s="3" t="str">
        <f>IFERROR(INDEX(Movimientos!$L$5:$L$2001,MATCH(A892&amp;"ENTRADA",Movimientos!$R$5:$R$2001,0)),"-")</f>
        <v>-</v>
      </c>
      <c r="H892" s="19" t="str">
        <f>IFERROR(IF(INDEX(Movimientos!$M$5:$M$2001,MATCH(A892&amp;"ENTRADA",Movimientos!$R$5:$R$2001,0))=0,"S/D",INDEX(Movimientos!$M$5:$M$2001,MATCH(A892&amp;"ENTRADA",Movimientos!$R$5:$R$2001,0))),"S/D")</f>
        <v>S/D</v>
      </c>
      <c r="I892" s="16" t="str">
        <f t="shared" ca="1" si="28"/>
        <v>S/D</v>
      </c>
      <c r="J892" s="6">
        <f>IF(A892="","",SUMIFS(Movimientos!$K:$K,Movimientos!$H:$H,A892))</f>
        <v>0</v>
      </c>
      <c r="K892" s="14" t="str">
        <f t="shared" ca="1" si="29"/>
        <v>OK</v>
      </c>
    </row>
    <row r="893" spans="1:11">
      <c r="A893" s="18" t="s">
        <v>2966</v>
      </c>
      <c r="B893" s="3" t="str">
        <f>IFERROR(INDEX(Movimientos!$C$5:$C$2001,MATCH(A893&amp;"ENTRADA",Movimientos!$R$5:$R$2001,0)),"-")</f>
        <v>-</v>
      </c>
      <c r="C893" s="3" t="str">
        <f>IFERROR(INDEX(Movimientos!$D$5:$D$2001,MATCH(A893&amp;"ENTRADA",Movimientos!$R$5:$R$2001,0)),"-")</f>
        <v>-</v>
      </c>
      <c r="D893" s="3" t="str">
        <f>IFERROR(INDEX(Movimientos!$E$5:$E$2001,MATCH(A893&amp;"ENTRADA",Movimientos!$R$5:$R$2001,0)),"-")</f>
        <v>-</v>
      </c>
      <c r="E893" s="3" t="str">
        <f>IFERROR(INDEX(Movimientos!$F$5:$F$2001,MATCH(A893&amp;"ENTRADA",Movimientos!$R$5:$R$2001,0)),"-")</f>
        <v>-</v>
      </c>
      <c r="F893" s="3" t="str">
        <f>IFERROR(INDEX(Movimientos!$G$5:$G$2001,MATCH(A893&amp;"ENTRADA",Movimientos!$R$5:$R$2001,0)),"-")</f>
        <v>-</v>
      </c>
      <c r="G893" s="3" t="str">
        <f>IFERROR(INDEX(Movimientos!$L$5:$L$2001,MATCH(A893&amp;"ENTRADA",Movimientos!$R$5:$R$2001,0)),"-")</f>
        <v>-</v>
      </c>
      <c r="H893" s="19" t="str">
        <f>IFERROR(IF(INDEX(Movimientos!$M$5:$M$2001,MATCH(A893&amp;"ENTRADA",Movimientos!$R$5:$R$2001,0))=0,"S/D",INDEX(Movimientos!$M$5:$M$2001,MATCH(A893&amp;"ENTRADA",Movimientos!$R$5:$R$2001,0))),"S/D")</f>
        <v>S/D</v>
      </c>
      <c r="I893" s="16" t="str">
        <f t="shared" ca="1" si="28"/>
        <v>S/D</v>
      </c>
      <c r="J893" s="6">
        <f>IF(A893="","",SUMIFS(Movimientos!$K:$K,Movimientos!$H:$H,A893))</f>
        <v>0</v>
      </c>
      <c r="K893" s="14" t="str">
        <f t="shared" ca="1" si="29"/>
        <v>OK</v>
      </c>
    </row>
    <row r="894" spans="1:11">
      <c r="A894" s="18" t="s">
        <v>2967</v>
      </c>
      <c r="B894" s="3" t="str">
        <f>IFERROR(INDEX(Movimientos!$C$5:$C$2001,MATCH(A894&amp;"ENTRADA",Movimientos!$R$5:$R$2001,0)),"-")</f>
        <v>-</v>
      </c>
      <c r="C894" s="3" t="str">
        <f>IFERROR(INDEX(Movimientos!$D$5:$D$2001,MATCH(A894&amp;"ENTRADA",Movimientos!$R$5:$R$2001,0)),"-")</f>
        <v>-</v>
      </c>
      <c r="D894" s="3" t="str">
        <f>IFERROR(INDEX(Movimientos!$E$5:$E$2001,MATCH(A894&amp;"ENTRADA",Movimientos!$R$5:$R$2001,0)),"-")</f>
        <v>-</v>
      </c>
      <c r="E894" s="3" t="str">
        <f>IFERROR(INDEX(Movimientos!$F$5:$F$2001,MATCH(A894&amp;"ENTRADA",Movimientos!$R$5:$R$2001,0)),"-")</f>
        <v>-</v>
      </c>
      <c r="F894" s="3" t="str">
        <f>IFERROR(INDEX(Movimientos!$G$5:$G$2001,MATCH(A894&amp;"ENTRADA",Movimientos!$R$5:$R$2001,0)),"-")</f>
        <v>-</v>
      </c>
      <c r="G894" s="3" t="str">
        <f>IFERROR(INDEX(Movimientos!$L$5:$L$2001,MATCH(A894&amp;"ENTRADA",Movimientos!$R$5:$R$2001,0)),"-")</f>
        <v>-</v>
      </c>
      <c r="H894" s="19" t="str">
        <f>IFERROR(IF(INDEX(Movimientos!$M$5:$M$2001,MATCH(A894&amp;"ENTRADA",Movimientos!$R$5:$R$2001,0))=0,"S/D",INDEX(Movimientos!$M$5:$M$2001,MATCH(A894&amp;"ENTRADA",Movimientos!$R$5:$R$2001,0))),"S/D")</f>
        <v>S/D</v>
      </c>
      <c r="I894" s="16" t="str">
        <f t="shared" ca="1" si="28"/>
        <v>S/D</v>
      </c>
      <c r="J894" s="6">
        <f>IF(A894="","",SUMIFS(Movimientos!$K:$K,Movimientos!$H:$H,A894))</f>
        <v>0</v>
      </c>
      <c r="K894" s="14" t="str">
        <f t="shared" ca="1" si="29"/>
        <v>OK</v>
      </c>
    </row>
    <row r="895" spans="1:11">
      <c r="A895" s="18" t="s">
        <v>2968</v>
      </c>
      <c r="B895" s="3" t="str">
        <f>IFERROR(INDEX(Movimientos!$C$5:$C$2001,MATCH(A895&amp;"ENTRADA",Movimientos!$R$5:$R$2001,0)),"-")</f>
        <v>-</v>
      </c>
      <c r="C895" s="3" t="str">
        <f>IFERROR(INDEX(Movimientos!$D$5:$D$2001,MATCH(A895&amp;"ENTRADA",Movimientos!$R$5:$R$2001,0)),"-")</f>
        <v>-</v>
      </c>
      <c r="D895" s="3" t="str">
        <f>IFERROR(INDEX(Movimientos!$E$5:$E$2001,MATCH(A895&amp;"ENTRADA",Movimientos!$R$5:$R$2001,0)),"-")</f>
        <v>-</v>
      </c>
      <c r="E895" s="3" t="str">
        <f>IFERROR(INDEX(Movimientos!$F$5:$F$2001,MATCH(A895&amp;"ENTRADA",Movimientos!$R$5:$R$2001,0)),"-")</f>
        <v>-</v>
      </c>
      <c r="F895" s="3" t="str">
        <f>IFERROR(INDEX(Movimientos!$G$5:$G$2001,MATCH(A895&amp;"ENTRADA",Movimientos!$R$5:$R$2001,0)),"-")</f>
        <v>-</v>
      </c>
      <c r="G895" s="3" t="str">
        <f>IFERROR(INDEX(Movimientos!$L$5:$L$2001,MATCH(A895&amp;"ENTRADA",Movimientos!$R$5:$R$2001,0)),"-")</f>
        <v>-</v>
      </c>
      <c r="H895" s="19" t="str">
        <f>IFERROR(IF(INDEX(Movimientos!$M$5:$M$2001,MATCH(A895&amp;"ENTRADA",Movimientos!$R$5:$R$2001,0))=0,"S/D",INDEX(Movimientos!$M$5:$M$2001,MATCH(A895&amp;"ENTRADA",Movimientos!$R$5:$R$2001,0))),"S/D")</f>
        <v>S/D</v>
      </c>
      <c r="I895" s="16" t="str">
        <f t="shared" ca="1" si="28"/>
        <v>S/D</v>
      </c>
      <c r="J895" s="6">
        <f>IF(A895="","",SUMIFS(Movimientos!$K:$K,Movimientos!$H:$H,A895))</f>
        <v>0</v>
      </c>
      <c r="K895" s="14" t="str">
        <f t="shared" ca="1" si="29"/>
        <v>OK</v>
      </c>
    </row>
    <row r="896" spans="1:11">
      <c r="A896" s="18" t="s">
        <v>2969</v>
      </c>
      <c r="B896" s="3" t="str">
        <f>IFERROR(INDEX(Movimientos!$C$5:$C$2001,MATCH(A896&amp;"ENTRADA",Movimientos!$R$5:$R$2001,0)),"-")</f>
        <v>-</v>
      </c>
      <c r="C896" s="3" t="str">
        <f>IFERROR(INDEX(Movimientos!$D$5:$D$2001,MATCH(A896&amp;"ENTRADA",Movimientos!$R$5:$R$2001,0)),"-")</f>
        <v>-</v>
      </c>
      <c r="D896" s="3" t="str">
        <f>IFERROR(INDEX(Movimientos!$E$5:$E$2001,MATCH(A896&amp;"ENTRADA",Movimientos!$R$5:$R$2001,0)),"-")</f>
        <v>-</v>
      </c>
      <c r="E896" s="3" t="str">
        <f>IFERROR(INDEX(Movimientos!$F$5:$F$2001,MATCH(A896&amp;"ENTRADA",Movimientos!$R$5:$R$2001,0)),"-")</f>
        <v>-</v>
      </c>
      <c r="F896" s="3" t="str">
        <f>IFERROR(INDEX(Movimientos!$G$5:$G$2001,MATCH(A896&amp;"ENTRADA",Movimientos!$R$5:$R$2001,0)),"-")</f>
        <v>-</v>
      </c>
      <c r="G896" s="3" t="str">
        <f>IFERROR(INDEX(Movimientos!$L$5:$L$2001,MATCH(A896&amp;"ENTRADA",Movimientos!$R$5:$R$2001,0)),"-")</f>
        <v>-</v>
      </c>
      <c r="H896" s="19" t="str">
        <f>IFERROR(IF(INDEX(Movimientos!$M$5:$M$2001,MATCH(A896&amp;"ENTRADA",Movimientos!$R$5:$R$2001,0))=0,"S/D",INDEX(Movimientos!$M$5:$M$2001,MATCH(A896&amp;"ENTRADA",Movimientos!$R$5:$R$2001,0))),"S/D")</f>
        <v>S/D</v>
      </c>
      <c r="I896" s="16" t="str">
        <f t="shared" ca="1" si="28"/>
        <v>S/D</v>
      </c>
      <c r="J896" s="6">
        <f>IF(A896="","",SUMIFS(Movimientos!$K:$K,Movimientos!$H:$H,A896))</f>
        <v>0</v>
      </c>
      <c r="K896" s="14" t="str">
        <f t="shared" ca="1" si="29"/>
        <v>OK</v>
      </c>
    </row>
    <row r="897" spans="1:11">
      <c r="A897" s="18" t="s">
        <v>2970</v>
      </c>
      <c r="B897" s="3" t="str">
        <f>IFERROR(INDEX(Movimientos!$C$5:$C$2001,MATCH(A897&amp;"ENTRADA",Movimientos!$R$5:$R$2001,0)),"-")</f>
        <v>-</v>
      </c>
      <c r="C897" s="3" t="str">
        <f>IFERROR(INDEX(Movimientos!$D$5:$D$2001,MATCH(A897&amp;"ENTRADA",Movimientos!$R$5:$R$2001,0)),"-")</f>
        <v>-</v>
      </c>
      <c r="D897" s="3" t="str">
        <f>IFERROR(INDEX(Movimientos!$E$5:$E$2001,MATCH(A897&amp;"ENTRADA",Movimientos!$R$5:$R$2001,0)),"-")</f>
        <v>-</v>
      </c>
      <c r="E897" s="3" t="str">
        <f>IFERROR(INDEX(Movimientos!$F$5:$F$2001,MATCH(A897&amp;"ENTRADA",Movimientos!$R$5:$R$2001,0)),"-")</f>
        <v>-</v>
      </c>
      <c r="F897" s="3" t="str">
        <f>IFERROR(INDEX(Movimientos!$G$5:$G$2001,MATCH(A897&amp;"ENTRADA",Movimientos!$R$5:$R$2001,0)),"-")</f>
        <v>-</v>
      </c>
      <c r="G897" s="3" t="str">
        <f>IFERROR(INDEX(Movimientos!$L$5:$L$2001,MATCH(A897&amp;"ENTRADA",Movimientos!$R$5:$R$2001,0)),"-")</f>
        <v>-</v>
      </c>
      <c r="H897" s="19" t="str">
        <f>IFERROR(IF(INDEX(Movimientos!$M$5:$M$2001,MATCH(A897&amp;"ENTRADA",Movimientos!$R$5:$R$2001,0))=0,"S/D",INDEX(Movimientos!$M$5:$M$2001,MATCH(A897&amp;"ENTRADA",Movimientos!$R$5:$R$2001,0))),"S/D")</f>
        <v>S/D</v>
      </c>
      <c r="I897" s="16" t="str">
        <f t="shared" ca="1" si="28"/>
        <v>S/D</v>
      </c>
      <c r="J897" s="6">
        <f>IF(A897="","",SUMIFS(Movimientos!$K:$K,Movimientos!$H:$H,A897))</f>
        <v>0</v>
      </c>
      <c r="K897" s="14" t="str">
        <f t="shared" ca="1" si="29"/>
        <v>OK</v>
      </c>
    </row>
    <row r="898" spans="1:11">
      <c r="A898" s="18" t="s">
        <v>2971</v>
      </c>
      <c r="B898" s="3" t="str">
        <f>IFERROR(INDEX(Movimientos!$C$5:$C$2001,MATCH(A898&amp;"ENTRADA",Movimientos!$R$5:$R$2001,0)),"-")</f>
        <v>-</v>
      </c>
      <c r="C898" s="3" t="str">
        <f>IFERROR(INDEX(Movimientos!$D$5:$D$2001,MATCH(A898&amp;"ENTRADA",Movimientos!$R$5:$R$2001,0)),"-")</f>
        <v>-</v>
      </c>
      <c r="D898" s="3" t="str">
        <f>IFERROR(INDEX(Movimientos!$E$5:$E$2001,MATCH(A898&amp;"ENTRADA",Movimientos!$R$5:$R$2001,0)),"-")</f>
        <v>-</v>
      </c>
      <c r="E898" s="3" t="str">
        <f>IFERROR(INDEX(Movimientos!$F$5:$F$2001,MATCH(A898&amp;"ENTRADA",Movimientos!$R$5:$R$2001,0)),"-")</f>
        <v>-</v>
      </c>
      <c r="F898" s="3" t="str">
        <f>IFERROR(INDEX(Movimientos!$G$5:$G$2001,MATCH(A898&amp;"ENTRADA",Movimientos!$R$5:$R$2001,0)),"-")</f>
        <v>-</v>
      </c>
      <c r="G898" s="3" t="str">
        <f>IFERROR(INDEX(Movimientos!$L$5:$L$2001,MATCH(A898&amp;"ENTRADA",Movimientos!$R$5:$R$2001,0)),"-")</f>
        <v>-</v>
      </c>
      <c r="H898" s="19" t="str">
        <f>IFERROR(IF(INDEX(Movimientos!$M$5:$M$2001,MATCH(A898&amp;"ENTRADA",Movimientos!$R$5:$R$2001,0))=0,"S/D",INDEX(Movimientos!$M$5:$M$2001,MATCH(A898&amp;"ENTRADA",Movimientos!$R$5:$R$2001,0))),"S/D")</f>
        <v>S/D</v>
      </c>
      <c r="I898" s="16" t="str">
        <f t="shared" ca="1" si="28"/>
        <v>S/D</v>
      </c>
      <c r="J898" s="6">
        <f>IF(A898="","",SUMIFS(Movimientos!$K:$K,Movimientos!$H:$H,A898))</f>
        <v>0</v>
      </c>
      <c r="K898" s="14" t="str">
        <f t="shared" ca="1" si="29"/>
        <v>OK</v>
      </c>
    </row>
    <row r="899" spans="1:11">
      <c r="A899" s="18" t="s">
        <v>2972</v>
      </c>
      <c r="B899" s="3" t="str">
        <f>IFERROR(INDEX(Movimientos!$C$5:$C$2001,MATCH(A899&amp;"ENTRADA",Movimientos!$R$5:$R$2001,0)),"-")</f>
        <v>-</v>
      </c>
      <c r="C899" s="3" t="str">
        <f>IFERROR(INDEX(Movimientos!$D$5:$D$2001,MATCH(A899&amp;"ENTRADA",Movimientos!$R$5:$R$2001,0)),"-")</f>
        <v>-</v>
      </c>
      <c r="D899" s="3" t="str">
        <f>IFERROR(INDEX(Movimientos!$E$5:$E$2001,MATCH(A899&amp;"ENTRADA",Movimientos!$R$5:$R$2001,0)),"-")</f>
        <v>-</v>
      </c>
      <c r="E899" s="3" t="str">
        <f>IFERROR(INDEX(Movimientos!$F$5:$F$2001,MATCH(A899&amp;"ENTRADA",Movimientos!$R$5:$R$2001,0)),"-")</f>
        <v>-</v>
      </c>
      <c r="F899" s="3" t="str">
        <f>IFERROR(INDEX(Movimientos!$G$5:$G$2001,MATCH(A899&amp;"ENTRADA",Movimientos!$R$5:$R$2001,0)),"-")</f>
        <v>-</v>
      </c>
      <c r="G899" s="3" t="str">
        <f>IFERROR(INDEX(Movimientos!$L$5:$L$2001,MATCH(A899&amp;"ENTRADA",Movimientos!$R$5:$R$2001,0)),"-")</f>
        <v>-</v>
      </c>
      <c r="H899" s="19" t="str">
        <f>IFERROR(IF(INDEX(Movimientos!$M$5:$M$2001,MATCH(A899&amp;"ENTRADA",Movimientos!$R$5:$R$2001,0))=0,"S/D",INDEX(Movimientos!$M$5:$M$2001,MATCH(A899&amp;"ENTRADA",Movimientos!$R$5:$R$2001,0))),"S/D")</f>
        <v>S/D</v>
      </c>
      <c r="I899" s="16" t="str">
        <f t="shared" ca="1" si="28"/>
        <v>S/D</v>
      </c>
      <c r="J899" s="6">
        <f>IF(A899="","",SUMIFS(Movimientos!$K:$K,Movimientos!$H:$H,A899))</f>
        <v>0</v>
      </c>
      <c r="K899" s="14" t="str">
        <f t="shared" ca="1" si="29"/>
        <v>OK</v>
      </c>
    </row>
    <row r="900" spans="1:11">
      <c r="A900" s="18" t="s">
        <v>2973</v>
      </c>
      <c r="B900" s="3" t="str">
        <f>IFERROR(INDEX(Movimientos!$C$5:$C$2001,MATCH(A900&amp;"ENTRADA",Movimientos!$R$5:$R$2001,0)),"-")</f>
        <v>-</v>
      </c>
      <c r="C900" s="3" t="str">
        <f>IFERROR(INDEX(Movimientos!$D$5:$D$2001,MATCH(A900&amp;"ENTRADA",Movimientos!$R$5:$R$2001,0)),"-")</f>
        <v>-</v>
      </c>
      <c r="D900" s="3" t="str">
        <f>IFERROR(INDEX(Movimientos!$E$5:$E$2001,MATCH(A900&amp;"ENTRADA",Movimientos!$R$5:$R$2001,0)),"-")</f>
        <v>-</v>
      </c>
      <c r="E900" s="3" t="str">
        <f>IFERROR(INDEX(Movimientos!$F$5:$F$2001,MATCH(A900&amp;"ENTRADA",Movimientos!$R$5:$R$2001,0)),"-")</f>
        <v>-</v>
      </c>
      <c r="F900" s="3" t="str">
        <f>IFERROR(INDEX(Movimientos!$G$5:$G$2001,MATCH(A900&amp;"ENTRADA",Movimientos!$R$5:$R$2001,0)),"-")</f>
        <v>-</v>
      </c>
      <c r="G900" s="3" t="str">
        <f>IFERROR(INDEX(Movimientos!$L$5:$L$2001,MATCH(A900&amp;"ENTRADA",Movimientos!$R$5:$R$2001,0)),"-")</f>
        <v>-</v>
      </c>
      <c r="H900" s="19" t="str">
        <f>IFERROR(IF(INDEX(Movimientos!$M$5:$M$2001,MATCH(A900&amp;"ENTRADA",Movimientos!$R$5:$R$2001,0))=0,"S/D",INDEX(Movimientos!$M$5:$M$2001,MATCH(A900&amp;"ENTRADA",Movimientos!$R$5:$R$2001,0))),"S/D")</f>
        <v>S/D</v>
      </c>
      <c r="I900" s="16" t="str">
        <f t="shared" ca="1" si="28"/>
        <v>S/D</v>
      </c>
      <c r="J900" s="6">
        <f>IF(A900="","",SUMIFS(Movimientos!$K:$K,Movimientos!$H:$H,A900))</f>
        <v>0</v>
      </c>
      <c r="K900" s="14" t="str">
        <f t="shared" ca="1" si="29"/>
        <v>OK</v>
      </c>
    </row>
    <row r="901" spans="1:11">
      <c r="A901" s="18" t="s">
        <v>2974</v>
      </c>
      <c r="B901" s="3" t="str">
        <f>IFERROR(INDEX(Movimientos!$C$5:$C$2001,MATCH(A901&amp;"ENTRADA",Movimientos!$R$5:$R$2001,0)),"-")</f>
        <v>-</v>
      </c>
      <c r="C901" s="3" t="str">
        <f>IFERROR(INDEX(Movimientos!$D$5:$D$2001,MATCH(A901&amp;"ENTRADA",Movimientos!$R$5:$R$2001,0)),"-")</f>
        <v>-</v>
      </c>
      <c r="D901" s="3" t="str">
        <f>IFERROR(INDEX(Movimientos!$E$5:$E$2001,MATCH(A901&amp;"ENTRADA",Movimientos!$R$5:$R$2001,0)),"-")</f>
        <v>-</v>
      </c>
      <c r="E901" s="3" t="str">
        <f>IFERROR(INDEX(Movimientos!$F$5:$F$2001,MATCH(A901&amp;"ENTRADA",Movimientos!$R$5:$R$2001,0)),"-")</f>
        <v>-</v>
      </c>
      <c r="F901" s="3" t="str">
        <f>IFERROR(INDEX(Movimientos!$G$5:$G$2001,MATCH(A901&amp;"ENTRADA",Movimientos!$R$5:$R$2001,0)),"-")</f>
        <v>-</v>
      </c>
      <c r="G901" s="3" t="str">
        <f>IFERROR(INDEX(Movimientos!$L$5:$L$2001,MATCH(A901&amp;"ENTRADA",Movimientos!$R$5:$R$2001,0)),"-")</f>
        <v>-</v>
      </c>
      <c r="H901" s="19" t="str">
        <f>IFERROR(IF(INDEX(Movimientos!$M$5:$M$2001,MATCH(A901&amp;"ENTRADA",Movimientos!$R$5:$R$2001,0))=0,"S/D",INDEX(Movimientos!$M$5:$M$2001,MATCH(A901&amp;"ENTRADA",Movimientos!$R$5:$R$2001,0))),"S/D")</f>
        <v>S/D</v>
      </c>
      <c r="I901" s="16" t="str">
        <f t="shared" ca="1" si="28"/>
        <v>S/D</v>
      </c>
      <c r="J901" s="6">
        <f>IF(A901="","",SUMIFS(Movimientos!$K:$K,Movimientos!$H:$H,A901))</f>
        <v>0</v>
      </c>
      <c r="K901" s="14" t="str">
        <f t="shared" ca="1" si="29"/>
        <v>OK</v>
      </c>
    </row>
    <row r="902" spans="1:11">
      <c r="A902" s="18" t="s">
        <v>2975</v>
      </c>
      <c r="B902" s="3" t="str">
        <f>IFERROR(INDEX(Movimientos!$C$5:$C$2001,MATCH(A902&amp;"ENTRADA",Movimientos!$R$5:$R$2001,0)),"-")</f>
        <v>-</v>
      </c>
      <c r="C902" s="3" t="str">
        <f>IFERROR(INDEX(Movimientos!$D$5:$D$2001,MATCH(A902&amp;"ENTRADA",Movimientos!$R$5:$R$2001,0)),"-")</f>
        <v>-</v>
      </c>
      <c r="D902" s="3" t="str">
        <f>IFERROR(INDEX(Movimientos!$E$5:$E$2001,MATCH(A902&amp;"ENTRADA",Movimientos!$R$5:$R$2001,0)),"-")</f>
        <v>-</v>
      </c>
      <c r="E902" s="3" t="str">
        <f>IFERROR(INDEX(Movimientos!$F$5:$F$2001,MATCH(A902&amp;"ENTRADA",Movimientos!$R$5:$R$2001,0)),"-")</f>
        <v>-</v>
      </c>
      <c r="F902" s="3" t="str">
        <f>IFERROR(INDEX(Movimientos!$G$5:$G$2001,MATCH(A902&amp;"ENTRADA",Movimientos!$R$5:$R$2001,0)),"-")</f>
        <v>-</v>
      </c>
      <c r="G902" s="3" t="str">
        <f>IFERROR(INDEX(Movimientos!$L$5:$L$2001,MATCH(A902&amp;"ENTRADA",Movimientos!$R$5:$R$2001,0)),"-")</f>
        <v>-</v>
      </c>
      <c r="H902" s="19" t="str">
        <f>IFERROR(IF(INDEX(Movimientos!$M$5:$M$2001,MATCH(A902&amp;"ENTRADA",Movimientos!$R$5:$R$2001,0))=0,"S/D",INDEX(Movimientos!$M$5:$M$2001,MATCH(A902&amp;"ENTRADA",Movimientos!$R$5:$R$2001,0))),"S/D")</f>
        <v>S/D</v>
      </c>
      <c r="I902" s="16" t="str">
        <f t="shared" ca="1" si="28"/>
        <v>S/D</v>
      </c>
      <c r="J902" s="6">
        <f>IF(A902="","",SUMIFS(Movimientos!$K:$K,Movimientos!$H:$H,A902))</f>
        <v>0</v>
      </c>
      <c r="K902" s="14" t="str">
        <f t="shared" ca="1" si="29"/>
        <v>OK</v>
      </c>
    </row>
    <row r="903" spans="1:11">
      <c r="A903" s="18" t="s">
        <v>2976</v>
      </c>
      <c r="B903" s="3" t="str">
        <f>IFERROR(INDEX(Movimientos!$C$5:$C$2001,MATCH(A903&amp;"ENTRADA",Movimientos!$R$5:$R$2001,0)),"-")</f>
        <v>-</v>
      </c>
      <c r="C903" s="3" t="str">
        <f>IFERROR(INDEX(Movimientos!$D$5:$D$2001,MATCH(A903&amp;"ENTRADA",Movimientos!$R$5:$R$2001,0)),"-")</f>
        <v>-</v>
      </c>
      <c r="D903" s="3" t="str">
        <f>IFERROR(INDEX(Movimientos!$E$5:$E$2001,MATCH(A903&amp;"ENTRADA",Movimientos!$R$5:$R$2001,0)),"-")</f>
        <v>-</v>
      </c>
      <c r="E903" s="3" t="str">
        <f>IFERROR(INDEX(Movimientos!$F$5:$F$2001,MATCH(A903&amp;"ENTRADA",Movimientos!$R$5:$R$2001,0)),"-")</f>
        <v>-</v>
      </c>
      <c r="F903" s="3" t="str">
        <f>IFERROR(INDEX(Movimientos!$G$5:$G$2001,MATCH(A903&amp;"ENTRADA",Movimientos!$R$5:$R$2001,0)),"-")</f>
        <v>-</v>
      </c>
      <c r="G903" s="3" t="str">
        <f>IFERROR(INDEX(Movimientos!$L$5:$L$2001,MATCH(A903&amp;"ENTRADA",Movimientos!$R$5:$R$2001,0)),"-")</f>
        <v>-</v>
      </c>
      <c r="H903" s="19" t="str">
        <f>IFERROR(IF(INDEX(Movimientos!$M$5:$M$2001,MATCH(A903&amp;"ENTRADA",Movimientos!$R$5:$R$2001,0))=0,"S/D",INDEX(Movimientos!$M$5:$M$2001,MATCH(A903&amp;"ENTRADA",Movimientos!$R$5:$R$2001,0))),"S/D")</f>
        <v>S/D</v>
      </c>
      <c r="I903" s="16" t="str">
        <f t="shared" ca="1" si="28"/>
        <v>S/D</v>
      </c>
      <c r="J903" s="6">
        <f>IF(A903="","",SUMIFS(Movimientos!$K:$K,Movimientos!$H:$H,A903))</f>
        <v>0</v>
      </c>
      <c r="K903" s="14" t="str">
        <f t="shared" ca="1" si="29"/>
        <v>OK</v>
      </c>
    </row>
    <row r="904" spans="1:11">
      <c r="A904" s="18" t="s">
        <v>2977</v>
      </c>
      <c r="B904" s="3" t="str">
        <f>IFERROR(INDEX(Movimientos!$C$5:$C$2001,MATCH(A904&amp;"ENTRADA",Movimientos!$R$5:$R$2001,0)),"-")</f>
        <v>-</v>
      </c>
      <c r="C904" s="3" t="str">
        <f>IFERROR(INDEX(Movimientos!$D$5:$D$2001,MATCH(A904&amp;"ENTRADA",Movimientos!$R$5:$R$2001,0)),"-")</f>
        <v>-</v>
      </c>
      <c r="D904" s="3" t="str">
        <f>IFERROR(INDEX(Movimientos!$E$5:$E$2001,MATCH(A904&amp;"ENTRADA",Movimientos!$R$5:$R$2001,0)),"-")</f>
        <v>-</v>
      </c>
      <c r="E904" s="3" t="str">
        <f>IFERROR(INDEX(Movimientos!$F$5:$F$2001,MATCH(A904&amp;"ENTRADA",Movimientos!$R$5:$R$2001,0)),"-")</f>
        <v>-</v>
      </c>
      <c r="F904" s="3" t="str">
        <f>IFERROR(INDEX(Movimientos!$G$5:$G$2001,MATCH(A904&amp;"ENTRADA",Movimientos!$R$5:$R$2001,0)),"-")</f>
        <v>-</v>
      </c>
      <c r="G904" s="3" t="str">
        <f>IFERROR(INDEX(Movimientos!$L$5:$L$2001,MATCH(A904&amp;"ENTRADA",Movimientos!$R$5:$R$2001,0)),"-")</f>
        <v>-</v>
      </c>
      <c r="H904" s="19" t="str">
        <f>IFERROR(IF(INDEX(Movimientos!$M$5:$M$2001,MATCH(A904&amp;"ENTRADA",Movimientos!$R$5:$R$2001,0))=0,"S/D",INDEX(Movimientos!$M$5:$M$2001,MATCH(A904&amp;"ENTRADA",Movimientos!$R$5:$R$2001,0))),"S/D")</f>
        <v>S/D</v>
      </c>
      <c r="I904" s="16" t="str">
        <f t="shared" ca="1" si="28"/>
        <v>S/D</v>
      </c>
      <c r="J904" s="6">
        <f>IF(A904="","",SUMIFS(Movimientos!$K:$K,Movimientos!$H:$H,A904))</f>
        <v>0</v>
      </c>
      <c r="K904" s="14" t="str">
        <f t="shared" ca="1" si="29"/>
        <v>OK</v>
      </c>
    </row>
    <row r="905" spans="1:11">
      <c r="A905" s="18" t="s">
        <v>2978</v>
      </c>
      <c r="B905" s="3" t="str">
        <f>IFERROR(INDEX(Movimientos!$C$5:$C$2001,MATCH(A905&amp;"ENTRADA",Movimientos!$R$5:$R$2001,0)),"-")</f>
        <v>-</v>
      </c>
      <c r="C905" s="3" t="str">
        <f>IFERROR(INDEX(Movimientos!$D$5:$D$2001,MATCH(A905&amp;"ENTRADA",Movimientos!$R$5:$R$2001,0)),"-")</f>
        <v>-</v>
      </c>
      <c r="D905" s="3" t="str">
        <f>IFERROR(INDEX(Movimientos!$E$5:$E$2001,MATCH(A905&amp;"ENTRADA",Movimientos!$R$5:$R$2001,0)),"-")</f>
        <v>-</v>
      </c>
      <c r="E905" s="3" t="str">
        <f>IFERROR(INDEX(Movimientos!$F$5:$F$2001,MATCH(A905&amp;"ENTRADA",Movimientos!$R$5:$R$2001,0)),"-")</f>
        <v>-</v>
      </c>
      <c r="F905" s="3" t="str">
        <f>IFERROR(INDEX(Movimientos!$G$5:$G$2001,MATCH(A905&amp;"ENTRADA",Movimientos!$R$5:$R$2001,0)),"-")</f>
        <v>-</v>
      </c>
      <c r="G905" s="3" t="str">
        <f>IFERROR(INDEX(Movimientos!$L$5:$L$2001,MATCH(A905&amp;"ENTRADA",Movimientos!$R$5:$R$2001,0)),"-")</f>
        <v>-</v>
      </c>
      <c r="H905" s="19" t="str">
        <f>IFERROR(IF(INDEX(Movimientos!$M$5:$M$2001,MATCH(A905&amp;"ENTRADA",Movimientos!$R$5:$R$2001,0))=0,"S/D",INDEX(Movimientos!$M$5:$M$2001,MATCH(A905&amp;"ENTRADA",Movimientos!$R$5:$R$2001,0))),"S/D")</f>
        <v>S/D</v>
      </c>
      <c r="I905" s="16" t="str">
        <f t="shared" ca="1" si="28"/>
        <v>S/D</v>
      </c>
      <c r="J905" s="6">
        <f>IF(A905="","",SUMIFS(Movimientos!$K:$K,Movimientos!$H:$H,A905))</f>
        <v>0</v>
      </c>
      <c r="K905" s="14" t="str">
        <f t="shared" ca="1" si="29"/>
        <v>OK</v>
      </c>
    </row>
    <row r="906" spans="1:11">
      <c r="A906" s="18" t="s">
        <v>2979</v>
      </c>
      <c r="B906" s="3" t="str">
        <f>IFERROR(INDEX(Movimientos!$C$5:$C$2001,MATCH(A906&amp;"ENTRADA",Movimientos!$R$5:$R$2001,0)),"-")</f>
        <v>-</v>
      </c>
      <c r="C906" s="3" t="str">
        <f>IFERROR(INDEX(Movimientos!$D$5:$D$2001,MATCH(A906&amp;"ENTRADA",Movimientos!$R$5:$R$2001,0)),"-")</f>
        <v>-</v>
      </c>
      <c r="D906" s="3" t="str">
        <f>IFERROR(INDEX(Movimientos!$E$5:$E$2001,MATCH(A906&amp;"ENTRADA",Movimientos!$R$5:$R$2001,0)),"-")</f>
        <v>-</v>
      </c>
      <c r="E906" s="3" t="str">
        <f>IFERROR(INDEX(Movimientos!$F$5:$F$2001,MATCH(A906&amp;"ENTRADA",Movimientos!$R$5:$R$2001,0)),"-")</f>
        <v>-</v>
      </c>
      <c r="F906" s="3" t="str">
        <f>IFERROR(INDEX(Movimientos!$G$5:$G$2001,MATCH(A906&amp;"ENTRADA",Movimientos!$R$5:$R$2001,0)),"-")</f>
        <v>-</v>
      </c>
      <c r="G906" s="3" t="str">
        <f>IFERROR(INDEX(Movimientos!$L$5:$L$2001,MATCH(A906&amp;"ENTRADA",Movimientos!$R$5:$R$2001,0)),"-")</f>
        <v>-</v>
      </c>
      <c r="H906" s="19" t="str">
        <f>IFERROR(IF(INDEX(Movimientos!$M$5:$M$2001,MATCH(A906&amp;"ENTRADA",Movimientos!$R$5:$R$2001,0))=0,"S/D",INDEX(Movimientos!$M$5:$M$2001,MATCH(A906&amp;"ENTRADA",Movimientos!$R$5:$R$2001,0))),"S/D")</f>
        <v>S/D</v>
      </c>
      <c r="I906" s="16" t="str">
        <f t="shared" ca="1" si="28"/>
        <v>S/D</v>
      </c>
      <c r="J906" s="6">
        <f>IF(A906="","",SUMIFS(Movimientos!$K:$K,Movimientos!$H:$H,A906))</f>
        <v>0</v>
      </c>
      <c r="K906" s="14" t="str">
        <f t="shared" ca="1" si="29"/>
        <v>OK</v>
      </c>
    </row>
    <row r="907" spans="1:11">
      <c r="A907" s="18" t="s">
        <v>2980</v>
      </c>
      <c r="B907" s="3" t="str">
        <f>IFERROR(INDEX(Movimientos!$C$5:$C$2001,MATCH(A907&amp;"ENTRADA",Movimientos!$R$5:$R$2001,0)),"-")</f>
        <v>-</v>
      </c>
      <c r="C907" s="3" t="str">
        <f>IFERROR(INDEX(Movimientos!$D$5:$D$2001,MATCH(A907&amp;"ENTRADA",Movimientos!$R$5:$R$2001,0)),"-")</f>
        <v>-</v>
      </c>
      <c r="D907" s="3" t="str">
        <f>IFERROR(INDEX(Movimientos!$E$5:$E$2001,MATCH(A907&amp;"ENTRADA",Movimientos!$R$5:$R$2001,0)),"-")</f>
        <v>-</v>
      </c>
      <c r="E907" s="3" t="str">
        <f>IFERROR(INDEX(Movimientos!$F$5:$F$2001,MATCH(A907&amp;"ENTRADA",Movimientos!$R$5:$R$2001,0)),"-")</f>
        <v>-</v>
      </c>
      <c r="F907" s="3" t="str">
        <f>IFERROR(INDEX(Movimientos!$G$5:$G$2001,MATCH(A907&amp;"ENTRADA",Movimientos!$R$5:$R$2001,0)),"-")</f>
        <v>-</v>
      </c>
      <c r="G907" s="3" t="str">
        <f>IFERROR(INDEX(Movimientos!$L$5:$L$2001,MATCH(A907&amp;"ENTRADA",Movimientos!$R$5:$R$2001,0)),"-")</f>
        <v>-</v>
      </c>
      <c r="H907" s="19" t="str">
        <f>IFERROR(IF(INDEX(Movimientos!$M$5:$M$2001,MATCH(A907&amp;"ENTRADA",Movimientos!$R$5:$R$2001,0))=0,"S/D",INDEX(Movimientos!$M$5:$M$2001,MATCH(A907&amp;"ENTRADA",Movimientos!$R$5:$R$2001,0))),"S/D")</f>
        <v>S/D</v>
      </c>
      <c r="I907" s="16" t="str">
        <f t="shared" ref="I907:I970" ca="1" si="30">IF(OR(A907="",H907="S/D"),"S/D",H907-TODAY())</f>
        <v>S/D</v>
      </c>
      <c r="J907" s="6">
        <f>IF(A907="","",SUMIFS(Movimientos!$K:$K,Movimientos!$H:$H,A907))</f>
        <v>0</v>
      </c>
      <c r="K907" s="14" t="str">
        <f t="shared" ref="K907:K970" ca="1" si="31">IF(A907="","",IF(H907="S/D","OK",IF(H907&lt;TODAY(),"VENCIDO",IF(J907&lt;=0,"SIN STOCK",IF(I907&gt;=180,"OK","PRÓXIMO A VENCER")))))</f>
        <v>OK</v>
      </c>
    </row>
    <row r="908" spans="1:11">
      <c r="A908" s="18" t="s">
        <v>2981</v>
      </c>
      <c r="B908" s="3" t="str">
        <f>IFERROR(INDEX(Movimientos!$C$5:$C$2001,MATCH(A908&amp;"ENTRADA",Movimientos!$R$5:$R$2001,0)),"-")</f>
        <v>-</v>
      </c>
      <c r="C908" s="3" t="str">
        <f>IFERROR(INDEX(Movimientos!$D$5:$D$2001,MATCH(A908&amp;"ENTRADA",Movimientos!$R$5:$R$2001,0)),"-")</f>
        <v>-</v>
      </c>
      <c r="D908" s="3" t="str">
        <f>IFERROR(INDEX(Movimientos!$E$5:$E$2001,MATCH(A908&amp;"ENTRADA",Movimientos!$R$5:$R$2001,0)),"-")</f>
        <v>-</v>
      </c>
      <c r="E908" s="3" t="str">
        <f>IFERROR(INDEX(Movimientos!$F$5:$F$2001,MATCH(A908&amp;"ENTRADA",Movimientos!$R$5:$R$2001,0)),"-")</f>
        <v>-</v>
      </c>
      <c r="F908" s="3" t="str">
        <f>IFERROR(INDEX(Movimientos!$G$5:$G$2001,MATCH(A908&amp;"ENTRADA",Movimientos!$R$5:$R$2001,0)),"-")</f>
        <v>-</v>
      </c>
      <c r="G908" s="3" t="str">
        <f>IFERROR(INDEX(Movimientos!$L$5:$L$2001,MATCH(A908&amp;"ENTRADA",Movimientos!$R$5:$R$2001,0)),"-")</f>
        <v>-</v>
      </c>
      <c r="H908" s="19" t="str">
        <f>IFERROR(IF(INDEX(Movimientos!$M$5:$M$2001,MATCH(A908&amp;"ENTRADA",Movimientos!$R$5:$R$2001,0))=0,"S/D",INDEX(Movimientos!$M$5:$M$2001,MATCH(A908&amp;"ENTRADA",Movimientos!$R$5:$R$2001,0))),"S/D")</f>
        <v>S/D</v>
      </c>
      <c r="I908" s="16" t="str">
        <f t="shared" ca="1" si="30"/>
        <v>S/D</v>
      </c>
      <c r="J908" s="6">
        <f>IF(A908="","",SUMIFS(Movimientos!$K:$K,Movimientos!$H:$H,A908))</f>
        <v>0</v>
      </c>
      <c r="K908" s="14" t="str">
        <f t="shared" ca="1" si="31"/>
        <v>OK</v>
      </c>
    </row>
    <row r="909" spans="1:11">
      <c r="A909" s="18" t="s">
        <v>2982</v>
      </c>
      <c r="B909" s="3" t="str">
        <f>IFERROR(INDEX(Movimientos!$C$5:$C$2001,MATCH(A909&amp;"ENTRADA",Movimientos!$R$5:$R$2001,0)),"-")</f>
        <v>-</v>
      </c>
      <c r="C909" s="3" t="str">
        <f>IFERROR(INDEX(Movimientos!$D$5:$D$2001,MATCH(A909&amp;"ENTRADA",Movimientos!$R$5:$R$2001,0)),"-")</f>
        <v>-</v>
      </c>
      <c r="D909" s="3" t="str">
        <f>IFERROR(INDEX(Movimientos!$E$5:$E$2001,MATCH(A909&amp;"ENTRADA",Movimientos!$R$5:$R$2001,0)),"-")</f>
        <v>-</v>
      </c>
      <c r="E909" s="3" t="str">
        <f>IFERROR(INDEX(Movimientos!$F$5:$F$2001,MATCH(A909&amp;"ENTRADA",Movimientos!$R$5:$R$2001,0)),"-")</f>
        <v>-</v>
      </c>
      <c r="F909" s="3" t="str">
        <f>IFERROR(INDEX(Movimientos!$G$5:$G$2001,MATCH(A909&amp;"ENTRADA",Movimientos!$R$5:$R$2001,0)),"-")</f>
        <v>-</v>
      </c>
      <c r="G909" s="3" t="str">
        <f>IFERROR(INDEX(Movimientos!$L$5:$L$2001,MATCH(A909&amp;"ENTRADA",Movimientos!$R$5:$R$2001,0)),"-")</f>
        <v>-</v>
      </c>
      <c r="H909" s="19" t="str">
        <f>IFERROR(IF(INDEX(Movimientos!$M$5:$M$2001,MATCH(A909&amp;"ENTRADA",Movimientos!$R$5:$R$2001,0))=0,"S/D",INDEX(Movimientos!$M$5:$M$2001,MATCH(A909&amp;"ENTRADA",Movimientos!$R$5:$R$2001,0))),"S/D")</f>
        <v>S/D</v>
      </c>
      <c r="I909" s="16" t="str">
        <f t="shared" ca="1" si="30"/>
        <v>S/D</v>
      </c>
      <c r="J909" s="6">
        <f>IF(A909="","",SUMIFS(Movimientos!$K:$K,Movimientos!$H:$H,A909))</f>
        <v>0</v>
      </c>
      <c r="K909" s="14" t="str">
        <f t="shared" ca="1" si="31"/>
        <v>OK</v>
      </c>
    </row>
    <row r="910" spans="1:11">
      <c r="A910" s="18" t="s">
        <v>2983</v>
      </c>
      <c r="B910" s="3" t="str">
        <f>IFERROR(INDEX(Movimientos!$C$5:$C$2001,MATCH(A910&amp;"ENTRADA",Movimientos!$R$5:$R$2001,0)),"-")</f>
        <v>-</v>
      </c>
      <c r="C910" s="3" t="str">
        <f>IFERROR(INDEX(Movimientos!$D$5:$D$2001,MATCH(A910&amp;"ENTRADA",Movimientos!$R$5:$R$2001,0)),"-")</f>
        <v>-</v>
      </c>
      <c r="D910" s="3" t="str">
        <f>IFERROR(INDEX(Movimientos!$E$5:$E$2001,MATCH(A910&amp;"ENTRADA",Movimientos!$R$5:$R$2001,0)),"-")</f>
        <v>-</v>
      </c>
      <c r="E910" s="3" t="str">
        <f>IFERROR(INDEX(Movimientos!$F$5:$F$2001,MATCH(A910&amp;"ENTRADA",Movimientos!$R$5:$R$2001,0)),"-")</f>
        <v>-</v>
      </c>
      <c r="F910" s="3" t="str">
        <f>IFERROR(INDEX(Movimientos!$G$5:$G$2001,MATCH(A910&amp;"ENTRADA",Movimientos!$R$5:$R$2001,0)),"-")</f>
        <v>-</v>
      </c>
      <c r="G910" s="3" t="str">
        <f>IFERROR(INDEX(Movimientos!$L$5:$L$2001,MATCH(A910&amp;"ENTRADA",Movimientos!$R$5:$R$2001,0)),"-")</f>
        <v>-</v>
      </c>
      <c r="H910" s="19" t="str">
        <f>IFERROR(IF(INDEX(Movimientos!$M$5:$M$2001,MATCH(A910&amp;"ENTRADA",Movimientos!$R$5:$R$2001,0))=0,"S/D",INDEX(Movimientos!$M$5:$M$2001,MATCH(A910&amp;"ENTRADA",Movimientos!$R$5:$R$2001,0))),"S/D")</f>
        <v>S/D</v>
      </c>
      <c r="I910" s="16" t="str">
        <f t="shared" ca="1" si="30"/>
        <v>S/D</v>
      </c>
      <c r="J910" s="6">
        <f>IF(A910="","",SUMIFS(Movimientos!$K:$K,Movimientos!$H:$H,A910))</f>
        <v>0</v>
      </c>
      <c r="K910" s="14" t="str">
        <f t="shared" ca="1" si="31"/>
        <v>OK</v>
      </c>
    </row>
    <row r="911" spans="1:11">
      <c r="A911" s="18" t="s">
        <v>2984</v>
      </c>
      <c r="B911" s="3" t="str">
        <f>IFERROR(INDEX(Movimientos!$C$5:$C$2001,MATCH(A911&amp;"ENTRADA",Movimientos!$R$5:$R$2001,0)),"-")</f>
        <v>-</v>
      </c>
      <c r="C911" s="3" t="str">
        <f>IFERROR(INDEX(Movimientos!$D$5:$D$2001,MATCH(A911&amp;"ENTRADA",Movimientos!$R$5:$R$2001,0)),"-")</f>
        <v>-</v>
      </c>
      <c r="D911" s="3" t="str">
        <f>IFERROR(INDEX(Movimientos!$E$5:$E$2001,MATCH(A911&amp;"ENTRADA",Movimientos!$R$5:$R$2001,0)),"-")</f>
        <v>-</v>
      </c>
      <c r="E911" s="3" t="str">
        <f>IFERROR(INDEX(Movimientos!$F$5:$F$2001,MATCH(A911&amp;"ENTRADA",Movimientos!$R$5:$R$2001,0)),"-")</f>
        <v>-</v>
      </c>
      <c r="F911" s="3" t="str">
        <f>IFERROR(INDEX(Movimientos!$G$5:$G$2001,MATCH(A911&amp;"ENTRADA",Movimientos!$R$5:$R$2001,0)),"-")</f>
        <v>-</v>
      </c>
      <c r="G911" s="3" t="str">
        <f>IFERROR(INDEX(Movimientos!$L$5:$L$2001,MATCH(A911&amp;"ENTRADA",Movimientos!$R$5:$R$2001,0)),"-")</f>
        <v>-</v>
      </c>
      <c r="H911" s="19" t="str">
        <f>IFERROR(IF(INDEX(Movimientos!$M$5:$M$2001,MATCH(A911&amp;"ENTRADA",Movimientos!$R$5:$R$2001,0))=0,"S/D",INDEX(Movimientos!$M$5:$M$2001,MATCH(A911&amp;"ENTRADA",Movimientos!$R$5:$R$2001,0))),"S/D")</f>
        <v>S/D</v>
      </c>
      <c r="I911" s="16" t="str">
        <f t="shared" ca="1" si="30"/>
        <v>S/D</v>
      </c>
      <c r="J911" s="6">
        <f>IF(A911="","",SUMIFS(Movimientos!$K:$K,Movimientos!$H:$H,A911))</f>
        <v>0</v>
      </c>
      <c r="K911" s="14" t="str">
        <f t="shared" ca="1" si="31"/>
        <v>OK</v>
      </c>
    </row>
    <row r="912" spans="1:11">
      <c r="A912" s="18" t="s">
        <v>2985</v>
      </c>
      <c r="B912" s="3" t="str">
        <f>IFERROR(INDEX(Movimientos!$C$5:$C$2001,MATCH(A912&amp;"ENTRADA",Movimientos!$R$5:$R$2001,0)),"-")</f>
        <v>-</v>
      </c>
      <c r="C912" s="3" t="str">
        <f>IFERROR(INDEX(Movimientos!$D$5:$D$2001,MATCH(A912&amp;"ENTRADA",Movimientos!$R$5:$R$2001,0)),"-")</f>
        <v>-</v>
      </c>
      <c r="D912" s="3" t="str">
        <f>IFERROR(INDEX(Movimientos!$E$5:$E$2001,MATCH(A912&amp;"ENTRADA",Movimientos!$R$5:$R$2001,0)),"-")</f>
        <v>-</v>
      </c>
      <c r="E912" s="3" t="str">
        <f>IFERROR(INDEX(Movimientos!$F$5:$F$2001,MATCH(A912&amp;"ENTRADA",Movimientos!$R$5:$R$2001,0)),"-")</f>
        <v>-</v>
      </c>
      <c r="F912" s="3" t="str">
        <f>IFERROR(INDEX(Movimientos!$G$5:$G$2001,MATCH(A912&amp;"ENTRADA",Movimientos!$R$5:$R$2001,0)),"-")</f>
        <v>-</v>
      </c>
      <c r="G912" s="3" t="str">
        <f>IFERROR(INDEX(Movimientos!$L$5:$L$2001,MATCH(A912&amp;"ENTRADA",Movimientos!$R$5:$R$2001,0)),"-")</f>
        <v>-</v>
      </c>
      <c r="H912" s="19" t="str">
        <f>IFERROR(IF(INDEX(Movimientos!$M$5:$M$2001,MATCH(A912&amp;"ENTRADA",Movimientos!$R$5:$R$2001,0))=0,"S/D",INDEX(Movimientos!$M$5:$M$2001,MATCH(A912&amp;"ENTRADA",Movimientos!$R$5:$R$2001,0))),"S/D")</f>
        <v>S/D</v>
      </c>
      <c r="I912" s="16" t="str">
        <f t="shared" ca="1" si="30"/>
        <v>S/D</v>
      </c>
      <c r="J912" s="6">
        <f>IF(A912="","",SUMIFS(Movimientos!$K:$K,Movimientos!$H:$H,A912))</f>
        <v>0</v>
      </c>
      <c r="K912" s="14" t="str">
        <f t="shared" ca="1" si="31"/>
        <v>OK</v>
      </c>
    </row>
    <row r="913" spans="1:11">
      <c r="A913" s="18" t="s">
        <v>2986</v>
      </c>
      <c r="B913" s="3" t="str">
        <f>IFERROR(INDEX(Movimientos!$C$5:$C$2001,MATCH(A913&amp;"ENTRADA",Movimientos!$R$5:$R$2001,0)),"-")</f>
        <v>-</v>
      </c>
      <c r="C913" s="3" t="str">
        <f>IFERROR(INDEX(Movimientos!$D$5:$D$2001,MATCH(A913&amp;"ENTRADA",Movimientos!$R$5:$R$2001,0)),"-")</f>
        <v>-</v>
      </c>
      <c r="D913" s="3" t="str">
        <f>IFERROR(INDEX(Movimientos!$E$5:$E$2001,MATCH(A913&amp;"ENTRADA",Movimientos!$R$5:$R$2001,0)),"-")</f>
        <v>-</v>
      </c>
      <c r="E913" s="3" t="str">
        <f>IFERROR(INDEX(Movimientos!$F$5:$F$2001,MATCH(A913&amp;"ENTRADA",Movimientos!$R$5:$R$2001,0)),"-")</f>
        <v>-</v>
      </c>
      <c r="F913" s="3" t="str">
        <f>IFERROR(INDEX(Movimientos!$G$5:$G$2001,MATCH(A913&amp;"ENTRADA",Movimientos!$R$5:$R$2001,0)),"-")</f>
        <v>-</v>
      </c>
      <c r="G913" s="3" t="str">
        <f>IFERROR(INDEX(Movimientos!$L$5:$L$2001,MATCH(A913&amp;"ENTRADA",Movimientos!$R$5:$R$2001,0)),"-")</f>
        <v>-</v>
      </c>
      <c r="H913" s="19" t="str">
        <f>IFERROR(IF(INDEX(Movimientos!$M$5:$M$2001,MATCH(A913&amp;"ENTRADA",Movimientos!$R$5:$R$2001,0))=0,"S/D",INDEX(Movimientos!$M$5:$M$2001,MATCH(A913&amp;"ENTRADA",Movimientos!$R$5:$R$2001,0))),"S/D")</f>
        <v>S/D</v>
      </c>
      <c r="I913" s="16" t="str">
        <f t="shared" ca="1" si="30"/>
        <v>S/D</v>
      </c>
      <c r="J913" s="6">
        <f>IF(A913="","",SUMIFS(Movimientos!$K:$K,Movimientos!$H:$H,A913))</f>
        <v>0</v>
      </c>
      <c r="K913" s="14" t="str">
        <f t="shared" ca="1" si="31"/>
        <v>OK</v>
      </c>
    </row>
    <row r="914" spans="1:11">
      <c r="A914" s="18" t="s">
        <v>2987</v>
      </c>
      <c r="B914" s="3" t="str">
        <f>IFERROR(INDEX(Movimientos!$C$5:$C$2001,MATCH(A914&amp;"ENTRADA",Movimientos!$R$5:$R$2001,0)),"-")</f>
        <v>-</v>
      </c>
      <c r="C914" s="3" t="str">
        <f>IFERROR(INDEX(Movimientos!$D$5:$D$2001,MATCH(A914&amp;"ENTRADA",Movimientos!$R$5:$R$2001,0)),"-")</f>
        <v>-</v>
      </c>
      <c r="D914" s="3" t="str">
        <f>IFERROR(INDEX(Movimientos!$E$5:$E$2001,MATCH(A914&amp;"ENTRADA",Movimientos!$R$5:$R$2001,0)),"-")</f>
        <v>-</v>
      </c>
      <c r="E914" s="3" t="str">
        <f>IFERROR(INDEX(Movimientos!$F$5:$F$2001,MATCH(A914&amp;"ENTRADA",Movimientos!$R$5:$R$2001,0)),"-")</f>
        <v>-</v>
      </c>
      <c r="F914" s="3" t="str">
        <f>IFERROR(INDEX(Movimientos!$G$5:$G$2001,MATCH(A914&amp;"ENTRADA",Movimientos!$R$5:$R$2001,0)),"-")</f>
        <v>-</v>
      </c>
      <c r="G914" s="3" t="str">
        <f>IFERROR(INDEX(Movimientos!$L$5:$L$2001,MATCH(A914&amp;"ENTRADA",Movimientos!$R$5:$R$2001,0)),"-")</f>
        <v>-</v>
      </c>
      <c r="H914" s="19" t="str">
        <f>IFERROR(IF(INDEX(Movimientos!$M$5:$M$2001,MATCH(A914&amp;"ENTRADA",Movimientos!$R$5:$R$2001,0))=0,"S/D",INDEX(Movimientos!$M$5:$M$2001,MATCH(A914&amp;"ENTRADA",Movimientos!$R$5:$R$2001,0))),"S/D")</f>
        <v>S/D</v>
      </c>
      <c r="I914" s="16" t="str">
        <f t="shared" ca="1" si="30"/>
        <v>S/D</v>
      </c>
      <c r="J914" s="6">
        <f>IF(A914="","",SUMIFS(Movimientos!$K:$K,Movimientos!$H:$H,A914))</f>
        <v>0</v>
      </c>
      <c r="K914" s="14" t="str">
        <f t="shared" ca="1" si="31"/>
        <v>OK</v>
      </c>
    </row>
    <row r="915" spans="1:11">
      <c r="A915" s="18" t="s">
        <v>2988</v>
      </c>
      <c r="B915" s="3" t="str">
        <f>IFERROR(INDEX(Movimientos!$C$5:$C$2001,MATCH(A915&amp;"ENTRADA",Movimientos!$R$5:$R$2001,0)),"-")</f>
        <v>-</v>
      </c>
      <c r="C915" s="3" t="str">
        <f>IFERROR(INDEX(Movimientos!$D$5:$D$2001,MATCH(A915&amp;"ENTRADA",Movimientos!$R$5:$R$2001,0)),"-")</f>
        <v>-</v>
      </c>
      <c r="D915" s="3" t="str">
        <f>IFERROR(INDEX(Movimientos!$E$5:$E$2001,MATCH(A915&amp;"ENTRADA",Movimientos!$R$5:$R$2001,0)),"-")</f>
        <v>-</v>
      </c>
      <c r="E915" s="3" t="str">
        <f>IFERROR(INDEX(Movimientos!$F$5:$F$2001,MATCH(A915&amp;"ENTRADA",Movimientos!$R$5:$R$2001,0)),"-")</f>
        <v>-</v>
      </c>
      <c r="F915" s="3" t="str">
        <f>IFERROR(INDEX(Movimientos!$G$5:$G$2001,MATCH(A915&amp;"ENTRADA",Movimientos!$R$5:$R$2001,0)),"-")</f>
        <v>-</v>
      </c>
      <c r="G915" s="3" t="str">
        <f>IFERROR(INDEX(Movimientos!$L$5:$L$2001,MATCH(A915&amp;"ENTRADA",Movimientos!$R$5:$R$2001,0)),"-")</f>
        <v>-</v>
      </c>
      <c r="H915" s="19" t="str">
        <f>IFERROR(IF(INDEX(Movimientos!$M$5:$M$2001,MATCH(A915&amp;"ENTRADA",Movimientos!$R$5:$R$2001,0))=0,"S/D",INDEX(Movimientos!$M$5:$M$2001,MATCH(A915&amp;"ENTRADA",Movimientos!$R$5:$R$2001,0))),"S/D")</f>
        <v>S/D</v>
      </c>
      <c r="I915" s="16" t="str">
        <f t="shared" ca="1" si="30"/>
        <v>S/D</v>
      </c>
      <c r="J915" s="6">
        <f>IF(A915="","",SUMIFS(Movimientos!$K:$K,Movimientos!$H:$H,A915))</f>
        <v>0</v>
      </c>
      <c r="K915" s="14" t="str">
        <f t="shared" ca="1" si="31"/>
        <v>OK</v>
      </c>
    </row>
    <row r="916" spans="1:11">
      <c r="A916" s="18" t="s">
        <v>2989</v>
      </c>
      <c r="B916" s="3" t="str">
        <f>IFERROR(INDEX(Movimientos!$C$5:$C$2001,MATCH(A916&amp;"ENTRADA",Movimientos!$R$5:$R$2001,0)),"-")</f>
        <v>-</v>
      </c>
      <c r="C916" s="3" t="str">
        <f>IFERROR(INDEX(Movimientos!$D$5:$D$2001,MATCH(A916&amp;"ENTRADA",Movimientos!$R$5:$R$2001,0)),"-")</f>
        <v>-</v>
      </c>
      <c r="D916" s="3" t="str">
        <f>IFERROR(INDEX(Movimientos!$E$5:$E$2001,MATCH(A916&amp;"ENTRADA",Movimientos!$R$5:$R$2001,0)),"-")</f>
        <v>-</v>
      </c>
      <c r="E916" s="3" t="str">
        <f>IFERROR(INDEX(Movimientos!$F$5:$F$2001,MATCH(A916&amp;"ENTRADA",Movimientos!$R$5:$R$2001,0)),"-")</f>
        <v>-</v>
      </c>
      <c r="F916" s="3" t="str">
        <f>IFERROR(INDEX(Movimientos!$G$5:$G$2001,MATCH(A916&amp;"ENTRADA",Movimientos!$R$5:$R$2001,0)),"-")</f>
        <v>-</v>
      </c>
      <c r="G916" s="3" t="str">
        <f>IFERROR(INDEX(Movimientos!$L$5:$L$2001,MATCH(A916&amp;"ENTRADA",Movimientos!$R$5:$R$2001,0)),"-")</f>
        <v>-</v>
      </c>
      <c r="H916" s="19" t="str">
        <f>IFERROR(IF(INDEX(Movimientos!$M$5:$M$2001,MATCH(A916&amp;"ENTRADA",Movimientos!$R$5:$R$2001,0))=0,"S/D",INDEX(Movimientos!$M$5:$M$2001,MATCH(A916&amp;"ENTRADA",Movimientos!$R$5:$R$2001,0))),"S/D")</f>
        <v>S/D</v>
      </c>
      <c r="I916" s="16" t="str">
        <f t="shared" ca="1" si="30"/>
        <v>S/D</v>
      </c>
      <c r="J916" s="6">
        <f>IF(A916="","",SUMIFS(Movimientos!$K:$K,Movimientos!$H:$H,A916))</f>
        <v>0</v>
      </c>
      <c r="K916" s="14" t="str">
        <f t="shared" ca="1" si="31"/>
        <v>OK</v>
      </c>
    </row>
    <row r="917" spans="1:11">
      <c r="A917" s="18" t="s">
        <v>2990</v>
      </c>
      <c r="B917" s="3" t="str">
        <f>IFERROR(INDEX(Movimientos!$C$5:$C$2001,MATCH(A917&amp;"ENTRADA",Movimientos!$R$5:$R$2001,0)),"-")</f>
        <v>-</v>
      </c>
      <c r="C917" s="3" t="str">
        <f>IFERROR(INDEX(Movimientos!$D$5:$D$2001,MATCH(A917&amp;"ENTRADA",Movimientos!$R$5:$R$2001,0)),"-")</f>
        <v>-</v>
      </c>
      <c r="D917" s="3" t="str">
        <f>IFERROR(INDEX(Movimientos!$E$5:$E$2001,MATCH(A917&amp;"ENTRADA",Movimientos!$R$5:$R$2001,0)),"-")</f>
        <v>-</v>
      </c>
      <c r="E917" s="3" t="str">
        <f>IFERROR(INDEX(Movimientos!$F$5:$F$2001,MATCH(A917&amp;"ENTRADA",Movimientos!$R$5:$R$2001,0)),"-")</f>
        <v>-</v>
      </c>
      <c r="F917" s="3" t="str">
        <f>IFERROR(INDEX(Movimientos!$G$5:$G$2001,MATCH(A917&amp;"ENTRADA",Movimientos!$R$5:$R$2001,0)),"-")</f>
        <v>-</v>
      </c>
      <c r="G917" s="3" t="str">
        <f>IFERROR(INDEX(Movimientos!$L$5:$L$2001,MATCH(A917&amp;"ENTRADA",Movimientos!$R$5:$R$2001,0)),"-")</f>
        <v>-</v>
      </c>
      <c r="H917" s="19" t="str">
        <f>IFERROR(IF(INDEX(Movimientos!$M$5:$M$2001,MATCH(A917&amp;"ENTRADA",Movimientos!$R$5:$R$2001,0))=0,"S/D",INDEX(Movimientos!$M$5:$M$2001,MATCH(A917&amp;"ENTRADA",Movimientos!$R$5:$R$2001,0))),"S/D")</f>
        <v>S/D</v>
      </c>
      <c r="I917" s="16" t="str">
        <f t="shared" ca="1" si="30"/>
        <v>S/D</v>
      </c>
      <c r="J917" s="6">
        <f>IF(A917="","",SUMIFS(Movimientos!$K:$K,Movimientos!$H:$H,A917))</f>
        <v>0</v>
      </c>
      <c r="K917" s="14" t="str">
        <f t="shared" ca="1" si="31"/>
        <v>OK</v>
      </c>
    </row>
    <row r="918" spans="1:11">
      <c r="A918" s="18" t="s">
        <v>2991</v>
      </c>
      <c r="B918" s="3" t="str">
        <f>IFERROR(INDEX(Movimientos!$C$5:$C$2001,MATCH(A918&amp;"ENTRADA",Movimientos!$R$5:$R$2001,0)),"-")</f>
        <v>-</v>
      </c>
      <c r="C918" s="3" t="str">
        <f>IFERROR(INDEX(Movimientos!$D$5:$D$2001,MATCH(A918&amp;"ENTRADA",Movimientos!$R$5:$R$2001,0)),"-")</f>
        <v>-</v>
      </c>
      <c r="D918" s="3" t="str">
        <f>IFERROR(INDEX(Movimientos!$E$5:$E$2001,MATCH(A918&amp;"ENTRADA",Movimientos!$R$5:$R$2001,0)),"-")</f>
        <v>-</v>
      </c>
      <c r="E918" s="3" t="str">
        <f>IFERROR(INDEX(Movimientos!$F$5:$F$2001,MATCH(A918&amp;"ENTRADA",Movimientos!$R$5:$R$2001,0)),"-")</f>
        <v>-</v>
      </c>
      <c r="F918" s="3" t="str">
        <f>IFERROR(INDEX(Movimientos!$G$5:$G$2001,MATCH(A918&amp;"ENTRADA",Movimientos!$R$5:$R$2001,0)),"-")</f>
        <v>-</v>
      </c>
      <c r="G918" s="3" t="str">
        <f>IFERROR(INDEX(Movimientos!$L$5:$L$2001,MATCH(A918&amp;"ENTRADA",Movimientos!$R$5:$R$2001,0)),"-")</f>
        <v>-</v>
      </c>
      <c r="H918" s="19" t="str">
        <f>IFERROR(IF(INDEX(Movimientos!$M$5:$M$2001,MATCH(A918&amp;"ENTRADA",Movimientos!$R$5:$R$2001,0))=0,"S/D",INDEX(Movimientos!$M$5:$M$2001,MATCH(A918&amp;"ENTRADA",Movimientos!$R$5:$R$2001,0))),"S/D")</f>
        <v>S/D</v>
      </c>
      <c r="I918" s="16" t="str">
        <f t="shared" ca="1" si="30"/>
        <v>S/D</v>
      </c>
      <c r="J918" s="6">
        <f>IF(A918="","",SUMIFS(Movimientos!$K:$K,Movimientos!$H:$H,A918))</f>
        <v>0</v>
      </c>
      <c r="K918" s="14" t="str">
        <f t="shared" ca="1" si="31"/>
        <v>OK</v>
      </c>
    </row>
    <row r="919" spans="1:11">
      <c r="A919" s="18" t="s">
        <v>2992</v>
      </c>
      <c r="B919" s="3" t="str">
        <f>IFERROR(INDEX(Movimientos!$C$5:$C$2001,MATCH(A919&amp;"ENTRADA",Movimientos!$R$5:$R$2001,0)),"-")</f>
        <v>-</v>
      </c>
      <c r="C919" s="3" t="str">
        <f>IFERROR(INDEX(Movimientos!$D$5:$D$2001,MATCH(A919&amp;"ENTRADA",Movimientos!$R$5:$R$2001,0)),"-")</f>
        <v>-</v>
      </c>
      <c r="D919" s="3" t="str">
        <f>IFERROR(INDEX(Movimientos!$E$5:$E$2001,MATCH(A919&amp;"ENTRADA",Movimientos!$R$5:$R$2001,0)),"-")</f>
        <v>-</v>
      </c>
      <c r="E919" s="3" t="str">
        <f>IFERROR(INDEX(Movimientos!$F$5:$F$2001,MATCH(A919&amp;"ENTRADA",Movimientos!$R$5:$R$2001,0)),"-")</f>
        <v>-</v>
      </c>
      <c r="F919" s="3" t="str">
        <f>IFERROR(INDEX(Movimientos!$G$5:$G$2001,MATCH(A919&amp;"ENTRADA",Movimientos!$R$5:$R$2001,0)),"-")</f>
        <v>-</v>
      </c>
      <c r="G919" s="3" t="str">
        <f>IFERROR(INDEX(Movimientos!$L$5:$L$2001,MATCH(A919&amp;"ENTRADA",Movimientos!$R$5:$R$2001,0)),"-")</f>
        <v>-</v>
      </c>
      <c r="H919" s="19" t="str">
        <f>IFERROR(IF(INDEX(Movimientos!$M$5:$M$2001,MATCH(A919&amp;"ENTRADA",Movimientos!$R$5:$R$2001,0))=0,"S/D",INDEX(Movimientos!$M$5:$M$2001,MATCH(A919&amp;"ENTRADA",Movimientos!$R$5:$R$2001,0))),"S/D")</f>
        <v>S/D</v>
      </c>
      <c r="I919" s="16" t="str">
        <f t="shared" ca="1" si="30"/>
        <v>S/D</v>
      </c>
      <c r="J919" s="6">
        <f>IF(A919="","",SUMIFS(Movimientos!$K:$K,Movimientos!$H:$H,A919))</f>
        <v>0</v>
      </c>
      <c r="K919" s="14" t="str">
        <f t="shared" ca="1" si="31"/>
        <v>OK</v>
      </c>
    </row>
    <row r="920" spans="1:11">
      <c r="A920" s="18" t="s">
        <v>2993</v>
      </c>
      <c r="B920" s="3" t="str">
        <f>IFERROR(INDEX(Movimientos!$C$5:$C$2001,MATCH(A920&amp;"ENTRADA",Movimientos!$R$5:$R$2001,0)),"-")</f>
        <v>-</v>
      </c>
      <c r="C920" s="3" t="str">
        <f>IFERROR(INDEX(Movimientos!$D$5:$D$2001,MATCH(A920&amp;"ENTRADA",Movimientos!$R$5:$R$2001,0)),"-")</f>
        <v>-</v>
      </c>
      <c r="D920" s="3" t="str">
        <f>IFERROR(INDEX(Movimientos!$E$5:$E$2001,MATCH(A920&amp;"ENTRADA",Movimientos!$R$5:$R$2001,0)),"-")</f>
        <v>-</v>
      </c>
      <c r="E920" s="3" t="str">
        <f>IFERROR(INDEX(Movimientos!$F$5:$F$2001,MATCH(A920&amp;"ENTRADA",Movimientos!$R$5:$R$2001,0)),"-")</f>
        <v>-</v>
      </c>
      <c r="F920" s="3" t="str">
        <f>IFERROR(INDEX(Movimientos!$G$5:$G$2001,MATCH(A920&amp;"ENTRADA",Movimientos!$R$5:$R$2001,0)),"-")</f>
        <v>-</v>
      </c>
      <c r="G920" s="3" t="str">
        <f>IFERROR(INDEX(Movimientos!$L$5:$L$2001,MATCH(A920&amp;"ENTRADA",Movimientos!$R$5:$R$2001,0)),"-")</f>
        <v>-</v>
      </c>
      <c r="H920" s="19" t="str">
        <f>IFERROR(IF(INDEX(Movimientos!$M$5:$M$2001,MATCH(A920&amp;"ENTRADA",Movimientos!$R$5:$R$2001,0))=0,"S/D",INDEX(Movimientos!$M$5:$M$2001,MATCH(A920&amp;"ENTRADA",Movimientos!$R$5:$R$2001,0))),"S/D")</f>
        <v>S/D</v>
      </c>
      <c r="I920" s="16" t="str">
        <f t="shared" ca="1" si="30"/>
        <v>S/D</v>
      </c>
      <c r="J920" s="6">
        <f>IF(A920="","",SUMIFS(Movimientos!$K:$K,Movimientos!$H:$H,A920))</f>
        <v>0</v>
      </c>
      <c r="K920" s="14" t="str">
        <f t="shared" ca="1" si="31"/>
        <v>OK</v>
      </c>
    </row>
    <row r="921" spans="1:11">
      <c r="A921" s="18" t="s">
        <v>2994</v>
      </c>
      <c r="B921" s="3" t="str">
        <f>IFERROR(INDEX(Movimientos!$C$5:$C$2001,MATCH(A921&amp;"ENTRADA",Movimientos!$R$5:$R$2001,0)),"-")</f>
        <v>-</v>
      </c>
      <c r="C921" s="3" t="str">
        <f>IFERROR(INDEX(Movimientos!$D$5:$D$2001,MATCH(A921&amp;"ENTRADA",Movimientos!$R$5:$R$2001,0)),"-")</f>
        <v>-</v>
      </c>
      <c r="D921" s="3" t="str">
        <f>IFERROR(INDEX(Movimientos!$E$5:$E$2001,MATCH(A921&amp;"ENTRADA",Movimientos!$R$5:$R$2001,0)),"-")</f>
        <v>-</v>
      </c>
      <c r="E921" s="3" t="str">
        <f>IFERROR(INDEX(Movimientos!$F$5:$F$2001,MATCH(A921&amp;"ENTRADA",Movimientos!$R$5:$R$2001,0)),"-")</f>
        <v>-</v>
      </c>
      <c r="F921" s="3" t="str">
        <f>IFERROR(INDEX(Movimientos!$G$5:$G$2001,MATCH(A921&amp;"ENTRADA",Movimientos!$R$5:$R$2001,0)),"-")</f>
        <v>-</v>
      </c>
      <c r="G921" s="3" t="str">
        <f>IFERROR(INDEX(Movimientos!$L$5:$L$2001,MATCH(A921&amp;"ENTRADA",Movimientos!$R$5:$R$2001,0)),"-")</f>
        <v>-</v>
      </c>
      <c r="H921" s="19" t="str">
        <f>IFERROR(IF(INDEX(Movimientos!$M$5:$M$2001,MATCH(A921&amp;"ENTRADA",Movimientos!$R$5:$R$2001,0))=0,"S/D",INDEX(Movimientos!$M$5:$M$2001,MATCH(A921&amp;"ENTRADA",Movimientos!$R$5:$R$2001,0))),"S/D")</f>
        <v>S/D</v>
      </c>
      <c r="I921" s="16" t="str">
        <f t="shared" ca="1" si="30"/>
        <v>S/D</v>
      </c>
      <c r="J921" s="6">
        <f>IF(A921="","",SUMIFS(Movimientos!$K:$K,Movimientos!$H:$H,A921))</f>
        <v>0</v>
      </c>
      <c r="K921" s="14" t="str">
        <f t="shared" ca="1" si="31"/>
        <v>OK</v>
      </c>
    </row>
    <row r="922" spans="1:11">
      <c r="A922" s="18" t="s">
        <v>2995</v>
      </c>
      <c r="B922" s="3" t="str">
        <f>IFERROR(INDEX(Movimientos!$C$5:$C$2001,MATCH(A922&amp;"ENTRADA",Movimientos!$R$5:$R$2001,0)),"-")</f>
        <v>-</v>
      </c>
      <c r="C922" s="3" t="str">
        <f>IFERROR(INDEX(Movimientos!$D$5:$D$2001,MATCH(A922&amp;"ENTRADA",Movimientos!$R$5:$R$2001,0)),"-")</f>
        <v>-</v>
      </c>
      <c r="D922" s="3" t="str">
        <f>IFERROR(INDEX(Movimientos!$E$5:$E$2001,MATCH(A922&amp;"ENTRADA",Movimientos!$R$5:$R$2001,0)),"-")</f>
        <v>-</v>
      </c>
      <c r="E922" s="3" t="str">
        <f>IFERROR(INDEX(Movimientos!$F$5:$F$2001,MATCH(A922&amp;"ENTRADA",Movimientos!$R$5:$R$2001,0)),"-")</f>
        <v>-</v>
      </c>
      <c r="F922" s="3" t="str">
        <f>IFERROR(INDEX(Movimientos!$G$5:$G$2001,MATCH(A922&amp;"ENTRADA",Movimientos!$R$5:$R$2001,0)),"-")</f>
        <v>-</v>
      </c>
      <c r="G922" s="3" t="str">
        <f>IFERROR(INDEX(Movimientos!$L$5:$L$2001,MATCH(A922&amp;"ENTRADA",Movimientos!$R$5:$R$2001,0)),"-")</f>
        <v>-</v>
      </c>
      <c r="H922" s="19" t="str">
        <f>IFERROR(IF(INDEX(Movimientos!$M$5:$M$2001,MATCH(A922&amp;"ENTRADA",Movimientos!$R$5:$R$2001,0))=0,"S/D",INDEX(Movimientos!$M$5:$M$2001,MATCH(A922&amp;"ENTRADA",Movimientos!$R$5:$R$2001,0))),"S/D")</f>
        <v>S/D</v>
      </c>
      <c r="I922" s="16" t="str">
        <f t="shared" ca="1" si="30"/>
        <v>S/D</v>
      </c>
      <c r="J922" s="6">
        <f>IF(A922="","",SUMIFS(Movimientos!$K:$K,Movimientos!$H:$H,A922))</f>
        <v>0</v>
      </c>
      <c r="K922" s="14" t="str">
        <f t="shared" ca="1" si="31"/>
        <v>OK</v>
      </c>
    </row>
    <row r="923" spans="1:11">
      <c r="A923" s="18" t="s">
        <v>2996</v>
      </c>
      <c r="B923" s="3" t="str">
        <f>IFERROR(INDEX(Movimientos!$C$5:$C$2001,MATCH(A923&amp;"ENTRADA",Movimientos!$R$5:$R$2001,0)),"-")</f>
        <v>-</v>
      </c>
      <c r="C923" s="3" t="str">
        <f>IFERROR(INDEX(Movimientos!$D$5:$D$2001,MATCH(A923&amp;"ENTRADA",Movimientos!$R$5:$R$2001,0)),"-")</f>
        <v>-</v>
      </c>
      <c r="D923" s="3" t="str">
        <f>IFERROR(INDEX(Movimientos!$E$5:$E$2001,MATCH(A923&amp;"ENTRADA",Movimientos!$R$5:$R$2001,0)),"-")</f>
        <v>-</v>
      </c>
      <c r="E923" s="3" t="str">
        <f>IFERROR(INDEX(Movimientos!$F$5:$F$2001,MATCH(A923&amp;"ENTRADA",Movimientos!$R$5:$R$2001,0)),"-")</f>
        <v>-</v>
      </c>
      <c r="F923" s="3" t="str">
        <f>IFERROR(INDEX(Movimientos!$G$5:$G$2001,MATCH(A923&amp;"ENTRADA",Movimientos!$R$5:$R$2001,0)),"-")</f>
        <v>-</v>
      </c>
      <c r="G923" s="3" t="str">
        <f>IFERROR(INDEX(Movimientos!$L$5:$L$2001,MATCH(A923&amp;"ENTRADA",Movimientos!$R$5:$R$2001,0)),"-")</f>
        <v>-</v>
      </c>
      <c r="H923" s="19" t="str">
        <f>IFERROR(IF(INDEX(Movimientos!$M$5:$M$2001,MATCH(A923&amp;"ENTRADA",Movimientos!$R$5:$R$2001,0))=0,"S/D",INDEX(Movimientos!$M$5:$M$2001,MATCH(A923&amp;"ENTRADA",Movimientos!$R$5:$R$2001,0))),"S/D")</f>
        <v>S/D</v>
      </c>
      <c r="I923" s="16" t="str">
        <f t="shared" ca="1" si="30"/>
        <v>S/D</v>
      </c>
      <c r="J923" s="6">
        <f>IF(A923="","",SUMIFS(Movimientos!$K:$K,Movimientos!$H:$H,A923))</f>
        <v>0</v>
      </c>
      <c r="K923" s="14" t="str">
        <f t="shared" ca="1" si="31"/>
        <v>OK</v>
      </c>
    </row>
    <row r="924" spans="1:11">
      <c r="A924" s="18" t="s">
        <v>2997</v>
      </c>
      <c r="B924" s="3" t="str">
        <f>IFERROR(INDEX(Movimientos!$C$5:$C$2001,MATCH(A924&amp;"ENTRADA",Movimientos!$R$5:$R$2001,0)),"-")</f>
        <v>-</v>
      </c>
      <c r="C924" s="3" t="str">
        <f>IFERROR(INDEX(Movimientos!$D$5:$D$2001,MATCH(A924&amp;"ENTRADA",Movimientos!$R$5:$R$2001,0)),"-")</f>
        <v>-</v>
      </c>
      <c r="D924" s="3" t="str">
        <f>IFERROR(INDEX(Movimientos!$E$5:$E$2001,MATCH(A924&amp;"ENTRADA",Movimientos!$R$5:$R$2001,0)),"-")</f>
        <v>-</v>
      </c>
      <c r="E924" s="3" t="str">
        <f>IFERROR(INDEX(Movimientos!$F$5:$F$2001,MATCH(A924&amp;"ENTRADA",Movimientos!$R$5:$R$2001,0)),"-")</f>
        <v>-</v>
      </c>
      <c r="F924" s="3" t="str">
        <f>IFERROR(INDEX(Movimientos!$G$5:$G$2001,MATCH(A924&amp;"ENTRADA",Movimientos!$R$5:$R$2001,0)),"-")</f>
        <v>-</v>
      </c>
      <c r="G924" s="3" t="str">
        <f>IFERROR(INDEX(Movimientos!$L$5:$L$2001,MATCH(A924&amp;"ENTRADA",Movimientos!$R$5:$R$2001,0)),"-")</f>
        <v>-</v>
      </c>
      <c r="H924" s="19" t="str">
        <f>IFERROR(IF(INDEX(Movimientos!$M$5:$M$2001,MATCH(A924&amp;"ENTRADA",Movimientos!$R$5:$R$2001,0))=0,"S/D",INDEX(Movimientos!$M$5:$M$2001,MATCH(A924&amp;"ENTRADA",Movimientos!$R$5:$R$2001,0))),"S/D")</f>
        <v>S/D</v>
      </c>
      <c r="I924" s="16" t="str">
        <f t="shared" ca="1" si="30"/>
        <v>S/D</v>
      </c>
      <c r="J924" s="6">
        <f>IF(A924="","",SUMIFS(Movimientos!$K:$K,Movimientos!$H:$H,A924))</f>
        <v>0</v>
      </c>
      <c r="K924" s="14" t="str">
        <f t="shared" ca="1" si="31"/>
        <v>OK</v>
      </c>
    </row>
    <row r="925" spans="1:11">
      <c r="A925" s="18" t="s">
        <v>2998</v>
      </c>
      <c r="B925" s="3" t="str">
        <f>IFERROR(INDEX(Movimientos!$C$5:$C$2001,MATCH(A925&amp;"ENTRADA",Movimientos!$R$5:$R$2001,0)),"-")</f>
        <v>-</v>
      </c>
      <c r="C925" s="3" t="str">
        <f>IFERROR(INDEX(Movimientos!$D$5:$D$2001,MATCH(A925&amp;"ENTRADA",Movimientos!$R$5:$R$2001,0)),"-")</f>
        <v>-</v>
      </c>
      <c r="D925" s="3" t="str">
        <f>IFERROR(INDEX(Movimientos!$E$5:$E$2001,MATCH(A925&amp;"ENTRADA",Movimientos!$R$5:$R$2001,0)),"-")</f>
        <v>-</v>
      </c>
      <c r="E925" s="3" t="str">
        <f>IFERROR(INDEX(Movimientos!$F$5:$F$2001,MATCH(A925&amp;"ENTRADA",Movimientos!$R$5:$R$2001,0)),"-")</f>
        <v>-</v>
      </c>
      <c r="F925" s="3" t="str">
        <f>IFERROR(INDEX(Movimientos!$G$5:$G$2001,MATCH(A925&amp;"ENTRADA",Movimientos!$R$5:$R$2001,0)),"-")</f>
        <v>-</v>
      </c>
      <c r="G925" s="3" t="str">
        <f>IFERROR(INDEX(Movimientos!$L$5:$L$2001,MATCH(A925&amp;"ENTRADA",Movimientos!$R$5:$R$2001,0)),"-")</f>
        <v>-</v>
      </c>
      <c r="H925" s="19" t="str">
        <f>IFERROR(IF(INDEX(Movimientos!$M$5:$M$2001,MATCH(A925&amp;"ENTRADA",Movimientos!$R$5:$R$2001,0))=0,"S/D",INDEX(Movimientos!$M$5:$M$2001,MATCH(A925&amp;"ENTRADA",Movimientos!$R$5:$R$2001,0))),"S/D")</f>
        <v>S/D</v>
      </c>
      <c r="I925" s="16" t="str">
        <f t="shared" ca="1" si="30"/>
        <v>S/D</v>
      </c>
      <c r="J925" s="6">
        <f>IF(A925="","",SUMIFS(Movimientos!$K:$K,Movimientos!$H:$H,A925))</f>
        <v>0</v>
      </c>
      <c r="K925" s="14" t="str">
        <f t="shared" ca="1" si="31"/>
        <v>OK</v>
      </c>
    </row>
    <row r="926" spans="1:11">
      <c r="A926" s="18" t="s">
        <v>2999</v>
      </c>
      <c r="B926" s="3" t="str">
        <f>IFERROR(INDEX(Movimientos!$C$5:$C$2001,MATCH(A926&amp;"ENTRADA",Movimientos!$R$5:$R$2001,0)),"-")</f>
        <v>-</v>
      </c>
      <c r="C926" s="3" t="str">
        <f>IFERROR(INDEX(Movimientos!$D$5:$D$2001,MATCH(A926&amp;"ENTRADA",Movimientos!$R$5:$R$2001,0)),"-")</f>
        <v>-</v>
      </c>
      <c r="D926" s="3" t="str">
        <f>IFERROR(INDEX(Movimientos!$E$5:$E$2001,MATCH(A926&amp;"ENTRADA",Movimientos!$R$5:$R$2001,0)),"-")</f>
        <v>-</v>
      </c>
      <c r="E926" s="3" t="str">
        <f>IFERROR(INDEX(Movimientos!$F$5:$F$2001,MATCH(A926&amp;"ENTRADA",Movimientos!$R$5:$R$2001,0)),"-")</f>
        <v>-</v>
      </c>
      <c r="F926" s="3" t="str">
        <f>IFERROR(INDEX(Movimientos!$G$5:$G$2001,MATCH(A926&amp;"ENTRADA",Movimientos!$R$5:$R$2001,0)),"-")</f>
        <v>-</v>
      </c>
      <c r="G926" s="3" t="str">
        <f>IFERROR(INDEX(Movimientos!$L$5:$L$2001,MATCH(A926&amp;"ENTRADA",Movimientos!$R$5:$R$2001,0)),"-")</f>
        <v>-</v>
      </c>
      <c r="H926" s="19" t="str">
        <f>IFERROR(IF(INDEX(Movimientos!$M$5:$M$2001,MATCH(A926&amp;"ENTRADA",Movimientos!$R$5:$R$2001,0))=0,"S/D",INDEX(Movimientos!$M$5:$M$2001,MATCH(A926&amp;"ENTRADA",Movimientos!$R$5:$R$2001,0))),"S/D")</f>
        <v>S/D</v>
      </c>
      <c r="I926" s="16" t="str">
        <f t="shared" ca="1" si="30"/>
        <v>S/D</v>
      </c>
      <c r="J926" s="6">
        <f>IF(A926="","",SUMIFS(Movimientos!$K:$K,Movimientos!$H:$H,A926))</f>
        <v>0</v>
      </c>
      <c r="K926" s="14" t="str">
        <f t="shared" ca="1" si="31"/>
        <v>OK</v>
      </c>
    </row>
    <row r="927" spans="1:11">
      <c r="A927" s="18" t="s">
        <v>3000</v>
      </c>
      <c r="B927" s="3" t="str">
        <f>IFERROR(INDEX(Movimientos!$C$5:$C$2001,MATCH(A927&amp;"ENTRADA",Movimientos!$R$5:$R$2001,0)),"-")</f>
        <v>-</v>
      </c>
      <c r="C927" s="3" t="str">
        <f>IFERROR(INDEX(Movimientos!$D$5:$D$2001,MATCH(A927&amp;"ENTRADA",Movimientos!$R$5:$R$2001,0)),"-")</f>
        <v>-</v>
      </c>
      <c r="D927" s="3" t="str">
        <f>IFERROR(INDEX(Movimientos!$E$5:$E$2001,MATCH(A927&amp;"ENTRADA",Movimientos!$R$5:$R$2001,0)),"-")</f>
        <v>-</v>
      </c>
      <c r="E927" s="3" t="str">
        <f>IFERROR(INDEX(Movimientos!$F$5:$F$2001,MATCH(A927&amp;"ENTRADA",Movimientos!$R$5:$R$2001,0)),"-")</f>
        <v>-</v>
      </c>
      <c r="F927" s="3" t="str">
        <f>IFERROR(INDEX(Movimientos!$G$5:$G$2001,MATCH(A927&amp;"ENTRADA",Movimientos!$R$5:$R$2001,0)),"-")</f>
        <v>-</v>
      </c>
      <c r="G927" s="3" t="str">
        <f>IFERROR(INDEX(Movimientos!$L$5:$L$2001,MATCH(A927&amp;"ENTRADA",Movimientos!$R$5:$R$2001,0)),"-")</f>
        <v>-</v>
      </c>
      <c r="H927" s="19" t="str">
        <f>IFERROR(IF(INDEX(Movimientos!$M$5:$M$2001,MATCH(A927&amp;"ENTRADA",Movimientos!$R$5:$R$2001,0))=0,"S/D",INDEX(Movimientos!$M$5:$M$2001,MATCH(A927&amp;"ENTRADA",Movimientos!$R$5:$R$2001,0))),"S/D")</f>
        <v>S/D</v>
      </c>
      <c r="I927" s="16" t="str">
        <f t="shared" ca="1" si="30"/>
        <v>S/D</v>
      </c>
      <c r="J927" s="6">
        <f>IF(A927="","",SUMIFS(Movimientos!$K:$K,Movimientos!$H:$H,A927))</f>
        <v>0</v>
      </c>
      <c r="K927" s="14" t="str">
        <f t="shared" ca="1" si="31"/>
        <v>OK</v>
      </c>
    </row>
    <row r="928" spans="1:11">
      <c r="A928" s="18" t="s">
        <v>3001</v>
      </c>
      <c r="B928" s="3" t="str">
        <f>IFERROR(INDEX(Movimientos!$C$5:$C$2001,MATCH(A928&amp;"ENTRADA",Movimientos!$R$5:$R$2001,0)),"-")</f>
        <v>-</v>
      </c>
      <c r="C928" s="3" t="str">
        <f>IFERROR(INDEX(Movimientos!$D$5:$D$2001,MATCH(A928&amp;"ENTRADA",Movimientos!$R$5:$R$2001,0)),"-")</f>
        <v>-</v>
      </c>
      <c r="D928" s="3" t="str">
        <f>IFERROR(INDEX(Movimientos!$E$5:$E$2001,MATCH(A928&amp;"ENTRADA",Movimientos!$R$5:$R$2001,0)),"-")</f>
        <v>-</v>
      </c>
      <c r="E928" s="3" t="str">
        <f>IFERROR(INDEX(Movimientos!$F$5:$F$2001,MATCH(A928&amp;"ENTRADA",Movimientos!$R$5:$R$2001,0)),"-")</f>
        <v>-</v>
      </c>
      <c r="F928" s="3" t="str">
        <f>IFERROR(INDEX(Movimientos!$G$5:$G$2001,MATCH(A928&amp;"ENTRADA",Movimientos!$R$5:$R$2001,0)),"-")</f>
        <v>-</v>
      </c>
      <c r="G928" s="3" t="str">
        <f>IFERROR(INDEX(Movimientos!$L$5:$L$2001,MATCH(A928&amp;"ENTRADA",Movimientos!$R$5:$R$2001,0)),"-")</f>
        <v>-</v>
      </c>
      <c r="H928" s="19" t="str">
        <f>IFERROR(IF(INDEX(Movimientos!$M$5:$M$2001,MATCH(A928&amp;"ENTRADA",Movimientos!$R$5:$R$2001,0))=0,"S/D",INDEX(Movimientos!$M$5:$M$2001,MATCH(A928&amp;"ENTRADA",Movimientos!$R$5:$R$2001,0))),"S/D")</f>
        <v>S/D</v>
      </c>
      <c r="I928" s="16" t="str">
        <f t="shared" ca="1" si="30"/>
        <v>S/D</v>
      </c>
      <c r="J928" s="6">
        <f>IF(A928="","",SUMIFS(Movimientos!$K:$K,Movimientos!$H:$H,A928))</f>
        <v>0</v>
      </c>
      <c r="K928" s="14" t="str">
        <f t="shared" ca="1" si="31"/>
        <v>OK</v>
      </c>
    </row>
    <row r="929" spans="1:11">
      <c r="A929" s="18" t="s">
        <v>3002</v>
      </c>
      <c r="B929" s="3" t="str">
        <f>IFERROR(INDEX(Movimientos!$C$5:$C$2001,MATCH(A929&amp;"ENTRADA",Movimientos!$R$5:$R$2001,0)),"-")</f>
        <v>-</v>
      </c>
      <c r="C929" s="3" t="str">
        <f>IFERROR(INDEX(Movimientos!$D$5:$D$2001,MATCH(A929&amp;"ENTRADA",Movimientos!$R$5:$R$2001,0)),"-")</f>
        <v>-</v>
      </c>
      <c r="D929" s="3" t="str">
        <f>IFERROR(INDEX(Movimientos!$E$5:$E$2001,MATCH(A929&amp;"ENTRADA",Movimientos!$R$5:$R$2001,0)),"-")</f>
        <v>-</v>
      </c>
      <c r="E929" s="3" t="str">
        <f>IFERROR(INDEX(Movimientos!$F$5:$F$2001,MATCH(A929&amp;"ENTRADA",Movimientos!$R$5:$R$2001,0)),"-")</f>
        <v>-</v>
      </c>
      <c r="F929" s="3" t="str">
        <f>IFERROR(INDEX(Movimientos!$G$5:$G$2001,MATCH(A929&amp;"ENTRADA",Movimientos!$R$5:$R$2001,0)),"-")</f>
        <v>-</v>
      </c>
      <c r="G929" s="3" t="str">
        <f>IFERROR(INDEX(Movimientos!$L$5:$L$2001,MATCH(A929&amp;"ENTRADA",Movimientos!$R$5:$R$2001,0)),"-")</f>
        <v>-</v>
      </c>
      <c r="H929" s="19" t="str">
        <f>IFERROR(IF(INDEX(Movimientos!$M$5:$M$2001,MATCH(A929&amp;"ENTRADA",Movimientos!$R$5:$R$2001,0))=0,"S/D",INDEX(Movimientos!$M$5:$M$2001,MATCH(A929&amp;"ENTRADA",Movimientos!$R$5:$R$2001,0))),"S/D")</f>
        <v>S/D</v>
      </c>
      <c r="I929" s="16" t="str">
        <f t="shared" ca="1" si="30"/>
        <v>S/D</v>
      </c>
      <c r="J929" s="6">
        <f>IF(A929="","",SUMIFS(Movimientos!$K:$K,Movimientos!$H:$H,A929))</f>
        <v>0</v>
      </c>
      <c r="K929" s="14" t="str">
        <f t="shared" ca="1" si="31"/>
        <v>OK</v>
      </c>
    </row>
    <row r="930" spans="1:11">
      <c r="A930" s="18" t="s">
        <v>3003</v>
      </c>
      <c r="B930" s="3" t="str">
        <f>IFERROR(INDEX(Movimientos!$C$5:$C$2001,MATCH(A930&amp;"ENTRADA",Movimientos!$R$5:$R$2001,0)),"-")</f>
        <v>-</v>
      </c>
      <c r="C930" s="3" t="str">
        <f>IFERROR(INDEX(Movimientos!$D$5:$D$2001,MATCH(A930&amp;"ENTRADA",Movimientos!$R$5:$R$2001,0)),"-")</f>
        <v>-</v>
      </c>
      <c r="D930" s="3" t="str">
        <f>IFERROR(INDEX(Movimientos!$E$5:$E$2001,MATCH(A930&amp;"ENTRADA",Movimientos!$R$5:$R$2001,0)),"-")</f>
        <v>-</v>
      </c>
      <c r="E930" s="3" t="str">
        <f>IFERROR(INDEX(Movimientos!$F$5:$F$2001,MATCH(A930&amp;"ENTRADA",Movimientos!$R$5:$R$2001,0)),"-")</f>
        <v>-</v>
      </c>
      <c r="F930" s="3" t="str">
        <f>IFERROR(INDEX(Movimientos!$G$5:$G$2001,MATCH(A930&amp;"ENTRADA",Movimientos!$R$5:$R$2001,0)),"-")</f>
        <v>-</v>
      </c>
      <c r="G930" s="3" t="str">
        <f>IFERROR(INDEX(Movimientos!$L$5:$L$2001,MATCH(A930&amp;"ENTRADA",Movimientos!$R$5:$R$2001,0)),"-")</f>
        <v>-</v>
      </c>
      <c r="H930" s="19" t="str">
        <f>IFERROR(IF(INDEX(Movimientos!$M$5:$M$2001,MATCH(A930&amp;"ENTRADA",Movimientos!$R$5:$R$2001,0))=0,"S/D",INDEX(Movimientos!$M$5:$M$2001,MATCH(A930&amp;"ENTRADA",Movimientos!$R$5:$R$2001,0))),"S/D")</f>
        <v>S/D</v>
      </c>
      <c r="I930" s="16" t="str">
        <f t="shared" ca="1" si="30"/>
        <v>S/D</v>
      </c>
      <c r="J930" s="6">
        <f>IF(A930="","",SUMIFS(Movimientos!$K:$K,Movimientos!$H:$H,A930))</f>
        <v>0</v>
      </c>
      <c r="K930" s="14" t="str">
        <f t="shared" ca="1" si="31"/>
        <v>OK</v>
      </c>
    </row>
    <row r="931" spans="1:11">
      <c r="A931" s="18" t="s">
        <v>3004</v>
      </c>
      <c r="B931" s="3" t="str">
        <f>IFERROR(INDEX(Movimientos!$C$5:$C$2001,MATCH(A931&amp;"ENTRADA",Movimientos!$R$5:$R$2001,0)),"-")</f>
        <v>-</v>
      </c>
      <c r="C931" s="3" t="str">
        <f>IFERROR(INDEX(Movimientos!$D$5:$D$2001,MATCH(A931&amp;"ENTRADA",Movimientos!$R$5:$R$2001,0)),"-")</f>
        <v>-</v>
      </c>
      <c r="D931" s="3" t="str">
        <f>IFERROR(INDEX(Movimientos!$E$5:$E$2001,MATCH(A931&amp;"ENTRADA",Movimientos!$R$5:$R$2001,0)),"-")</f>
        <v>-</v>
      </c>
      <c r="E931" s="3" t="str">
        <f>IFERROR(INDEX(Movimientos!$F$5:$F$2001,MATCH(A931&amp;"ENTRADA",Movimientos!$R$5:$R$2001,0)),"-")</f>
        <v>-</v>
      </c>
      <c r="F931" s="3" t="str">
        <f>IFERROR(INDEX(Movimientos!$G$5:$G$2001,MATCH(A931&amp;"ENTRADA",Movimientos!$R$5:$R$2001,0)),"-")</f>
        <v>-</v>
      </c>
      <c r="G931" s="3" t="str">
        <f>IFERROR(INDEX(Movimientos!$L$5:$L$2001,MATCH(A931&amp;"ENTRADA",Movimientos!$R$5:$R$2001,0)),"-")</f>
        <v>-</v>
      </c>
      <c r="H931" s="19" t="str">
        <f>IFERROR(IF(INDEX(Movimientos!$M$5:$M$2001,MATCH(A931&amp;"ENTRADA",Movimientos!$R$5:$R$2001,0))=0,"S/D",INDEX(Movimientos!$M$5:$M$2001,MATCH(A931&amp;"ENTRADA",Movimientos!$R$5:$R$2001,0))),"S/D")</f>
        <v>S/D</v>
      </c>
      <c r="I931" s="16" t="str">
        <f t="shared" ca="1" si="30"/>
        <v>S/D</v>
      </c>
      <c r="J931" s="6">
        <f>IF(A931="","",SUMIFS(Movimientos!$K:$K,Movimientos!$H:$H,A931))</f>
        <v>0</v>
      </c>
      <c r="K931" s="14" t="str">
        <f t="shared" ca="1" si="31"/>
        <v>OK</v>
      </c>
    </row>
    <row r="932" spans="1:11">
      <c r="A932" s="18" t="s">
        <v>3005</v>
      </c>
      <c r="B932" s="3" t="str">
        <f>IFERROR(INDEX(Movimientos!$C$5:$C$2001,MATCH(A932&amp;"ENTRADA",Movimientos!$R$5:$R$2001,0)),"-")</f>
        <v>-</v>
      </c>
      <c r="C932" s="3" t="str">
        <f>IFERROR(INDEX(Movimientos!$D$5:$D$2001,MATCH(A932&amp;"ENTRADA",Movimientos!$R$5:$R$2001,0)),"-")</f>
        <v>-</v>
      </c>
      <c r="D932" s="3" t="str">
        <f>IFERROR(INDEX(Movimientos!$E$5:$E$2001,MATCH(A932&amp;"ENTRADA",Movimientos!$R$5:$R$2001,0)),"-")</f>
        <v>-</v>
      </c>
      <c r="E932" s="3" t="str">
        <f>IFERROR(INDEX(Movimientos!$F$5:$F$2001,MATCH(A932&amp;"ENTRADA",Movimientos!$R$5:$R$2001,0)),"-")</f>
        <v>-</v>
      </c>
      <c r="F932" s="3" t="str">
        <f>IFERROR(INDEX(Movimientos!$G$5:$G$2001,MATCH(A932&amp;"ENTRADA",Movimientos!$R$5:$R$2001,0)),"-")</f>
        <v>-</v>
      </c>
      <c r="G932" s="3" t="str">
        <f>IFERROR(INDEX(Movimientos!$L$5:$L$2001,MATCH(A932&amp;"ENTRADA",Movimientos!$R$5:$R$2001,0)),"-")</f>
        <v>-</v>
      </c>
      <c r="H932" s="19" t="str">
        <f>IFERROR(IF(INDEX(Movimientos!$M$5:$M$2001,MATCH(A932&amp;"ENTRADA",Movimientos!$R$5:$R$2001,0))=0,"S/D",INDEX(Movimientos!$M$5:$M$2001,MATCH(A932&amp;"ENTRADA",Movimientos!$R$5:$R$2001,0))),"S/D")</f>
        <v>S/D</v>
      </c>
      <c r="I932" s="16" t="str">
        <f t="shared" ca="1" si="30"/>
        <v>S/D</v>
      </c>
      <c r="J932" s="6">
        <f>IF(A932="","",SUMIFS(Movimientos!$K:$K,Movimientos!$H:$H,A932))</f>
        <v>0</v>
      </c>
      <c r="K932" s="14" t="str">
        <f t="shared" ca="1" si="31"/>
        <v>OK</v>
      </c>
    </row>
    <row r="933" spans="1:11">
      <c r="A933" s="18" t="s">
        <v>3006</v>
      </c>
      <c r="B933" s="3" t="str">
        <f>IFERROR(INDEX(Movimientos!$C$5:$C$2001,MATCH(A933&amp;"ENTRADA",Movimientos!$R$5:$R$2001,0)),"-")</f>
        <v>-</v>
      </c>
      <c r="C933" s="3" t="str">
        <f>IFERROR(INDEX(Movimientos!$D$5:$D$2001,MATCH(A933&amp;"ENTRADA",Movimientos!$R$5:$R$2001,0)),"-")</f>
        <v>-</v>
      </c>
      <c r="D933" s="3" t="str">
        <f>IFERROR(INDEX(Movimientos!$E$5:$E$2001,MATCH(A933&amp;"ENTRADA",Movimientos!$R$5:$R$2001,0)),"-")</f>
        <v>-</v>
      </c>
      <c r="E933" s="3" t="str">
        <f>IFERROR(INDEX(Movimientos!$F$5:$F$2001,MATCH(A933&amp;"ENTRADA",Movimientos!$R$5:$R$2001,0)),"-")</f>
        <v>-</v>
      </c>
      <c r="F933" s="3" t="str">
        <f>IFERROR(INDEX(Movimientos!$G$5:$G$2001,MATCH(A933&amp;"ENTRADA",Movimientos!$R$5:$R$2001,0)),"-")</f>
        <v>-</v>
      </c>
      <c r="G933" s="3" t="str">
        <f>IFERROR(INDEX(Movimientos!$L$5:$L$2001,MATCH(A933&amp;"ENTRADA",Movimientos!$R$5:$R$2001,0)),"-")</f>
        <v>-</v>
      </c>
      <c r="H933" s="19" t="str">
        <f>IFERROR(IF(INDEX(Movimientos!$M$5:$M$2001,MATCH(A933&amp;"ENTRADA",Movimientos!$R$5:$R$2001,0))=0,"S/D",INDEX(Movimientos!$M$5:$M$2001,MATCH(A933&amp;"ENTRADA",Movimientos!$R$5:$R$2001,0))),"S/D")</f>
        <v>S/D</v>
      </c>
      <c r="I933" s="16" t="str">
        <f t="shared" ca="1" si="30"/>
        <v>S/D</v>
      </c>
      <c r="J933" s="6">
        <f>IF(A933="","",SUMIFS(Movimientos!$K:$K,Movimientos!$H:$H,A933))</f>
        <v>0</v>
      </c>
      <c r="K933" s="14" t="str">
        <f t="shared" ca="1" si="31"/>
        <v>OK</v>
      </c>
    </row>
    <row r="934" spans="1:11">
      <c r="A934" s="18" t="s">
        <v>3007</v>
      </c>
      <c r="B934" s="3" t="str">
        <f>IFERROR(INDEX(Movimientos!$C$5:$C$2001,MATCH(A934&amp;"ENTRADA",Movimientos!$R$5:$R$2001,0)),"-")</f>
        <v>-</v>
      </c>
      <c r="C934" s="3" t="str">
        <f>IFERROR(INDEX(Movimientos!$D$5:$D$2001,MATCH(A934&amp;"ENTRADA",Movimientos!$R$5:$R$2001,0)),"-")</f>
        <v>-</v>
      </c>
      <c r="D934" s="3" t="str">
        <f>IFERROR(INDEX(Movimientos!$E$5:$E$2001,MATCH(A934&amp;"ENTRADA",Movimientos!$R$5:$R$2001,0)),"-")</f>
        <v>-</v>
      </c>
      <c r="E934" s="3" t="str">
        <f>IFERROR(INDEX(Movimientos!$F$5:$F$2001,MATCH(A934&amp;"ENTRADA",Movimientos!$R$5:$R$2001,0)),"-")</f>
        <v>-</v>
      </c>
      <c r="F934" s="3" t="str">
        <f>IFERROR(INDEX(Movimientos!$G$5:$G$2001,MATCH(A934&amp;"ENTRADA",Movimientos!$R$5:$R$2001,0)),"-")</f>
        <v>-</v>
      </c>
      <c r="G934" s="3" t="str">
        <f>IFERROR(INDEX(Movimientos!$L$5:$L$2001,MATCH(A934&amp;"ENTRADA",Movimientos!$R$5:$R$2001,0)),"-")</f>
        <v>-</v>
      </c>
      <c r="H934" s="19" t="str">
        <f>IFERROR(IF(INDEX(Movimientos!$M$5:$M$2001,MATCH(A934&amp;"ENTRADA",Movimientos!$R$5:$R$2001,0))=0,"S/D",INDEX(Movimientos!$M$5:$M$2001,MATCH(A934&amp;"ENTRADA",Movimientos!$R$5:$R$2001,0))),"S/D")</f>
        <v>S/D</v>
      </c>
      <c r="I934" s="16" t="str">
        <f t="shared" ca="1" si="30"/>
        <v>S/D</v>
      </c>
      <c r="J934" s="6">
        <f>IF(A934="","",SUMIFS(Movimientos!$K:$K,Movimientos!$H:$H,A934))</f>
        <v>0</v>
      </c>
      <c r="K934" s="14" t="str">
        <f t="shared" ca="1" si="31"/>
        <v>OK</v>
      </c>
    </row>
    <row r="935" spans="1:11">
      <c r="A935" s="18" t="s">
        <v>3008</v>
      </c>
      <c r="B935" s="3" t="str">
        <f>IFERROR(INDEX(Movimientos!$C$5:$C$2001,MATCH(A935&amp;"ENTRADA",Movimientos!$R$5:$R$2001,0)),"-")</f>
        <v>-</v>
      </c>
      <c r="C935" s="3" t="str">
        <f>IFERROR(INDEX(Movimientos!$D$5:$D$2001,MATCH(A935&amp;"ENTRADA",Movimientos!$R$5:$R$2001,0)),"-")</f>
        <v>-</v>
      </c>
      <c r="D935" s="3" t="str">
        <f>IFERROR(INDEX(Movimientos!$E$5:$E$2001,MATCH(A935&amp;"ENTRADA",Movimientos!$R$5:$R$2001,0)),"-")</f>
        <v>-</v>
      </c>
      <c r="E935" s="3" t="str">
        <f>IFERROR(INDEX(Movimientos!$F$5:$F$2001,MATCH(A935&amp;"ENTRADA",Movimientos!$R$5:$R$2001,0)),"-")</f>
        <v>-</v>
      </c>
      <c r="F935" s="3" t="str">
        <f>IFERROR(INDEX(Movimientos!$G$5:$G$2001,MATCH(A935&amp;"ENTRADA",Movimientos!$R$5:$R$2001,0)),"-")</f>
        <v>-</v>
      </c>
      <c r="G935" s="3" t="str">
        <f>IFERROR(INDEX(Movimientos!$L$5:$L$2001,MATCH(A935&amp;"ENTRADA",Movimientos!$R$5:$R$2001,0)),"-")</f>
        <v>-</v>
      </c>
      <c r="H935" s="19" t="str">
        <f>IFERROR(IF(INDEX(Movimientos!$M$5:$M$2001,MATCH(A935&amp;"ENTRADA",Movimientos!$R$5:$R$2001,0))=0,"S/D",INDEX(Movimientos!$M$5:$M$2001,MATCH(A935&amp;"ENTRADA",Movimientos!$R$5:$R$2001,0))),"S/D")</f>
        <v>S/D</v>
      </c>
      <c r="I935" s="16" t="str">
        <f t="shared" ca="1" si="30"/>
        <v>S/D</v>
      </c>
      <c r="J935" s="6">
        <f>IF(A935="","",SUMIFS(Movimientos!$K:$K,Movimientos!$H:$H,A935))</f>
        <v>0</v>
      </c>
      <c r="K935" s="14" t="str">
        <f t="shared" ca="1" si="31"/>
        <v>OK</v>
      </c>
    </row>
    <row r="936" spans="1:11">
      <c r="A936" s="18" t="s">
        <v>3009</v>
      </c>
      <c r="B936" s="3" t="str">
        <f>IFERROR(INDEX(Movimientos!$C$5:$C$2001,MATCH(A936&amp;"ENTRADA",Movimientos!$R$5:$R$2001,0)),"-")</f>
        <v>-</v>
      </c>
      <c r="C936" s="3" t="str">
        <f>IFERROR(INDEX(Movimientos!$D$5:$D$2001,MATCH(A936&amp;"ENTRADA",Movimientos!$R$5:$R$2001,0)),"-")</f>
        <v>-</v>
      </c>
      <c r="D936" s="3" t="str">
        <f>IFERROR(INDEX(Movimientos!$E$5:$E$2001,MATCH(A936&amp;"ENTRADA",Movimientos!$R$5:$R$2001,0)),"-")</f>
        <v>-</v>
      </c>
      <c r="E936" s="3" t="str">
        <f>IFERROR(INDEX(Movimientos!$F$5:$F$2001,MATCH(A936&amp;"ENTRADA",Movimientos!$R$5:$R$2001,0)),"-")</f>
        <v>-</v>
      </c>
      <c r="F936" s="3" t="str">
        <f>IFERROR(INDEX(Movimientos!$G$5:$G$2001,MATCH(A936&amp;"ENTRADA",Movimientos!$R$5:$R$2001,0)),"-")</f>
        <v>-</v>
      </c>
      <c r="G936" s="3" t="str">
        <f>IFERROR(INDEX(Movimientos!$L$5:$L$2001,MATCH(A936&amp;"ENTRADA",Movimientos!$R$5:$R$2001,0)),"-")</f>
        <v>-</v>
      </c>
      <c r="H936" s="19" t="str">
        <f>IFERROR(IF(INDEX(Movimientos!$M$5:$M$2001,MATCH(A936&amp;"ENTRADA",Movimientos!$R$5:$R$2001,0))=0,"S/D",INDEX(Movimientos!$M$5:$M$2001,MATCH(A936&amp;"ENTRADA",Movimientos!$R$5:$R$2001,0))),"S/D")</f>
        <v>S/D</v>
      </c>
      <c r="I936" s="16" t="str">
        <f t="shared" ca="1" si="30"/>
        <v>S/D</v>
      </c>
      <c r="J936" s="6">
        <f>IF(A936="","",SUMIFS(Movimientos!$K:$K,Movimientos!$H:$H,A936))</f>
        <v>0</v>
      </c>
      <c r="K936" s="14" t="str">
        <f t="shared" ca="1" si="31"/>
        <v>OK</v>
      </c>
    </row>
    <row r="937" spans="1:11">
      <c r="A937" s="18" t="s">
        <v>3010</v>
      </c>
      <c r="B937" s="3" t="str">
        <f>IFERROR(INDEX(Movimientos!$C$5:$C$2001,MATCH(A937&amp;"ENTRADA",Movimientos!$R$5:$R$2001,0)),"-")</f>
        <v>-</v>
      </c>
      <c r="C937" s="3" t="str">
        <f>IFERROR(INDEX(Movimientos!$D$5:$D$2001,MATCH(A937&amp;"ENTRADA",Movimientos!$R$5:$R$2001,0)),"-")</f>
        <v>-</v>
      </c>
      <c r="D937" s="3" t="str">
        <f>IFERROR(INDEX(Movimientos!$E$5:$E$2001,MATCH(A937&amp;"ENTRADA",Movimientos!$R$5:$R$2001,0)),"-")</f>
        <v>-</v>
      </c>
      <c r="E937" s="3" t="str">
        <f>IFERROR(INDEX(Movimientos!$F$5:$F$2001,MATCH(A937&amp;"ENTRADA",Movimientos!$R$5:$R$2001,0)),"-")</f>
        <v>-</v>
      </c>
      <c r="F937" s="3" t="str">
        <f>IFERROR(INDEX(Movimientos!$G$5:$G$2001,MATCH(A937&amp;"ENTRADA",Movimientos!$R$5:$R$2001,0)),"-")</f>
        <v>-</v>
      </c>
      <c r="G937" s="3" t="str">
        <f>IFERROR(INDEX(Movimientos!$L$5:$L$2001,MATCH(A937&amp;"ENTRADA",Movimientos!$R$5:$R$2001,0)),"-")</f>
        <v>-</v>
      </c>
      <c r="H937" s="19" t="str">
        <f>IFERROR(IF(INDEX(Movimientos!$M$5:$M$2001,MATCH(A937&amp;"ENTRADA",Movimientos!$R$5:$R$2001,0))=0,"S/D",INDEX(Movimientos!$M$5:$M$2001,MATCH(A937&amp;"ENTRADA",Movimientos!$R$5:$R$2001,0))),"S/D")</f>
        <v>S/D</v>
      </c>
      <c r="I937" s="16" t="str">
        <f t="shared" ca="1" si="30"/>
        <v>S/D</v>
      </c>
      <c r="J937" s="6">
        <f>IF(A937="","",SUMIFS(Movimientos!$K:$K,Movimientos!$H:$H,A937))</f>
        <v>0</v>
      </c>
      <c r="K937" s="14" t="str">
        <f t="shared" ca="1" si="31"/>
        <v>OK</v>
      </c>
    </row>
    <row r="938" spans="1:11">
      <c r="A938" s="18" t="s">
        <v>3011</v>
      </c>
      <c r="B938" s="3" t="str">
        <f>IFERROR(INDEX(Movimientos!$C$5:$C$2001,MATCH(A938&amp;"ENTRADA",Movimientos!$R$5:$R$2001,0)),"-")</f>
        <v>-</v>
      </c>
      <c r="C938" s="3" t="str">
        <f>IFERROR(INDEX(Movimientos!$D$5:$D$2001,MATCH(A938&amp;"ENTRADA",Movimientos!$R$5:$R$2001,0)),"-")</f>
        <v>-</v>
      </c>
      <c r="D938" s="3" t="str">
        <f>IFERROR(INDEX(Movimientos!$E$5:$E$2001,MATCH(A938&amp;"ENTRADA",Movimientos!$R$5:$R$2001,0)),"-")</f>
        <v>-</v>
      </c>
      <c r="E938" s="3" t="str">
        <f>IFERROR(INDEX(Movimientos!$F$5:$F$2001,MATCH(A938&amp;"ENTRADA",Movimientos!$R$5:$R$2001,0)),"-")</f>
        <v>-</v>
      </c>
      <c r="F938" s="3" t="str">
        <f>IFERROR(INDEX(Movimientos!$G$5:$G$2001,MATCH(A938&amp;"ENTRADA",Movimientos!$R$5:$R$2001,0)),"-")</f>
        <v>-</v>
      </c>
      <c r="G938" s="3" t="str">
        <f>IFERROR(INDEX(Movimientos!$L$5:$L$2001,MATCH(A938&amp;"ENTRADA",Movimientos!$R$5:$R$2001,0)),"-")</f>
        <v>-</v>
      </c>
      <c r="H938" s="19" t="str">
        <f>IFERROR(IF(INDEX(Movimientos!$M$5:$M$2001,MATCH(A938&amp;"ENTRADA",Movimientos!$R$5:$R$2001,0))=0,"S/D",INDEX(Movimientos!$M$5:$M$2001,MATCH(A938&amp;"ENTRADA",Movimientos!$R$5:$R$2001,0))),"S/D")</f>
        <v>S/D</v>
      </c>
      <c r="I938" s="16" t="str">
        <f t="shared" ca="1" si="30"/>
        <v>S/D</v>
      </c>
      <c r="J938" s="6">
        <f>IF(A938="","",SUMIFS(Movimientos!$K:$K,Movimientos!$H:$H,A938))</f>
        <v>0</v>
      </c>
      <c r="K938" s="14" t="str">
        <f t="shared" ca="1" si="31"/>
        <v>OK</v>
      </c>
    </row>
    <row r="939" spans="1:11">
      <c r="A939" s="18" t="s">
        <v>3012</v>
      </c>
      <c r="B939" s="3" t="str">
        <f>IFERROR(INDEX(Movimientos!$C$5:$C$2001,MATCH(A939&amp;"ENTRADA",Movimientos!$R$5:$R$2001,0)),"-")</f>
        <v>-</v>
      </c>
      <c r="C939" s="3" t="str">
        <f>IFERROR(INDEX(Movimientos!$D$5:$D$2001,MATCH(A939&amp;"ENTRADA",Movimientos!$R$5:$R$2001,0)),"-")</f>
        <v>-</v>
      </c>
      <c r="D939" s="3" t="str">
        <f>IFERROR(INDEX(Movimientos!$E$5:$E$2001,MATCH(A939&amp;"ENTRADA",Movimientos!$R$5:$R$2001,0)),"-")</f>
        <v>-</v>
      </c>
      <c r="E939" s="3" t="str">
        <f>IFERROR(INDEX(Movimientos!$F$5:$F$2001,MATCH(A939&amp;"ENTRADA",Movimientos!$R$5:$R$2001,0)),"-")</f>
        <v>-</v>
      </c>
      <c r="F939" s="3" t="str">
        <f>IFERROR(INDEX(Movimientos!$G$5:$G$2001,MATCH(A939&amp;"ENTRADA",Movimientos!$R$5:$R$2001,0)),"-")</f>
        <v>-</v>
      </c>
      <c r="G939" s="3" t="str">
        <f>IFERROR(INDEX(Movimientos!$L$5:$L$2001,MATCH(A939&amp;"ENTRADA",Movimientos!$R$5:$R$2001,0)),"-")</f>
        <v>-</v>
      </c>
      <c r="H939" s="19" t="str">
        <f>IFERROR(IF(INDEX(Movimientos!$M$5:$M$2001,MATCH(A939&amp;"ENTRADA",Movimientos!$R$5:$R$2001,0))=0,"S/D",INDEX(Movimientos!$M$5:$M$2001,MATCH(A939&amp;"ENTRADA",Movimientos!$R$5:$R$2001,0))),"S/D")</f>
        <v>S/D</v>
      </c>
      <c r="I939" s="16" t="str">
        <f t="shared" ca="1" si="30"/>
        <v>S/D</v>
      </c>
      <c r="J939" s="6">
        <f>IF(A939="","",SUMIFS(Movimientos!$K:$K,Movimientos!$H:$H,A939))</f>
        <v>0</v>
      </c>
      <c r="K939" s="14" t="str">
        <f t="shared" ca="1" si="31"/>
        <v>OK</v>
      </c>
    </row>
    <row r="940" spans="1:11">
      <c r="A940" s="18" t="s">
        <v>3013</v>
      </c>
      <c r="B940" s="3" t="str">
        <f>IFERROR(INDEX(Movimientos!$C$5:$C$2001,MATCH(A940&amp;"ENTRADA",Movimientos!$R$5:$R$2001,0)),"-")</f>
        <v>-</v>
      </c>
      <c r="C940" s="3" t="str">
        <f>IFERROR(INDEX(Movimientos!$D$5:$D$2001,MATCH(A940&amp;"ENTRADA",Movimientos!$R$5:$R$2001,0)),"-")</f>
        <v>-</v>
      </c>
      <c r="D940" s="3" t="str">
        <f>IFERROR(INDEX(Movimientos!$E$5:$E$2001,MATCH(A940&amp;"ENTRADA",Movimientos!$R$5:$R$2001,0)),"-")</f>
        <v>-</v>
      </c>
      <c r="E940" s="3" t="str">
        <f>IFERROR(INDEX(Movimientos!$F$5:$F$2001,MATCH(A940&amp;"ENTRADA",Movimientos!$R$5:$R$2001,0)),"-")</f>
        <v>-</v>
      </c>
      <c r="F940" s="3" t="str">
        <f>IFERROR(INDEX(Movimientos!$G$5:$G$2001,MATCH(A940&amp;"ENTRADA",Movimientos!$R$5:$R$2001,0)),"-")</f>
        <v>-</v>
      </c>
      <c r="G940" s="3" t="str">
        <f>IFERROR(INDEX(Movimientos!$L$5:$L$2001,MATCH(A940&amp;"ENTRADA",Movimientos!$R$5:$R$2001,0)),"-")</f>
        <v>-</v>
      </c>
      <c r="H940" s="19" t="str">
        <f>IFERROR(IF(INDEX(Movimientos!$M$5:$M$2001,MATCH(A940&amp;"ENTRADA",Movimientos!$R$5:$R$2001,0))=0,"S/D",INDEX(Movimientos!$M$5:$M$2001,MATCH(A940&amp;"ENTRADA",Movimientos!$R$5:$R$2001,0))),"S/D")</f>
        <v>S/D</v>
      </c>
      <c r="I940" s="16" t="str">
        <f t="shared" ca="1" si="30"/>
        <v>S/D</v>
      </c>
      <c r="J940" s="6">
        <f>IF(A940="","",SUMIFS(Movimientos!$K:$K,Movimientos!$H:$H,A940))</f>
        <v>0</v>
      </c>
      <c r="K940" s="14" t="str">
        <f t="shared" ca="1" si="31"/>
        <v>OK</v>
      </c>
    </row>
    <row r="941" spans="1:11">
      <c r="A941" s="18" t="s">
        <v>3014</v>
      </c>
      <c r="B941" s="3" t="str">
        <f>IFERROR(INDEX(Movimientos!$C$5:$C$2001,MATCH(A941&amp;"ENTRADA",Movimientos!$R$5:$R$2001,0)),"-")</f>
        <v>-</v>
      </c>
      <c r="C941" s="3" t="str">
        <f>IFERROR(INDEX(Movimientos!$D$5:$D$2001,MATCH(A941&amp;"ENTRADA",Movimientos!$R$5:$R$2001,0)),"-")</f>
        <v>-</v>
      </c>
      <c r="D941" s="3" t="str">
        <f>IFERROR(INDEX(Movimientos!$E$5:$E$2001,MATCH(A941&amp;"ENTRADA",Movimientos!$R$5:$R$2001,0)),"-")</f>
        <v>-</v>
      </c>
      <c r="E941" s="3" t="str">
        <f>IFERROR(INDEX(Movimientos!$F$5:$F$2001,MATCH(A941&amp;"ENTRADA",Movimientos!$R$5:$R$2001,0)),"-")</f>
        <v>-</v>
      </c>
      <c r="F941" s="3" t="str">
        <f>IFERROR(INDEX(Movimientos!$G$5:$G$2001,MATCH(A941&amp;"ENTRADA",Movimientos!$R$5:$R$2001,0)),"-")</f>
        <v>-</v>
      </c>
      <c r="G941" s="3" t="str">
        <f>IFERROR(INDEX(Movimientos!$L$5:$L$2001,MATCH(A941&amp;"ENTRADA",Movimientos!$R$5:$R$2001,0)),"-")</f>
        <v>-</v>
      </c>
      <c r="H941" s="19" t="str">
        <f>IFERROR(IF(INDEX(Movimientos!$M$5:$M$2001,MATCH(A941&amp;"ENTRADA",Movimientos!$R$5:$R$2001,0))=0,"S/D",INDEX(Movimientos!$M$5:$M$2001,MATCH(A941&amp;"ENTRADA",Movimientos!$R$5:$R$2001,0))),"S/D")</f>
        <v>S/D</v>
      </c>
      <c r="I941" s="16" t="str">
        <f t="shared" ca="1" si="30"/>
        <v>S/D</v>
      </c>
      <c r="J941" s="6">
        <f>IF(A941="","",SUMIFS(Movimientos!$K:$K,Movimientos!$H:$H,A941))</f>
        <v>0</v>
      </c>
      <c r="K941" s="14" t="str">
        <f t="shared" ca="1" si="31"/>
        <v>OK</v>
      </c>
    </row>
    <row r="942" spans="1:11">
      <c r="A942" s="18" t="s">
        <v>3015</v>
      </c>
      <c r="B942" s="3" t="str">
        <f>IFERROR(INDEX(Movimientos!$C$5:$C$2001,MATCH(A942&amp;"ENTRADA",Movimientos!$R$5:$R$2001,0)),"-")</f>
        <v>-</v>
      </c>
      <c r="C942" s="3" t="str">
        <f>IFERROR(INDEX(Movimientos!$D$5:$D$2001,MATCH(A942&amp;"ENTRADA",Movimientos!$R$5:$R$2001,0)),"-")</f>
        <v>-</v>
      </c>
      <c r="D942" s="3" t="str">
        <f>IFERROR(INDEX(Movimientos!$E$5:$E$2001,MATCH(A942&amp;"ENTRADA",Movimientos!$R$5:$R$2001,0)),"-")</f>
        <v>-</v>
      </c>
      <c r="E942" s="3" t="str">
        <f>IFERROR(INDEX(Movimientos!$F$5:$F$2001,MATCH(A942&amp;"ENTRADA",Movimientos!$R$5:$R$2001,0)),"-")</f>
        <v>-</v>
      </c>
      <c r="F942" s="3" t="str">
        <f>IFERROR(INDEX(Movimientos!$G$5:$G$2001,MATCH(A942&amp;"ENTRADA",Movimientos!$R$5:$R$2001,0)),"-")</f>
        <v>-</v>
      </c>
      <c r="G942" s="3" t="str">
        <f>IFERROR(INDEX(Movimientos!$L$5:$L$2001,MATCH(A942&amp;"ENTRADA",Movimientos!$R$5:$R$2001,0)),"-")</f>
        <v>-</v>
      </c>
      <c r="H942" s="19" t="str">
        <f>IFERROR(IF(INDEX(Movimientos!$M$5:$M$2001,MATCH(A942&amp;"ENTRADA",Movimientos!$R$5:$R$2001,0))=0,"S/D",INDEX(Movimientos!$M$5:$M$2001,MATCH(A942&amp;"ENTRADA",Movimientos!$R$5:$R$2001,0))),"S/D")</f>
        <v>S/D</v>
      </c>
      <c r="I942" s="16" t="str">
        <f t="shared" ca="1" si="30"/>
        <v>S/D</v>
      </c>
      <c r="J942" s="6">
        <f>IF(A942="","",SUMIFS(Movimientos!$K:$K,Movimientos!$H:$H,A942))</f>
        <v>0</v>
      </c>
      <c r="K942" s="14" t="str">
        <f t="shared" ca="1" si="31"/>
        <v>OK</v>
      </c>
    </row>
    <row r="943" spans="1:11">
      <c r="A943" s="18" t="s">
        <v>3016</v>
      </c>
      <c r="B943" s="3" t="str">
        <f>IFERROR(INDEX(Movimientos!$C$5:$C$2001,MATCH(A943&amp;"ENTRADA",Movimientos!$R$5:$R$2001,0)),"-")</f>
        <v>-</v>
      </c>
      <c r="C943" s="3" t="str">
        <f>IFERROR(INDEX(Movimientos!$D$5:$D$2001,MATCH(A943&amp;"ENTRADA",Movimientos!$R$5:$R$2001,0)),"-")</f>
        <v>-</v>
      </c>
      <c r="D943" s="3" t="str">
        <f>IFERROR(INDEX(Movimientos!$E$5:$E$2001,MATCH(A943&amp;"ENTRADA",Movimientos!$R$5:$R$2001,0)),"-")</f>
        <v>-</v>
      </c>
      <c r="E943" s="3" t="str">
        <f>IFERROR(INDEX(Movimientos!$F$5:$F$2001,MATCH(A943&amp;"ENTRADA",Movimientos!$R$5:$R$2001,0)),"-")</f>
        <v>-</v>
      </c>
      <c r="F943" s="3" t="str">
        <f>IFERROR(INDEX(Movimientos!$G$5:$G$2001,MATCH(A943&amp;"ENTRADA",Movimientos!$R$5:$R$2001,0)),"-")</f>
        <v>-</v>
      </c>
      <c r="G943" s="3" t="str">
        <f>IFERROR(INDEX(Movimientos!$L$5:$L$2001,MATCH(A943&amp;"ENTRADA",Movimientos!$R$5:$R$2001,0)),"-")</f>
        <v>-</v>
      </c>
      <c r="H943" s="19" t="str">
        <f>IFERROR(IF(INDEX(Movimientos!$M$5:$M$2001,MATCH(A943&amp;"ENTRADA",Movimientos!$R$5:$R$2001,0))=0,"S/D",INDEX(Movimientos!$M$5:$M$2001,MATCH(A943&amp;"ENTRADA",Movimientos!$R$5:$R$2001,0))),"S/D")</f>
        <v>S/D</v>
      </c>
      <c r="I943" s="16" t="str">
        <f t="shared" ca="1" si="30"/>
        <v>S/D</v>
      </c>
      <c r="J943" s="6">
        <f>IF(A943="","",SUMIFS(Movimientos!$K:$K,Movimientos!$H:$H,A943))</f>
        <v>0</v>
      </c>
      <c r="K943" s="14" t="str">
        <f t="shared" ca="1" si="31"/>
        <v>OK</v>
      </c>
    </row>
    <row r="944" spans="1:11">
      <c r="A944" s="18" t="s">
        <v>3017</v>
      </c>
      <c r="B944" s="3" t="str">
        <f>IFERROR(INDEX(Movimientos!$C$5:$C$2001,MATCH(A944&amp;"ENTRADA",Movimientos!$R$5:$R$2001,0)),"-")</f>
        <v>-</v>
      </c>
      <c r="C944" s="3" t="str">
        <f>IFERROR(INDEX(Movimientos!$D$5:$D$2001,MATCH(A944&amp;"ENTRADA",Movimientos!$R$5:$R$2001,0)),"-")</f>
        <v>-</v>
      </c>
      <c r="D944" s="3" t="str">
        <f>IFERROR(INDEX(Movimientos!$E$5:$E$2001,MATCH(A944&amp;"ENTRADA",Movimientos!$R$5:$R$2001,0)),"-")</f>
        <v>-</v>
      </c>
      <c r="E944" s="3" t="str">
        <f>IFERROR(INDEX(Movimientos!$F$5:$F$2001,MATCH(A944&amp;"ENTRADA",Movimientos!$R$5:$R$2001,0)),"-")</f>
        <v>-</v>
      </c>
      <c r="F944" s="3" t="str">
        <f>IFERROR(INDEX(Movimientos!$G$5:$G$2001,MATCH(A944&amp;"ENTRADA",Movimientos!$R$5:$R$2001,0)),"-")</f>
        <v>-</v>
      </c>
      <c r="G944" s="3" t="str">
        <f>IFERROR(INDEX(Movimientos!$L$5:$L$2001,MATCH(A944&amp;"ENTRADA",Movimientos!$R$5:$R$2001,0)),"-")</f>
        <v>-</v>
      </c>
      <c r="H944" s="19" t="str">
        <f>IFERROR(IF(INDEX(Movimientos!$M$5:$M$2001,MATCH(A944&amp;"ENTRADA",Movimientos!$R$5:$R$2001,0))=0,"S/D",INDEX(Movimientos!$M$5:$M$2001,MATCH(A944&amp;"ENTRADA",Movimientos!$R$5:$R$2001,0))),"S/D")</f>
        <v>S/D</v>
      </c>
      <c r="I944" s="16" t="str">
        <f t="shared" ca="1" si="30"/>
        <v>S/D</v>
      </c>
      <c r="J944" s="6">
        <f>IF(A944="","",SUMIFS(Movimientos!$K:$K,Movimientos!$H:$H,A944))</f>
        <v>0</v>
      </c>
      <c r="K944" s="14" t="str">
        <f t="shared" ca="1" si="31"/>
        <v>OK</v>
      </c>
    </row>
    <row r="945" spans="1:11">
      <c r="A945" s="18" t="s">
        <v>3018</v>
      </c>
      <c r="B945" s="3" t="str">
        <f>IFERROR(INDEX(Movimientos!$C$5:$C$2001,MATCH(A945&amp;"ENTRADA",Movimientos!$R$5:$R$2001,0)),"-")</f>
        <v>-</v>
      </c>
      <c r="C945" s="3" t="str">
        <f>IFERROR(INDEX(Movimientos!$D$5:$D$2001,MATCH(A945&amp;"ENTRADA",Movimientos!$R$5:$R$2001,0)),"-")</f>
        <v>-</v>
      </c>
      <c r="D945" s="3" t="str">
        <f>IFERROR(INDEX(Movimientos!$E$5:$E$2001,MATCH(A945&amp;"ENTRADA",Movimientos!$R$5:$R$2001,0)),"-")</f>
        <v>-</v>
      </c>
      <c r="E945" s="3" t="str">
        <f>IFERROR(INDEX(Movimientos!$F$5:$F$2001,MATCH(A945&amp;"ENTRADA",Movimientos!$R$5:$R$2001,0)),"-")</f>
        <v>-</v>
      </c>
      <c r="F945" s="3" t="str">
        <f>IFERROR(INDEX(Movimientos!$G$5:$G$2001,MATCH(A945&amp;"ENTRADA",Movimientos!$R$5:$R$2001,0)),"-")</f>
        <v>-</v>
      </c>
      <c r="G945" s="3" t="str">
        <f>IFERROR(INDEX(Movimientos!$L$5:$L$2001,MATCH(A945&amp;"ENTRADA",Movimientos!$R$5:$R$2001,0)),"-")</f>
        <v>-</v>
      </c>
      <c r="H945" s="19" t="str">
        <f>IFERROR(IF(INDEX(Movimientos!$M$5:$M$2001,MATCH(A945&amp;"ENTRADA",Movimientos!$R$5:$R$2001,0))=0,"S/D",INDEX(Movimientos!$M$5:$M$2001,MATCH(A945&amp;"ENTRADA",Movimientos!$R$5:$R$2001,0))),"S/D")</f>
        <v>S/D</v>
      </c>
      <c r="I945" s="16" t="str">
        <f t="shared" ca="1" si="30"/>
        <v>S/D</v>
      </c>
      <c r="J945" s="6">
        <f>IF(A945="","",SUMIFS(Movimientos!$K:$K,Movimientos!$H:$H,A945))</f>
        <v>0</v>
      </c>
      <c r="K945" s="14" t="str">
        <f t="shared" ca="1" si="31"/>
        <v>OK</v>
      </c>
    </row>
    <row r="946" spans="1:11">
      <c r="A946" s="18" t="s">
        <v>3019</v>
      </c>
      <c r="B946" s="3" t="str">
        <f>IFERROR(INDEX(Movimientos!$C$5:$C$2001,MATCH(A946&amp;"ENTRADA",Movimientos!$R$5:$R$2001,0)),"-")</f>
        <v>-</v>
      </c>
      <c r="C946" s="3" t="str">
        <f>IFERROR(INDEX(Movimientos!$D$5:$D$2001,MATCH(A946&amp;"ENTRADA",Movimientos!$R$5:$R$2001,0)),"-")</f>
        <v>-</v>
      </c>
      <c r="D946" s="3" t="str">
        <f>IFERROR(INDEX(Movimientos!$E$5:$E$2001,MATCH(A946&amp;"ENTRADA",Movimientos!$R$5:$R$2001,0)),"-")</f>
        <v>-</v>
      </c>
      <c r="E946" s="3" t="str">
        <f>IFERROR(INDEX(Movimientos!$F$5:$F$2001,MATCH(A946&amp;"ENTRADA",Movimientos!$R$5:$R$2001,0)),"-")</f>
        <v>-</v>
      </c>
      <c r="F946" s="3" t="str">
        <f>IFERROR(INDEX(Movimientos!$G$5:$G$2001,MATCH(A946&amp;"ENTRADA",Movimientos!$R$5:$R$2001,0)),"-")</f>
        <v>-</v>
      </c>
      <c r="G946" s="3" t="str">
        <f>IFERROR(INDEX(Movimientos!$L$5:$L$2001,MATCH(A946&amp;"ENTRADA",Movimientos!$R$5:$R$2001,0)),"-")</f>
        <v>-</v>
      </c>
      <c r="H946" s="19" t="str">
        <f>IFERROR(IF(INDEX(Movimientos!$M$5:$M$2001,MATCH(A946&amp;"ENTRADA",Movimientos!$R$5:$R$2001,0))=0,"S/D",INDEX(Movimientos!$M$5:$M$2001,MATCH(A946&amp;"ENTRADA",Movimientos!$R$5:$R$2001,0))),"S/D")</f>
        <v>S/D</v>
      </c>
      <c r="I946" s="16" t="str">
        <f t="shared" ca="1" si="30"/>
        <v>S/D</v>
      </c>
      <c r="J946" s="6">
        <f>IF(A946="","",SUMIFS(Movimientos!$K:$K,Movimientos!$H:$H,A946))</f>
        <v>0</v>
      </c>
      <c r="K946" s="14" t="str">
        <f t="shared" ca="1" si="31"/>
        <v>OK</v>
      </c>
    </row>
    <row r="947" spans="1:11">
      <c r="A947" s="18" t="s">
        <v>3020</v>
      </c>
      <c r="B947" s="3" t="str">
        <f>IFERROR(INDEX(Movimientos!$C$5:$C$2001,MATCH(A947&amp;"ENTRADA",Movimientos!$R$5:$R$2001,0)),"-")</f>
        <v>-</v>
      </c>
      <c r="C947" s="3" t="str">
        <f>IFERROR(INDEX(Movimientos!$D$5:$D$2001,MATCH(A947&amp;"ENTRADA",Movimientos!$R$5:$R$2001,0)),"-")</f>
        <v>-</v>
      </c>
      <c r="D947" s="3" t="str">
        <f>IFERROR(INDEX(Movimientos!$E$5:$E$2001,MATCH(A947&amp;"ENTRADA",Movimientos!$R$5:$R$2001,0)),"-")</f>
        <v>-</v>
      </c>
      <c r="E947" s="3" t="str">
        <f>IFERROR(INDEX(Movimientos!$F$5:$F$2001,MATCH(A947&amp;"ENTRADA",Movimientos!$R$5:$R$2001,0)),"-")</f>
        <v>-</v>
      </c>
      <c r="F947" s="3" t="str">
        <f>IFERROR(INDEX(Movimientos!$G$5:$G$2001,MATCH(A947&amp;"ENTRADA",Movimientos!$R$5:$R$2001,0)),"-")</f>
        <v>-</v>
      </c>
      <c r="G947" s="3" t="str">
        <f>IFERROR(INDEX(Movimientos!$L$5:$L$2001,MATCH(A947&amp;"ENTRADA",Movimientos!$R$5:$R$2001,0)),"-")</f>
        <v>-</v>
      </c>
      <c r="H947" s="19" t="str">
        <f>IFERROR(IF(INDEX(Movimientos!$M$5:$M$2001,MATCH(A947&amp;"ENTRADA",Movimientos!$R$5:$R$2001,0))=0,"S/D",INDEX(Movimientos!$M$5:$M$2001,MATCH(A947&amp;"ENTRADA",Movimientos!$R$5:$R$2001,0))),"S/D")</f>
        <v>S/D</v>
      </c>
      <c r="I947" s="16" t="str">
        <f t="shared" ca="1" si="30"/>
        <v>S/D</v>
      </c>
      <c r="J947" s="6">
        <f>IF(A947="","",SUMIFS(Movimientos!$K:$K,Movimientos!$H:$H,A947))</f>
        <v>0</v>
      </c>
      <c r="K947" s="14" t="str">
        <f t="shared" ca="1" si="31"/>
        <v>OK</v>
      </c>
    </row>
    <row r="948" spans="1:11">
      <c r="A948" s="18" t="s">
        <v>3021</v>
      </c>
      <c r="B948" s="3" t="str">
        <f>IFERROR(INDEX(Movimientos!$C$5:$C$2001,MATCH(A948&amp;"ENTRADA",Movimientos!$R$5:$R$2001,0)),"-")</f>
        <v>-</v>
      </c>
      <c r="C948" s="3" t="str">
        <f>IFERROR(INDEX(Movimientos!$D$5:$D$2001,MATCH(A948&amp;"ENTRADA",Movimientos!$R$5:$R$2001,0)),"-")</f>
        <v>-</v>
      </c>
      <c r="D948" s="3" t="str">
        <f>IFERROR(INDEX(Movimientos!$E$5:$E$2001,MATCH(A948&amp;"ENTRADA",Movimientos!$R$5:$R$2001,0)),"-")</f>
        <v>-</v>
      </c>
      <c r="E948" s="3" t="str">
        <f>IFERROR(INDEX(Movimientos!$F$5:$F$2001,MATCH(A948&amp;"ENTRADA",Movimientos!$R$5:$R$2001,0)),"-")</f>
        <v>-</v>
      </c>
      <c r="F948" s="3" t="str">
        <f>IFERROR(INDEX(Movimientos!$G$5:$G$2001,MATCH(A948&amp;"ENTRADA",Movimientos!$R$5:$R$2001,0)),"-")</f>
        <v>-</v>
      </c>
      <c r="G948" s="3" t="str">
        <f>IFERROR(INDEX(Movimientos!$L$5:$L$2001,MATCH(A948&amp;"ENTRADA",Movimientos!$R$5:$R$2001,0)),"-")</f>
        <v>-</v>
      </c>
      <c r="H948" s="19" t="str">
        <f>IFERROR(IF(INDEX(Movimientos!$M$5:$M$2001,MATCH(A948&amp;"ENTRADA",Movimientos!$R$5:$R$2001,0))=0,"S/D",INDEX(Movimientos!$M$5:$M$2001,MATCH(A948&amp;"ENTRADA",Movimientos!$R$5:$R$2001,0))),"S/D")</f>
        <v>S/D</v>
      </c>
      <c r="I948" s="16" t="str">
        <f t="shared" ca="1" si="30"/>
        <v>S/D</v>
      </c>
      <c r="J948" s="6">
        <f>IF(A948="","",SUMIFS(Movimientos!$K:$K,Movimientos!$H:$H,A948))</f>
        <v>0</v>
      </c>
      <c r="K948" s="14" t="str">
        <f t="shared" ca="1" si="31"/>
        <v>OK</v>
      </c>
    </row>
    <row r="949" spans="1:11">
      <c r="A949" s="18" t="s">
        <v>3022</v>
      </c>
      <c r="B949" s="3" t="str">
        <f>IFERROR(INDEX(Movimientos!$C$5:$C$2001,MATCH(A949&amp;"ENTRADA",Movimientos!$R$5:$R$2001,0)),"-")</f>
        <v>-</v>
      </c>
      <c r="C949" s="3" t="str">
        <f>IFERROR(INDEX(Movimientos!$D$5:$D$2001,MATCH(A949&amp;"ENTRADA",Movimientos!$R$5:$R$2001,0)),"-")</f>
        <v>-</v>
      </c>
      <c r="D949" s="3" t="str">
        <f>IFERROR(INDEX(Movimientos!$E$5:$E$2001,MATCH(A949&amp;"ENTRADA",Movimientos!$R$5:$R$2001,0)),"-")</f>
        <v>-</v>
      </c>
      <c r="E949" s="3" t="str">
        <f>IFERROR(INDEX(Movimientos!$F$5:$F$2001,MATCH(A949&amp;"ENTRADA",Movimientos!$R$5:$R$2001,0)),"-")</f>
        <v>-</v>
      </c>
      <c r="F949" s="3" t="str">
        <f>IFERROR(INDEX(Movimientos!$G$5:$G$2001,MATCH(A949&amp;"ENTRADA",Movimientos!$R$5:$R$2001,0)),"-")</f>
        <v>-</v>
      </c>
      <c r="G949" s="3" t="str">
        <f>IFERROR(INDEX(Movimientos!$L$5:$L$2001,MATCH(A949&amp;"ENTRADA",Movimientos!$R$5:$R$2001,0)),"-")</f>
        <v>-</v>
      </c>
      <c r="H949" s="19" t="str">
        <f>IFERROR(IF(INDEX(Movimientos!$M$5:$M$2001,MATCH(A949&amp;"ENTRADA",Movimientos!$R$5:$R$2001,0))=0,"S/D",INDEX(Movimientos!$M$5:$M$2001,MATCH(A949&amp;"ENTRADA",Movimientos!$R$5:$R$2001,0))),"S/D")</f>
        <v>S/D</v>
      </c>
      <c r="I949" s="16" t="str">
        <f t="shared" ca="1" si="30"/>
        <v>S/D</v>
      </c>
      <c r="J949" s="6">
        <f>IF(A949="","",SUMIFS(Movimientos!$K:$K,Movimientos!$H:$H,A949))</f>
        <v>0</v>
      </c>
      <c r="K949" s="14" t="str">
        <f t="shared" ca="1" si="31"/>
        <v>OK</v>
      </c>
    </row>
    <row r="950" spans="1:11">
      <c r="A950" s="18" t="s">
        <v>3023</v>
      </c>
      <c r="B950" s="3" t="str">
        <f>IFERROR(INDEX(Movimientos!$C$5:$C$2001,MATCH(A950&amp;"ENTRADA",Movimientos!$R$5:$R$2001,0)),"-")</f>
        <v>-</v>
      </c>
      <c r="C950" s="3" t="str">
        <f>IFERROR(INDEX(Movimientos!$D$5:$D$2001,MATCH(A950&amp;"ENTRADA",Movimientos!$R$5:$R$2001,0)),"-")</f>
        <v>-</v>
      </c>
      <c r="D950" s="3" t="str">
        <f>IFERROR(INDEX(Movimientos!$E$5:$E$2001,MATCH(A950&amp;"ENTRADA",Movimientos!$R$5:$R$2001,0)),"-")</f>
        <v>-</v>
      </c>
      <c r="E950" s="3" t="str">
        <f>IFERROR(INDEX(Movimientos!$F$5:$F$2001,MATCH(A950&amp;"ENTRADA",Movimientos!$R$5:$R$2001,0)),"-")</f>
        <v>-</v>
      </c>
      <c r="F950" s="3" t="str">
        <f>IFERROR(INDEX(Movimientos!$G$5:$G$2001,MATCH(A950&amp;"ENTRADA",Movimientos!$R$5:$R$2001,0)),"-")</f>
        <v>-</v>
      </c>
      <c r="G950" s="3" t="str">
        <f>IFERROR(INDEX(Movimientos!$L$5:$L$2001,MATCH(A950&amp;"ENTRADA",Movimientos!$R$5:$R$2001,0)),"-")</f>
        <v>-</v>
      </c>
      <c r="H950" s="19" t="str">
        <f>IFERROR(IF(INDEX(Movimientos!$M$5:$M$2001,MATCH(A950&amp;"ENTRADA",Movimientos!$R$5:$R$2001,0))=0,"S/D",INDEX(Movimientos!$M$5:$M$2001,MATCH(A950&amp;"ENTRADA",Movimientos!$R$5:$R$2001,0))),"S/D")</f>
        <v>S/D</v>
      </c>
      <c r="I950" s="16" t="str">
        <f t="shared" ca="1" si="30"/>
        <v>S/D</v>
      </c>
      <c r="J950" s="6">
        <f>IF(A950="","",SUMIFS(Movimientos!$K:$K,Movimientos!$H:$H,A950))</f>
        <v>0</v>
      </c>
      <c r="K950" s="14" t="str">
        <f t="shared" ca="1" si="31"/>
        <v>OK</v>
      </c>
    </row>
    <row r="951" spans="1:11">
      <c r="A951" s="18" t="s">
        <v>3024</v>
      </c>
      <c r="B951" s="3" t="str">
        <f>IFERROR(INDEX(Movimientos!$C$5:$C$2001,MATCH(A951&amp;"ENTRADA",Movimientos!$R$5:$R$2001,0)),"-")</f>
        <v>-</v>
      </c>
      <c r="C951" s="3" t="str">
        <f>IFERROR(INDEX(Movimientos!$D$5:$D$2001,MATCH(A951&amp;"ENTRADA",Movimientos!$R$5:$R$2001,0)),"-")</f>
        <v>-</v>
      </c>
      <c r="D951" s="3" t="str">
        <f>IFERROR(INDEX(Movimientos!$E$5:$E$2001,MATCH(A951&amp;"ENTRADA",Movimientos!$R$5:$R$2001,0)),"-")</f>
        <v>-</v>
      </c>
      <c r="E951" s="3" t="str">
        <f>IFERROR(INDEX(Movimientos!$F$5:$F$2001,MATCH(A951&amp;"ENTRADA",Movimientos!$R$5:$R$2001,0)),"-")</f>
        <v>-</v>
      </c>
      <c r="F951" s="3" t="str">
        <f>IFERROR(INDEX(Movimientos!$G$5:$G$2001,MATCH(A951&amp;"ENTRADA",Movimientos!$R$5:$R$2001,0)),"-")</f>
        <v>-</v>
      </c>
      <c r="G951" s="3" t="str">
        <f>IFERROR(INDEX(Movimientos!$L$5:$L$2001,MATCH(A951&amp;"ENTRADA",Movimientos!$R$5:$R$2001,0)),"-")</f>
        <v>-</v>
      </c>
      <c r="H951" s="19" t="str">
        <f>IFERROR(IF(INDEX(Movimientos!$M$5:$M$2001,MATCH(A951&amp;"ENTRADA",Movimientos!$R$5:$R$2001,0))=0,"S/D",INDEX(Movimientos!$M$5:$M$2001,MATCH(A951&amp;"ENTRADA",Movimientos!$R$5:$R$2001,0))),"S/D")</f>
        <v>S/D</v>
      </c>
      <c r="I951" s="16" t="str">
        <f t="shared" ca="1" si="30"/>
        <v>S/D</v>
      </c>
      <c r="J951" s="6">
        <f>IF(A951="","",SUMIFS(Movimientos!$K:$K,Movimientos!$H:$H,A951))</f>
        <v>0</v>
      </c>
      <c r="K951" s="14" t="str">
        <f t="shared" ca="1" si="31"/>
        <v>OK</v>
      </c>
    </row>
    <row r="952" spans="1:11">
      <c r="A952" s="18" t="s">
        <v>3025</v>
      </c>
      <c r="B952" s="3" t="str">
        <f>IFERROR(INDEX(Movimientos!$C$5:$C$2001,MATCH(A952&amp;"ENTRADA",Movimientos!$R$5:$R$2001,0)),"-")</f>
        <v>-</v>
      </c>
      <c r="C952" s="3" t="str">
        <f>IFERROR(INDEX(Movimientos!$D$5:$D$2001,MATCH(A952&amp;"ENTRADA",Movimientos!$R$5:$R$2001,0)),"-")</f>
        <v>-</v>
      </c>
      <c r="D952" s="3" t="str">
        <f>IFERROR(INDEX(Movimientos!$E$5:$E$2001,MATCH(A952&amp;"ENTRADA",Movimientos!$R$5:$R$2001,0)),"-")</f>
        <v>-</v>
      </c>
      <c r="E952" s="3" t="str">
        <f>IFERROR(INDEX(Movimientos!$F$5:$F$2001,MATCH(A952&amp;"ENTRADA",Movimientos!$R$5:$R$2001,0)),"-")</f>
        <v>-</v>
      </c>
      <c r="F952" s="3" t="str">
        <f>IFERROR(INDEX(Movimientos!$G$5:$G$2001,MATCH(A952&amp;"ENTRADA",Movimientos!$R$5:$R$2001,0)),"-")</f>
        <v>-</v>
      </c>
      <c r="G952" s="3" t="str">
        <f>IFERROR(INDEX(Movimientos!$L$5:$L$2001,MATCH(A952&amp;"ENTRADA",Movimientos!$R$5:$R$2001,0)),"-")</f>
        <v>-</v>
      </c>
      <c r="H952" s="19" t="str">
        <f>IFERROR(IF(INDEX(Movimientos!$M$5:$M$2001,MATCH(A952&amp;"ENTRADA",Movimientos!$R$5:$R$2001,0))=0,"S/D",INDEX(Movimientos!$M$5:$M$2001,MATCH(A952&amp;"ENTRADA",Movimientos!$R$5:$R$2001,0))),"S/D")</f>
        <v>S/D</v>
      </c>
      <c r="I952" s="16" t="str">
        <f t="shared" ca="1" si="30"/>
        <v>S/D</v>
      </c>
      <c r="J952" s="6">
        <f>IF(A952="","",SUMIFS(Movimientos!$K:$K,Movimientos!$H:$H,A952))</f>
        <v>0</v>
      </c>
      <c r="K952" s="14" t="str">
        <f t="shared" ca="1" si="31"/>
        <v>OK</v>
      </c>
    </row>
    <row r="953" spans="1:11">
      <c r="A953" s="18" t="s">
        <v>3026</v>
      </c>
      <c r="B953" s="3" t="str">
        <f>IFERROR(INDEX(Movimientos!$C$5:$C$2001,MATCH(A953&amp;"ENTRADA",Movimientos!$R$5:$R$2001,0)),"-")</f>
        <v>-</v>
      </c>
      <c r="C953" s="3" t="str">
        <f>IFERROR(INDEX(Movimientos!$D$5:$D$2001,MATCH(A953&amp;"ENTRADA",Movimientos!$R$5:$R$2001,0)),"-")</f>
        <v>-</v>
      </c>
      <c r="D953" s="3" t="str">
        <f>IFERROR(INDEX(Movimientos!$E$5:$E$2001,MATCH(A953&amp;"ENTRADA",Movimientos!$R$5:$R$2001,0)),"-")</f>
        <v>-</v>
      </c>
      <c r="E953" s="3" t="str">
        <f>IFERROR(INDEX(Movimientos!$F$5:$F$2001,MATCH(A953&amp;"ENTRADA",Movimientos!$R$5:$R$2001,0)),"-")</f>
        <v>-</v>
      </c>
      <c r="F953" s="3" t="str">
        <f>IFERROR(INDEX(Movimientos!$G$5:$G$2001,MATCH(A953&amp;"ENTRADA",Movimientos!$R$5:$R$2001,0)),"-")</f>
        <v>-</v>
      </c>
      <c r="G953" s="3" t="str">
        <f>IFERROR(INDEX(Movimientos!$L$5:$L$2001,MATCH(A953&amp;"ENTRADA",Movimientos!$R$5:$R$2001,0)),"-")</f>
        <v>-</v>
      </c>
      <c r="H953" s="19" t="str">
        <f>IFERROR(IF(INDEX(Movimientos!$M$5:$M$2001,MATCH(A953&amp;"ENTRADA",Movimientos!$R$5:$R$2001,0))=0,"S/D",INDEX(Movimientos!$M$5:$M$2001,MATCH(A953&amp;"ENTRADA",Movimientos!$R$5:$R$2001,0))),"S/D")</f>
        <v>S/D</v>
      </c>
      <c r="I953" s="16" t="str">
        <f t="shared" ca="1" si="30"/>
        <v>S/D</v>
      </c>
      <c r="J953" s="6">
        <f>IF(A953="","",SUMIFS(Movimientos!$K:$K,Movimientos!$H:$H,A953))</f>
        <v>0</v>
      </c>
      <c r="K953" s="14" t="str">
        <f t="shared" ca="1" si="31"/>
        <v>OK</v>
      </c>
    </row>
    <row r="954" spans="1:11">
      <c r="A954" s="18" t="s">
        <v>3027</v>
      </c>
      <c r="B954" s="3" t="str">
        <f>IFERROR(INDEX(Movimientos!$C$5:$C$2001,MATCH(A954&amp;"ENTRADA",Movimientos!$R$5:$R$2001,0)),"-")</f>
        <v>-</v>
      </c>
      <c r="C954" s="3" t="str">
        <f>IFERROR(INDEX(Movimientos!$D$5:$D$2001,MATCH(A954&amp;"ENTRADA",Movimientos!$R$5:$R$2001,0)),"-")</f>
        <v>-</v>
      </c>
      <c r="D954" s="3" t="str">
        <f>IFERROR(INDEX(Movimientos!$E$5:$E$2001,MATCH(A954&amp;"ENTRADA",Movimientos!$R$5:$R$2001,0)),"-")</f>
        <v>-</v>
      </c>
      <c r="E954" s="3" t="str">
        <f>IFERROR(INDEX(Movimientos!$F$5:$F$2001,MATCH(A954&amp;"ENTRADA",Movimientos!$R$5:$R$2001,0)),"-")</f>
        <v>-</v>
      </c>
      <c r="F954" s="3" t="str">
        <f>IFERROR(INDEX(Movimientos!$G$5:$G$2001,MATCH(A954&amp;"ENTRADA",Movimientos!$R$5:$R$2001,0)),"-")</f>
        <v>-</v>
      </c>
      <c r="G954" s="3" t="str">
        <f>IFERROR(INDEX(Movimientos!$L$5:$L$2001,MATCH(A954&amp;"ENTRADA",Movimientos!$R$5:$R$2001,0)),"-")</f>
        <v>-</v>
      </c>
      <c r="H954" s="19" t="str">
        <f>IFERROR(IF(INDEX(Movimientos!$M$5:$M$2001,MATCH(A954&amp;"ENTRADA",Movimientos!$R$5:$R$2001,0))=0,"S/D",INDEX(Movimientos!$M$5:$M$2001,MATCH(A954&amp;"ENTRADA",Movimientos!$R$5:$R$2001,0))),"S/D")</f>
        <v>S/D</v>
      </c>
      <c r="I954" s="16" t="str">
        <f t="shared" ca="1" si="30"/>
        <v>S/D</v>
      </c>
      <c r="J954" s="6">
        <f>IF(A954="","",SUMIFS(Movimientos!$K:$K,Movimientos!$H:$H,A954))</f>
        <v>0</v>
      </c>
      <c r="K954" s="14" t="str">
        <f t="shared" ca="1" si="31"/>
        <v>OK</v>
      </c>
    </row>
    <row r="955" spans="1:11">
      <c r="A955" s="18" t="s">
        <v>3028</v>
      </c>
      <c r="B955" s="3" t="str">
        <f>IFERROR(INDEX(Movimientos!$C$5:$C$2001,MATCH(A955&amp;"ENTRADA",Movimientos!$R$5:$R$2001,0)),"-")</f>
        <v>-</v>
      </c>
      <c r="C955" s="3" t="str">
        <f>IFERROR(INDEX(Movimientos!$D$5:$D$2001,MATCH(A955&amp;"ENTRADA",Movimientos!$R$5:$R$2001,0)),"-")</f>
        <v>-</v>
      </c>
      <c r="D955" s="3" t="str">
        <f>IFERROR(INDEX(Movimientos!$E$5:$E$2001,MATCH(A955&amp;"ENTRADA",Movimientos!$R$5:$R$2001,0)),"-")</f>
        <v>-</v>
      </c>
      <c r="E955" s="3" t="str">
        <f>IFERROR(INDEX(Movimientos!$F$5:$F$2001,MATCH(A955&amp;"ENTRADA",Movimientos!$R$5:$R$2001,0)),"-")</f>
        <v>-</v>
      </c>
      <c r="F955" s="3" t="str">
        <f>IFERROR(INDEX(Movimientos!$G$5:$G$2001,MATCH(A955&amp;"ENTRADA",Movimientos!$R$5:$R$2001,0)),"-")</f>
        <v>-</v>
      </c>
      <c r="G955" s="3" t="str">
        <f>IFERROR(INDEX(Movimientos!$L$5:$L$2001,MATCH(A955&amp;"ENTRADA",Movimientos!$R$5:$R$2001,0)),"-")</f>
        <v>-</v>
      </c>
      <c r="H955" s="19" t="str">
        <f>IFERROR(IF(INDEX(Movimientos!$M$5:$M$2001,MATCH(A955&amp;"ENTRADA",Movimientos!$R$5:$R$2001,0))=0,"S/D",INDEX(Movimientos!$M$5:$M$2001,MATCH(A955&amp;"ENTRADA",Movimientos!$R$5:$R$2001,0))),"S/D")</f>
        <v>S/D</v>
      </c>
      <c r="I955" s="16" t="str">
        <f t="shared" ca="1" si="30"/>
        <v>S/D</v>
      </c>
      <c r="J955" s="6">
        <f>IF(A955="","",SUMIFS(Movimientos!$K:$K,Movimientos!$H:$H,A955))</f>
        <v>0</v>
      </c>
      <c r="K955" s="14" t="str">
        <f t="shared" ca="1" si="31"/>
        <v>OK</v>
      </c>
    </row>
    <row r="956" spans="1:11">
      <c r="A956" s="18" t="s">
        <v>3029</v>
      </c>
      <c r="B956" s="3" t="str">
        <f>IFERROR(INDEX(Movimientos!$C$5:$C$2001,MATCH(A956&amp;"ENTRADA",Movimientos!$R$5:$R$2001,0)),"-")</f>
        <v>-</v>
      </c>
      <c r="C956" s="3" t="str">
        <f>IFERROR(INDEX(Movimientos!$D$5:$D$2001,MATCH(A956&amp;"ENTRADA",Movimientos!$R$5:$R$2001,0)),"-")</f>
        <v>-</v>
      </c>
      <c r="D956" s="3" t="str">
        <f>IFERROR(INDEX(Movimientos!$E$5:$E$2001,MATCH(A956&amp;"ENTRADA",Movimientos!$R$5:$R$2001,0)),"-")</f>
        <v>-</v>
      </c>
      <c r="E956" s="3" t="str">
        <f>IFERROR(INDEX(Movimientos!$F$5:$F$2001,MATCH(A956&amp;"ENTRADA",Movimientos!$R$5:$R$2001,0)),"-")</f>
        <v>-</v>
      </c>
      <c r="F956" s="3" t="str">
        <f>IFERROR(INDEX(Movimientos!$G$5:$G$2001,MATCH(A956&amp;"ENTRADA",Movimientos!$R$5:$R$2001,0)),"-")</f>
        <v>-</v>
      </c>
      <c r="G956" s="3" t="str">
        <f>IFERROR(INDEX(Movimientos!$L$5:$L$2001,MATCH(A956&amp;"ENTRADA",Movimientos!$R$5:$R$2001,0)),"-")</f>
        <v>-</v>
      </c>
      <c r="H956" s="19" t="str">
        <f>IFERROR(IF(INDEX(Movimientos!$M$5:$M$2001,MATCH(A956&amp;"ENTRADA",Movimientos!$R$5:$R$2001,0))=0,"S/D",INDEX(Movimientos!$M$5:$M$2001,MATCH(A956&amp;"ENTRADA",Movimientos!$R$5:$R$2001,0))),"S/D")</f>
        <v>S/D</v>
      </c>
      <c r="I956" s="16" t="str">
        <f t="shared" ca="1" si="30"/>
        <v>S/D</v>
      </c>
      <c r="J956" s="6">
        <f>IF(A956="","",SUMIFS(Movimientos!$K:$K,Movimientos!$H:$H,A956))</f>
        <v>0</v>
      </c>
      <c r="K956" s="14" t="str">
        <f t="shared" ca="1" si="31"/>
        <v>OK</v>
      </c>
    </row>
    <row r="957" spans="1:11">
      <c r="A957" s="18" t="s">
        <v>3030</v>
      </c>
      <c r="B957" s="3" t="str">
        <f>IFERROR(INDEX(Movimientos!$C$5:$C$2001,MATCH(A957&amp;"ENTRADA",Movimientos!$R$5:$R$2001,0)),"-")</f>
        <v>-</v>
      </c>
      <c r="C957" s="3" t="str">
        <f>IFERROR(INDEX(Movimientos!$D$5:$D$2001,MATCH(A957&amp;"ENTRADA",Movimientos!$R$5:$R$2001,0)),"-")</f>
        <v>-</v>
      </c>
      <c r="D957" s="3" t="str">
        <f>IFERROR(INDEX(Movimientos!$E$5:$E$2001,MATCH(A957&amp;"ENTRADA",Movimientos!$R$5:$R$2001,0)),"-")</f>
        <v>-</v>
      </c>
      <c r="E957" s="3" t="str">
        <f>IFERROR(INDEX(Movimientos!$F$5:$F$2001,MATCH(A957&amp;"ENTRADA",Movimientos!$R$5:$R$2001,0)),"-")</f>
        <v>-</v>
      </c>
      <c r="F957" s="3" t="str">
        <f>IFERROR(INDEX(Movimientos!$G$5:$G$2001,MATCH(A957&amp;"ENTRADA",Movimientos!$R$5:$R$2001,0)),"-")</f>
        <v>-</v>
      </c>
      <c r="G957" s="3" t="str">
        <f>IFERROR(INDEX(Movimientos!$L$5:$L$2001,MATCH(A957&amp;"ENTRADA",Movimientos!$R$5:$R$2001,0)),"-")</f>
        <v>-</v>
      </c>
      <c r="H957" s="19" t="str">
        <f>IFERROR(IF(INDEX(Movimientos!$M$5:$M$2001,MATCH(A957&amp;"ENTRADA",Movimientos!$R$5:$R$2001,0))=0,"S/D",INDEX(Movimientos!$M$5:$M$2001,MATCH(A957&amp;"ENTRADA",Movimientos!$R$5:$R$2001,0))),"S/D")</f>
        <v>S/D</v>
      </c>
      <c r="I957" s="16" t="str">
        <f t="shared" ca="1" si="30"/>
        <v>S/D</v>
      </c>
      <c r="J957" s="6">
        <f>IF(A957="","",SUMIFS(Movimientos!$K:$K,Movimientos!$H:$H,A957))</f>
        <v>0</v>
      </c>
      <c r="K957" s="14" t="str">
        <f t="shared" ca="1" si="31"/>
        <v>OK</v>
      </c>
    </row>
    <row r="958" spans="1:11">
      <c r="A958" s="18" t="s">
        <v>3031</v>
      </c>
      <c r="B958" s="3" t="str">
        <f>IFERROR(INDEX(Movimientos!$C$5:$C$2001,MATCH(A958&amp;"ENTRADA",Movimientos!$R$5:$R$2001,0)),"-")</f>
        <v>-</v>
      </c>
      <c r="C958" s="3" t="str">
        <f>IFERROR(INDEX(Movimientos!$D$5:$D$2001,MATCH(A958&amp;"ENTRADA",Movimientos!$R$5:$R$2001,0)),"-")</f>
        <v>-</v>
      </c>
      <c r="D958" s="3" t="str">
        <f>IFERROR(INDEX(Movimientos!$E$5:$E$2001,MATCH(A958&amp;"ENTRADA",Movimientos!$R$5:$R$2001,0)),"-")</f>
        <v>-</v>
      </c>
      <c r="E958" s="3" t="str">
        <f>IFERROR(INDEX(Movimientos!$F$5:$F$2001,MATCH(A958&amp;"ENTRADA",Movimientos!$R$5:$R$2001,0)),"-")</f>
        <v>-</v>
      </c>
      <c r="F958" s="3" t="str">
        <f>IFERROR(INDEX(Movimientos!$G$5:$G$2001,MATCH(A958&amp;"ENTRADA",Movimientos!$R$5:$R$2001,0)),"-")</f>
        <v>-</v>
      </c>
      <c r="G958" s="3" t="str">
        <f>IFERROR(INDEX(Movimientos!$L$5:$L$2001,MATCH(A958&amp;"ENTRADA",Movimientos!$R$5:$R$2001,0)),"-")</f>
        <v>-</v>
      </c>
      <c r="H958" s="19" t="str">
        <f>IFERROR(IF(INDEX(Movimientos!$M$5:$M$2001,MATCH(A958&amp;"ENTRADA",Movimientos!$R$5:$R$2001,0))=0,"S/D",INDEX(Movimientos!$M$5:$M$2001,MATCH(A958&amp;"ENTRADA",Movimientos!$R$5:$R$2001,0))),"S/D")</f>
        <v>S/D</v>
      </c>
      <c r="I958" s="16" t="str">
        <f t="shared" ca="1" si="30"/>
        <v>S/D</v>
      </c>
      <c r="J958" s="6">
        <f>IF(A958="","",SUMIFS(Movimientos!$K:$K,Movimientos!$H:$H,A958))</f>
        <v>0</v>
      </c>
      <c r="K958" s="14" t="str">
        <f t="shared" ca="1" si="31"/>
        <v>OK</v>
      </c>
    </row>
    <row r="959" spans="1:11">
      <c r="A959" s="18" t="s">
        <v>3032</v>
      </c>
      <c r="B959" s="3" t="str">
        <f>IFERROR(INDEX(Movimientos!$C$5:$C$2001,MATCH(A959&amp;"ENTRADA",Movimientos!$R$5:$R$2001,0)),"-")</f>
        <v>-</v>
      </c>
      <c r="C959" s="3" t="str">
        <f>IFERROR(INDEX(Movimientos!$D$5:$D$2001,MATCH(A959&amp;"ENTRADA",Movimientos!$R$5:$R$2001,0)),"-")</f>
        <v>-</v>
      </c>
      <c r="D959" s="3" t="str">
        <f>IFERROR(INDEX(Movimientos!$E$5:$E$2001,MATCH(A959&amp;"ENTRADA",Movimientos!$R$5:$R$2001,0)),"-")</f>
        <v>-</v>
      </c>
      <c r="E959" s="3" t="str">
        <f>IFERROR(INDEX(Movimientos!$F$5:$F$2001,MATCH(A959&amp;"ENTRADA",Movimientos!$R$5:$R$2001,0)),"-")</f>
        <v>-</v>
      </c>
      <c r="F959" s="3" t="str">
        <f>IFERROR(INDEX(Movimientos!$G$5:$G$2001,MATCH(A959&amp;"ENTRADA",Movimientos!$R$5:$R$2001,0)),"-")</f>
        <v>-</v>
      </c>
      <c r="G959" s="3" t="str">
        <f>IFERROR(INDEX(Movimientos!$L$5:$L$2001,MATCH(A959&amp;"ENTRADA",Movimientos!$R$5:$R$2001,0)),"-")</f>
        <v>-</v>
      </c>
      <c r="H959" s="19" t="str">
        <f>IFERROR(IF(INDEX(Movimientos!$M$5:$M$2001,MATCH(A959&amp;"ENTRADA",Movimientos!$R$5:$R$2001,0))=0,"S/D",INDEX(Movimientos!$M$5:$M$2001,MATCH(A959&amp;"ENTRADA",Movimientos!$R$5:$R$2001,0))),"S/D")</f>
        <v>S/D</v>
      </c>
      <c r="I959" s="16" t="str">
        <f t="shared" ca="1" si="30"/>
        <v>S/D</v>
      </c>
      <c r="J959" s="6">
        <f>IF(A959="","",SUMIFS(Movimientos!$K:$K,Movimientos!$H:$H,A959))</f>
        <v>0</v>
      </c>
      <c r="K959" s="14" t="str">
        <f t="shared" ca="1" si="31"/>
        <v>OK</v>
      </c>
    </row>
    <row r="960" spans="1:11">
      <c r="A960" s="18" t="s">
        <v>3033</v>
      </c>
      <c r="B960" s="3" t="str">
        <f>IFERROR(INDEX(Movimientos!$C$5:$C$2001,MATCH(A960&amp;"ENTRADA",Movimientos!$R$5:$R$2001,0)),"-")</f>
        <v>-</v>
      </c>
      <c r="C960" s="3" t="str">
        <f>IFERROR(INDEX(Movimientos!$D$5:$D$2001,MATCH(A960&amp;"ENTRADA",Movimientos!$R$5:$R$2001,0)),"-")</f>
        <v>-</v>
      </c>
      <c r="D960" s="3" t="str">
        <f>IFERROR(INDEX(Movimientos!$E$5:$E$2001,MATCH(A960&amp;"ENTRADA",Movimientos!$R$5:$R$2001,0)),"-")</f>
        <v>-</v>
      </c>
      <c r="E960" s="3" t="str">
        <f>IFERROR(INDEX(Movimientos!$F$5:$F$2001,MATCH(A960&amp;"ENTRADA",Movimientos!$R$5:$R$2001,0)),"-")</f>
        <v>-</v>
      </c>
      <c r="F960" s="3" t="str">
        <f>IFERROR(INDEX(Movimientos!$G$5:$G$2001,MATCH(A960&amp;"ENTRADA",Movimientos!$R$5:$R$2001,0)),"-")</f>
        <v>-</v>
      </c>
      <c r="G960" s="3" t="str">
        <f>IFERROR(INDEX(Movimientos!$L$5:$L$2001,MATCH(A960&amp;"ENTRADA",Movimientos!$R$5:$R$2001,0)),"-")</f>
        <v>-</v>
      </c>
      <c r="H960" s="19" t="str">
        <f>IFERROR(IF(INDEX(Movimientos!$M$5:$M$2001,MATCH(A960&amp;"ENTRADA",Movimientos!$R$5:$R$2001,0))=0,"S/D",INDEX(Movimientos!$M$5:$M$2001,MATCH(A960&amp;"ENTRADA",Movimientos!$R$5:$R$2001,0))),"S/D")</f>
        <v>S/D</v>
      </c>
      <c r="I960" s="16" t="str">
        <f t="shared" ca="1" si="30"/>
        <v>S/D</v>
      </c>
      <c r="J960" s="6">
        <f>IF(A960="","",SUMIFS(Movimientos!$K:$K,Movimientos!$H:$H,A960))</f>
        <v>0</v>
      </c>
      <c r="K960" s="14" t="str">
        <f t="shared" ca="1" si="31"/>
        <v>OK</v>
      </c>
    </row>
    <row r="961" spans="1:11">
      <c r="A961" s="18" t="s">
        <v>3034</v>
      </c>
      <c r="B961" s="3" t="str">
        <f>IFERROR(INDEX(Movimientos!$C$5:$C$2001,MATCH(A961&amp;"ENTRADA",Movimientos!$R$5:$R$2001,0)),"-")</f>
        <v>-</v>
      </c>
      <c r="C961" s="3" t="str">
        <f>IFERROR(INDEX(Movimientos!$D$5:$D$2001,MATCH(A961&amp;"ENTRADA",Movimientos!$R$5:$R$2001,0)),"-")</f>
        <v>-</v>
      </c>
      <c r="D961" s="3" t="str">
        <f>IFERROR(INDEX(Movimientos!$E$5:$E$2001,MATCH(A961&amp;"ENTRADA",Movimientos!$R$5:$R$2001,0)),"-")</f>
        <v>-</v>
      </c>
      <c r="E961" s="3" t="str">
        <f>IFERROR(INDEX(Movimientos!$F$5:$F$2001,MATCH(A961&amp;"ENTRADA",Movimientos!$R$5:$R$2001,0)),"-")</f>
        <v>-</v>
      </c>
      <c r="F961" s="3" t="str">
        <f>IFERROR(INDEX(Movimientos!$G$5:$G$2001,MATCH(A961&amp;"ENTRADA",Movimientos!$R$5:$R$2001,0)),"-")</f>
        <v>-</v>
      </c>
      <c r="G961" s="3" t="str">
        <f>IFERROR(INDEX(Movimientos!$L$5:$L$2001,MATCH(A961&amp;"ENTRADA",Movimientos!$R$5:$R$2001,0)),"-")</f>
        <v>-</v>
      </c>
      <c r="H961" s="19" t="str">
        <f>IFERROR(IF(INDEX(Movimientos!$M$5:$M$2001,MATCH(A961&amp;"ENTRADA",Movimientos!$R$5:$R$2001,0))=0,"S/D",INDEX(Movimientos!$M$5:$M$2001,MATCH(A961&amp;"ENTRADA",Movimientos!$R$5:$R$2001,0))),"S/D")</f>
        <v>S/D</v>
      </c>
      <c r="I961" s="16" t="str">
        <f t="shared" ca="1" si="30"/>
        <v>S/D</v>
      </c>
      <c r="J961" s="6">
        <f>IF(A961="","",SUMIFS(Movimientos!$K:$K,Movimientos!$H:$H,A961))</f>
        <v>0</v>
      </c>
      <c r="K961" s="14" t="str">
        <f t="shared" ca="1" si="31"/>
        <v>OK</v>
      </c>
    </row>
    <row r="962" spans="1:11">
      <c r="A962" s="18" t="s">
        <v>3035</v>
      </c>
      <c r="B962" s="3" t="str">
        <f>IFERROR(INDEX(Movimientos!$C$5:$C$2001,MATCH(A962&amp;"ENTRADA",Movimientos!$R$5:$R$2001,0)),"-")</f>
        <v>-</v>
      </c>
      <c r="C962" s="3" t="str">
        <f>IFERROR(INDEX(Movimientos!$D$5:$D$2001,MATCH(A962&amp;"ENTRADA",Movimientos!$R$5:$R$2001,0)),"-")</f>
        <v>-</v>
      </c>
      <c r="D962" s="3" t="str">
        <f>IFERROR(INDEX(Movimientos!$E$5:$E$2001,MATCH(A962&amp;"ENTRADA",Movimientos!$R$5:$R$2001,0)),"-")</f>
        <v>-</v>
      </c>
      <c r="E962" s="3" t="str">
        <f>IFERROR(INDEX(Movimientos!$F$5:$F$2001,MATCH(A962&amp;"ENTRADA",Movimientos!$R$5:$R$2001,0)),"-")</f>
        <v>-</v>
      </c>
      <c r="F962" s="3" t="str">
        <f>IFERROR(INDEX(Movimientos!$G$5:$G$2001,MATCH(A962&amp;"ENTRADA",Movimientos!$R$5:$R$2001,0)),"-")</f>
        <v>-</v>
      </c>
      <c r="G962" s="3" t="str">
        <f>IFERROR(INDEX(Movimientos!$L$5:$L$2001,MATCH(A962&amp;"ENTRADA",Movimientos!$R$5:$R$2001,0)),"-")</f>
        <v>-</v>
      </c>
      <c r="H962" s="19" t="str">
        <f>IFERROR(IF(INDEX(Movimientos!$M$5:$M$2001,MATCH(A962&amp;"ENTRADA",Movimientos!$R$5:$R$2001,0))=0,"S/D",INDEX(Movimientos!$M$5:$M$2001,MATCH(A962&amp;"ENTRADA",Movimientos!$R$5:$R$2001,0))),"S/D")</f>
        <v>S/D</v>
      </c>
      <c r="I962" s="16" t="str">
        <f t="shared" ca="1" si="30"/>
        <v>S/D</v>
      </c>
      <c r="J962" s="6">
        <f>IF(A962="","",SUMIFS(Movimientos!$K:$K,Movimientos!$H:$H,A962))</f>
        <v>0</v>
      </c>
      <c r="K962" s="14" t="str">
        <f t="shared" ca="1" si="31"/>
        <v>OK</v>
      </c>
    </row>
    <row r="963" spans="1:11">
      <c r="A963" s="18" t="s">
        <v>3036</v>
      </c>
      <c r="B963" s="3" t="str">
        <f>IFERROR(INDEX(Movimientos!$C$5:$C$2001,MATCH(A963&amp;"ENTRADA",Movimientos!$R$5:$R$2001,0)),"-")</f>
        <v>-</v>
      </c>
      <c r="C963" s="3" t="str">
        <f>IFERROR(INDEX(Movimientos!$D$5:$D$2001,MATCH(A963&amp;"ENTRADA",Movimientos!$R$5:$R$2001,0)),"-")</f>
        <v>-</v>
      </c>
      <c r="D963" s="3" t="str">
        <f>IFERROR(INDEX(Movimientos!$E$5:$E$2001,MATCH(A963&amp;"ENTRADA",Movimientos!$R$5:$R$2001,0)),"-")</f>
        <v>-</v>
      </c>
      <c r="E963" s="3" t="str">
        <f>IFERROR(INDEX(Movimientos!$F$5:$F$2001,MATCH(A963&amp;"ENTRADA",Movimientos!$R$5:$R$2001,0)),"-")</f>
        <v>-</v>
      </c>
      <c r="F963" s="3" t="str">
        <f>IFERROR(INDEX(Movimientos!$G$5:$G$2001,MATCH(A963&amp;"ENTRADA",Movimientos!$R$5:$R$2001,0)),"-")</f>
        <v>-</v>
      </c>
      <c r="G963" s="3" t="str">
        <f>IFERROR(INDEX(Movimientos!$L$5:$L$2001,MATCH(A963&amp;"ENTRADA",Movimientos!$R$5:$R$2001,0)),"-")</f>
        <v>-</v>
      </c>
      <c r="H963" s="19" t="str">
        <f>IFERROR(IF(INDEX(Movimientos!$M$5:$M$2001,MATCH(A963&amp;"ENTRADA",Movimientos!$R$5:$R$2001,0))=0,"S/D",INDEX(Movimientos!$M$5:$M$2001,MATCH(A963&amp;"ENTRADA",Movimientos!$R$5:$R$2001,0))),"S/D")</f>
        <v>S/D</v>
      </c>
      <c r="I963" s="16" t="str">
        <f t="shared" ca="1" si="30"/>
        <v>S/D</v>
      </c>
      <c r="J963" s="6">
        <f>IF(A963="","",SUMIFS(Movimientos!$K:$K,Movimientos!$H:$H,A963))</f>
        <v>0</v>
      </c>
      <c r="K963" s="14" t="str">
        <f t="shared" ca="1" si="31"/>
        <v>OK</v>
      </c>
    </row>
    <row r="964" spans="1:11">
      <c r="A964" s="18" t="s">
        <v>3037</v>
      </c>
      <c r="B964" s="3" t="str">
        <f>IFERROR(INDEX(Movimientos!$C$5:$C$2001,MATCH(A964&amp;"ENTRADA",Movimientos!$R$5:$R$2001,0)),"-")</f>
        <v>-</v>
      </c>
      <c r="C964" s="3" t="str">
        <f>IFERROR(INDEX(Movimientos!$D$5:$D$2001,MATCH(A964&amp;"ENTRADA",Movimientos!$R$5:$R$2001,0)),"-")</f>
        <v>-</v>
      </c>
      <c r="D964" s="3" t="str">
        <f>IFERROR(INDEX(Movimientos!$E$5:$E$2001,MATCH(A964&amp;"ENTRADA",Movimientos!$R$5:$R$2001,0)),"-")</f>
        <v>-</v>
      </c>
      <c r="E964" s="3" t="str">
        <f>IFERROR(INDEX(Movimientos!$F$5:$F$2001,MATCH(A964&amp;"ENTRADA",Movimientos!$R$5:$R$2001,0)),"-")</f>
        <v>-</v>
      </c>
      <c r="F964" s="3" t="str">
        <f>IFERROR(INDEX(Movimientos!$G$5:$G$2001,MATCH(A964&amp;"ENTRADA",Movimientos!$R$5:$R$2001,0)),"-")</f>
        <v>-</v>
      </c>
      <c r="G964" s="3" t="str">
        <f>IFERROR(INDEX(Movimientos!$L$5:$L$2001,MATCH(A964&amp;"ENTRADA",Movimientos!$R$5:$R$2001,0)),"-")</f>
        <v>-</v>
      </c>
      <c r="H964" s="19" t="str">
        <f>IFERROR(IF(INDEX(Movimientos!$M$5:$M$2001,MATCH(A964&amp;"ENTRADA",Movimientos!$R$5:$R$2001,0))=0,"S/D",INDEX(Movimientos!$M$5:$M$2001,MATCH(A964&amp;"ENTRADA",Movimientos!$R$5:$R$2001,0))),"S/D")</f>
        <v>S/D</v>
      </c>
      <c r="I964" s="16" t="str">
        <f t="shared" ca="1" si="30"/>
        <v>S/D</v>
      </c>
      <c r="J964" s="6">
        <f>IF(A964="","",SUMIFS(Movimientos!$K:$K,Movimientos!$H:$H,A964))</f>
        <v>0</v>
      </c>
      <c r="K964" s="14" t="str">
        <f t="shared" ca="1" si="31"/>
        <v>OK</v>
      </c>
    </row>
    <row r="965" spans="1:11">
      <c r="A965" s="18" t="s">
        <v>3038</v>
      </c>
      <c r="B965" s="3" t="str">
        <f>IFERROR(INDEX(Movimientos!$C$5:$C$2001,MATCH(A965&amp;"ENTRADA",Movimientos!$R$5:$R$2001,0)),"-")</f>
        <v>-</v>
      </c>
      <c r="C965" s="3" t="str">
        <f>IFERROR(INDEX(Movimientos!$D$5:$D$2001,MATCH(A965&amp;"ENTRADA",Movimientos!$R$5:$R$2001,0)),"-")</f>
        <v>-</v>
      </c>
      <c r="D965" s="3" t="str">
        <f>IFERROR(INDEX(Movimientos!$E$5:$E$2001,MATCH(A965&amp;"ENTRADA",Movimientos!$R$5:$R$2001,0)),"-")</f>
        <v>-</v>
      </c>
      <c r="E965" s="3" t="str">
        <f>IFERROR(INDEX(Movimientos!$F$5:$F$2001,MATCH(A965&amp;"ENTRADA",Movimientos!$R$5:$R$2001,0)),"-")</f>
        <v>-</v>
      </c>
      <c r="F965" s="3" t="str">
        <f>IFERROR(INDEX(Movimientos!$G$5:$G$2001,MATCH(A965&amp;"ENTRADA",Movimientos!$R$5:$R$2001,0)),"-")</f>
        <v>-</v>
      </c>
      <c r="G965" s="3" t="str">
        <f>IFERROR(INDEX(Movimientos!$L$5:$L$2001,MATCH(A965&amp;"ENTRADA",Movimientos!$R$5:$R$2001,0)),"-")</f>
        <v>-</v>
      </c>
      <c r="H965" s="19" t="str">
        <f>IFERROR(IF(INDEX(Movimientos!$M$5:$M$2001,MATCH(A965&amp;"ENTRADA",Movimientos!$R$5:$R$2001,0))=0,"S/D",INDEX(Movimientos!$M$5:$M$2001,MATCH(A965&amp;"ENTRADA",Movimientos!$R$5:$R$2001,0))),"S/D")</f>
        <v>S/D</v>
      </c>
      <c r="I965" s="16" t="str">
        <f t="shared" ca="1" si="30"/>
        <v>S/D</v>
      </c>
      <c r="J965" s="6">
        <f>IF(A965="","",SUMIFS(Movimientos!$K:$K,Movimientos!$H:$H,A965))</f>
        <v>0</v>
      </c>
      <c r="K965" s="14" t="str">
        <f t="shared" ca="1" si="31"/>
        <v>OK</v>
      </c>
    </row>
    <row r="966" spans="1:11">
      <c r="A966" s="18" t="s">
        <v>3039</v>
      </c>
      <c r="B966" s="3" t="str">
        <f>IFERROR(INDEX(Movimientos!$C$5:$C$2001,MATCH(A966&amp;"ENTRADA",Movimientos!$R$5:$R$2001,0)),"-")</f>
        <v>-</v>
      </c>
      <c r="C966" s="3" t="str">
        <f>IFERROR(INDEX(Movimientos!$D$5:$D$2001,MATCH(A966&amp;"ENTRADA",Movimientos!$R$5:$R$2001,0)),"-")</f>
        <v>-</v>
      </c>
      <c r="D966" s="3" t="str">
        <f>IFERROR(INDEX(Movimientos!$E$5:$E$2001,MATCH(A966&amp;"ENTRADA",Movimientos!$R$5:$R$2001,0)),"-")</f>
        <v>-</v>
      </c>
      <c r="E966" s="3" t="str">
        <f>IFERROR(INDEX(Movimientos!$F$5:$F$2001,MATCH(A966&amp;"ENTRADA",Movimientos!$R$5:$R$2001,0)),"-")</f>
        <v>-</v>
      </c>
      <c r="F966" s="3" t="str">
        <f>IFERROR(INDEX(Movimientos!$G$5:$G$2001,MATCH(A966&amp;"ENTRADA",Movimientos!$R$5:$R$2001,0)),"-")</f>
        <v>-</v>
      </c>
      <c r="G966" s="3" t="str">
        <f>IFERROR(INDEX(Movimientos!$L$5:$L$2001,MATCH(A966&amp;"ENTRADA",Movimientos!$R$5:$R$2001,0)),"-")</f>
        <v>-</v>
      </c>
      <c r="H966" s="19" t="str">
        <f>IFERROR(IF(INDEX(Movimientos!$M$5:$M$2001,MATCH(A966&amp;"ENTRADA",Movimientos!$R$5:$R$2001,0))=0,"S/D",INDEX(Movimientos!$M$5:$M$2001,MATCH(A966&amp;"ENTRADA",Movimientos!$R$5:$R$2001,0))),"S/D")</f>
        <v>S/D</v>
      </c>
      <c r="I966" s="16" t="str">
        <f t="shared" ca="1" si="30"/>
        <v>S/D</v>
      </c>
      <c r="J966" s="6">
        <f>IF(A966="","",SUMIFS(Movimientos!$K:$K,Movimientos!$H:$H,A966))</f>
        <v>0</v>
      </c>
      <c r="K966" s="14" t="str">
        <f t="shared" ca="1" si="31"/>
        <v>OK</v>
      </c>
    </row>
    <row r="967" spans="1:11">
      <c r="A967" s="18" t="s">
        <v>3040</v>
      </c>
      <c r="B967" s="3" t="str">
        <f>IFERROR(INDEX(Movimientos!$C$5:$C$2001,MATCH(A967&amp;"ENTRADA",Movimientos!$R$5:$R$2001,0)),"-")</f>
        <v>-</v>
      </c>
      <c r="C967" s="3" t="str">
        <f>IFERROR(INDEX(Movimientos!$D$5:$D$2001,MATCH(A967&amp;"ENTRADA",Movimientos!$R$5:$R$2001,0)),"-")</f>
        <v>-</v>
      </c>
      <c r="D967" s="3" t="str">
        <f>IFERROR(INDEX(Movimientos!$E$5:$E$2001,MATCH(A967&amp;"ENTRADA",Movimientos!$R$5:$R$2001,0)),"-")</f>
        <v>-</v>
      </c>
      <c r="E967" s="3" t="str">
        <f>IFERROR(INDEX(Movimientos!$F$5:$F$2001,MATCH(A967&amp;"ENTRADA",Movimientos!$R$5:$R$2001,0)),"-")</f>
        <v>-</v>
      </c>
      <c r="F967" s="3" t="str">
        <f>IFERROR(INDEX(Movimientos!$G$5:$G$2001,MATCH(A967&amp;"ENTRADA",Movimientos!$R$5:$R$2001,0)),"-")</f>
        <v>-</v>
      </c>
      <c r="G967" s="3" t="str">
        <f>IFERROR(INDEX(Movimientos!$L$5:$L$2001,MATCH(A967&amp;"ENTRADA",Movimientos!$R$5:$R$2001,0)),"-")</f>
        <v>-</v>
      </c>
      <c r="H967" s="19" t="str">
        <f>IFERROR(IF(INDEX(Movimientos!$M$5:$M$2001,MATCH(A967&amp;"ENTRADA",Movimientos!$R$5:$R$2001,0))=0,"S/D",INDEX(Movimientos!$M$5:$M$2001,MATCH(A967&amp;"ENTRADA",Movimientos!$R$5:$R$2001,0))),"S/D")</f>
        <v>S/D</v>
      </c>
      <c r="I967" s="16" t="str">
        <f t="shared" ca="1" si="30"/>
        <v>S/D</v>
      </c>
      <c r="J967" s="6">
        <f>IF(A967="","",SUMIFS(Movimientos!$K:$K,Movimientos!$H:$H,A967))</f>
        <v>0</v>
      </c>
      <c r="K967" s="14" t="str">
        <f t="shared" ca="1" si="31"/>
        <v>OK</v>
      </c>
    </row>
    <row r="968" spans="1:11">
      <c r="A968" s="18" t="s">
        <v>3041</v>
      </c>
      <c r="B968" s="3" t="str">
        <f>IFERROR(INDEX(Movimientos!$C$5:$C$2001,MATCH(A968&amp;"ENTRADA",Movimientos!$R$5:$R$2001,0)),"-")</f>
        <v>-</v>
      </c>
      <c r="C968" s="3" t="str">
        <f>IFERROR(INDEX(Movimientos!$D$5:$D$2001,MATCH(A968&amp;"ENTRADA",Movimientos!$R$5:$R$2001,0)),"-")</f>
        <v>-</v>
      </c>
      <c r="D968" s="3" t="str">
        <f>IFERROR(INDEX(Movimientos!$E$5:$E$2001,MATCH(A968&amp;"ENTRADA",Movimientos!$R$5:$R$2001,0)),"-")</f>
        <v>-</v>
      </c>
      <c r="E968" s="3" t="str">
        <f>IFERROR(INDEX(Movimientos!$F$5:$F$2001,MATCH(A968&amp;"ENTRADA",Movimientos!$R$5:$R$2001,0)),"-")</f>
        <v>-</v>
      </c>
      <c r="F968" s="3" t="str">
        <f>IFERROR(INDEX(Movimientos!$G$5:$G$2001,MATCH(A968&amp;"ENTRADA",Movimientos!$R$5:$R$2001,0)),"-")</f>
        <v>-</v>
      </c>
      <c r="G968" s="3" t="str">
        <f>IFERROR(INDEX(Movimientos!$L$5:$L$2001,MATCH(A968&amp;"ENTRADA",Movimientos!$R$5:$R$2001,0)),"-")</f>
        <v>-</v>
      </c>
      <c r="H968" s="19" t="str">
        <f>IFERROR(IF(INDEX(Movimientos!$M$5:$M$2001,MATCH(A968&amp;"ENTRADA",Movimientos!$R$5:$R$2001,0))=0,"S/D",INDEX(Movimientos!$M$5:$M$2001,MATCH(A968&amp;"ENTRADA",Movimientos!$R$5:$R$2001,0))),"S/D")</f>
        <v>S/D</v>
      </c>
      <c r="I968" s="16" t="str">
        <f t="shared" ca="1" si="30"/>
        <v>S/D</v>
      </c>
      <c r="J968" s="6">
        <f>IF(A968="","",SUMIFS(Movimientos!$K:$K,Movimientos!$H:$H,A968))</f>
        <v>0</v>
      </c>
      <c r="K968" s="14" t="str">
        <f t="shared" ca="1" si="31"/>
        <v>OK</v>
      </c>
    </row>
    <row r="969" spans="1:11">
      <c r="A969" s="18" t="s">
        <v>3042</v>
      </c>
      <c r="B969" s="3" t="str">
        <f>IFERROR(INDEX(Movimientos!$C$5:$C$2001,MATCH(A969&amp;"ENTRADA",Movimientos!$R$5:$R$2001,0)),"-")</f>
        <v>-</v>
      </c>
      <c r="C969" s="3" t="str">
        <f>IFERROR(INDEX(Movimientos!$D$5:$D$2001,MATCH(A969&amp;"ENTRADA",Movimientos!$R$5:$R$2001,0)),"-")</f>
        <v>-</v>
      </c>
      <c r="D969" s="3" t="str">
        <f>IFERROR(INDEX(Movimientos!$E$5:$E$2001,MATCH(A969&amp;"ENTRADA",Movimientos!$R$5:$R$2001,0)),"-")</f>
        <v>-</v>
      </c>
      <c r="E969" s="3" t="str">
        <f>IFERROR(INDEX(Movimientos!$F$5:$F$2001,MATCH(A969&amp;"ENTRADA",Movimientos!$R$5:$R$2001,0)),"-")</f>
        <v>-</v>
      </c>
      <c r="F969" s="3" t="str">
        <f>IFERROR(INDEX(Movimientos!$G$5:$G$2001,MATCH(A969&amp;"ENTRADA",Movimientos!$R$5:$R$2001,0)),"-")</f>
        <v>-</v>
      </c>
      <c r="G969" s="3" t="str">
        <f>IFERROR(INDEX(Movimientos!$L$5:$L$2001,MATCH(A969&amp;"ENTRADA",Movimientos!$R$5:$R$2001,0)),"-")</f>
        <v>-</v>
      </c>
      <c r="H969" s="19" t="str">
        <f>IFERROR(IF(INDEX(Movimientos!$M$5:$M$2001,MATCH(A969&amp;"ENTRADA",Movimientos!$R$5:$R$2001,0))=0,"S/D",INDEX(Movimientos!$M$5:$M$2001,MATCH(A969&amp;"ENTRADA",Movimientos!$R$5:$R$2001,0))),"S/D")</f>
        <v>S/D</v>
      </c>
      <c r="I969" s="16" t="str">
        <f t="shared" ca="1" si="30"/>
        <v>S/D</v>
      </c>
      <c r="J969" s="6">
        <f>IF(A969="","",SUMIFS(Movimientos!$K:$K,Movimientos!$H:$H,A969))</f>
        <v>0</v>
      </c>
      <c r="K969" s="14" t="str">
        <f t="shared" ca="1" si="31"/>
        <v>OK</v>
      </c>
    </row>
    <row r="970" spans="1:11">
      <c r="A970" s="18" t="s">
        <v>3043</v>
      </c>
      <c r="B970" s="3" t="str">
        <f>IFERROR(INDEX(Movimientos!$C$5:$C$2001,MATCH(A970&amp;"ENTRADA",Movimientos!$R$5:$R$2001,0)),"-")</f>
        <v>-</v>
      </c>
      <c r="C970" s="3" t="str">
        <f>IFERROR(INDEX(Movimientos!$D$5:$D$2001,MATCH(A970&amp;"ENTRADA",Movimientos!$R$5:$R$2001,0)),"-")</f>
        <v>-</v>
      </c>
      <c r="D970" s="3" t="str">
        <f>IFERROR(INDEX(Movimientos!$E$5:$E$2001,MATCH(A970&amp;"ENTRADA",Movimientos!$R$5:$R$2001,0)),"-")</f>
        <v>-</v>
      </c>
      <c r="E970" s="3" t="str">
        <f>IFERROR(INDEX(Movimientos!$F$5:$F$2001,MATCH(A970&amp;"ENTRADA",Movimientos!$R$5:$R$2001,0)),"-")</f>
        <v>-</v>
      </c>
      <c r="F970" s="3" t="str">
        <f>IFERROR(INDEX(Movimientos!$G$5:$G$2001,MATCH(A970&amp;"ENTRADA",Movimientos!$R$5:$R$2001,0)),"-")</f>
        <v>-</v>
      </c>
      <c r="G970" s="3" t="str">
        <f>IFERROR(INDEX(Movimientos!$L$5:$L$2001,MATCH(A970&amp;"ENTRADA",Movimientos!$R$5:$R$2001,0)),"-")</f>
        <v>-</v>
      </c>
      <c r="H970" s="19" t="str">
        <f>IFERROR(IF(INDEX(Movimientos!$M$5:$M$2001,MATCH(A970&amp;"ENTRADA",Movimientos!$R$5:$R$2001,0))=0,"S/D",INDEX(Movimientos!$M$5:$M$2001,MATCH(A970&amp;"ENTRADA",Movimientos!$R$5:$R$2001,0))),"S/D")</f>
        <v>S/D</v>
      </c>
      <c r="I970" s="16" t="str">
        <f t="shared" ca="1" si="30"/>
        <v>S/D</v>
      </c>
      <c r="J970" s="6">
        <f>IF(A970="","",SUMIFS(Movimientos!$K:$K,Movimientos!$H:$H,A970))</f>
        <v>0</v>
      </c>
      <c r="K970" s="14" t="str">
        <f t="shared" ca="1" si="31"/>
        <v>OK</v>
      </c>
    </row>
    <row r="971" spans="1:11">
      <c r="A971" s="18" t="s">
        <v>3044</v>
      </c>
      <c r="B971" s="3" t="str">
        <f>IFERROR(INDEX(Movimientos!$C$5:$C$2001,MATCH(A971&amp;"ENTRADA",Movimientos!$R$5:$R$2001,0)),"-")</f>
        <v>-</v>
      </c>
      <c r="C971" s="3" t="str">
        <f>IFERROR(INDEX(Movimientos!$D$5:$D$2001,MATCH(A971&amp;"ENTRADA",Movimientos!$R$5:$R$2001,0)),"-")</f>
        <v>-</v>
      </c>
      <c r="D971" s="3" t="str">
        <f>IFERROR(INDEX(Movimientos!$E$5:$E$2001,MATCH(A971&amp;"ENTRADA",Movimientos!$R$5:$R$2001,0)),"-")</f>
        <v>-</v>
      </c>
      <c r="E971" s="3" t="str">
        <f>IFERROR(INDEX(Movimientos!$F$5:$F$2001,MATCH(A971&amp;"ENTRADA",Movimientos!$R$5:$R$2001,0)),"-")</f>
        <v>-</v>
      </c>
      <c r="F971" s="3" t="str">
        <f>IFERROR(INDEX(Movimientos!$G$5:$G$2001,MATCH(A971&amp;"ENTRADA",Movimientos!$R$5:$R$2001,0)),"-")</f>
        <v>-</v>
      </c>
      <c r="G971" s="3" t="str">
        <f>IFERROR(INDEX(Movimientos!$L$5:$L$2001,MATCH(A971&amp;"ENTRADA",Movimientos!$R$5:$R$2001,0)),"-")</f>
        <v>-</v>
      </c>
      <c r="H971" s="19" t="str">
        <f>IFERROR(IF(INDEX(Movimientos!$M$5:$M$2001,MATCH(A971&amp;"ENTRADA",Movimientos!$R$5:$R$2001,0))=0,"S/D",INDEX(Movimientos!$M$5:$M$2001,MATCH(A971&amp;"ENTRADA",Movimientos!$R$5:$R$2001,0))),"S/D")</f>
        <v>S/D</v>
      </c>
      <c r="I971" s="16" t="str">
        <f t="shared" ref="I971:I1002" ca="1" si="32">IF(OR(A971="",H971="S/D"),"S/D",H971-TODAY())</f>
        <v>S/D</v>
      </c>
      <c r="J971" s="6">
        <f>IF(A971="","",SUMIFS(Movimientos!$K:$K,Movimientos!$H:$H,A971))</f>
        <v>0</v>
      </c>
      <c r="K971" s="14" t="str">
        <f t="shared" ref="K971:K1002" ca="1" si="33">IF(A971="","",IF(H971="S/D","OK",IF(H971&lt;TODAY(),"VENCIDO",IF(J971&lt;=0,"SIN STOCK",IF(I971&gt;=180,"OK","PRÓXIMO A VENCER")))))</f>
        <v>OK</v>
      </c>
    </row>
    <row r="972" spans="1:11">
      <c r="A972" s="18" t="s">
        <v>3045</v>
      </c>
      <c r="B972" s="3" t="str">
        <f>IFERROR(INDEX(Movimientos!$C$5:$C$2001,MATCH(A972&amp;"ENTRADA",Movimientos!$R$5:$R$2001,0)),"-")</f>
        <v>-</v>
      </c>
      <c r="C972" s="3" t="str">
        <f>IFERROR(INDEX(Movimientos!$D$5:$D$2001,MATCH(A972&amp;"ENTRADA",Movimientos!$R$5:$R$2001,0)),"-")</f>
        <v>-</v>
      </c>
      <c r="D972" s="3" t="str">
        <f>IFERROR(INDEX(Movimientos!$E$5:$E$2001,MATCH(A972&amp;"ENTRADA",Movimientos!$R$5:$R$2001,0)),"-")</f>
        <v>-</v>
      </c>
      <c r="E972" s="3" t="str">
        <f>IFERROR(INDEX(Movimientos!$F$5:$F$2001,MATCH(A972&amp;"ENTRADA",Movimientos!$R$5:$R$2001,0)),"-")</f>
        <v>-</v>
      </c>
      <c r="F972" s="3" t="str">
        <f>IFERROR(INDEX(Movimientos!$G$5:$G$2001,MATCH(A972&amp;"ENTRADA",Movimientos!$R$5:$R$2001,0)),"-")</f>
        <v>-</v>
      </c>
      <c r="G972" s="3" t="str">
        <f>IFERROR(INDEX(Movimientos!$L$5:$L$2001,MATCH(A972&amp;"ENTRADA",Movimientos!$R$5:$R$2001,0)),"-")</f>
        <v>-</v>
      </c>
      <c r="H972" s="19" t="str">
        <f>IFERROR(IF(INDEX(Movimientos!$M$5:$M$2001,MATCH(A972&amp;"ENTRADA",Movimientos!$R$5:$R$2001,0))=0,"S/D",INDEX(Movimientos!$M$5:$M$2001,MATCH(A972&amp;"ENTRADA",Movimientos!$R$5:$R$2001,0))),"S/D")</f>
        <v>S/D</v>
      </c>
      <c r="I972" s="16" t="str">
        <f t="shared" ca="1" si="32"/>
        <v>S/D</v>
      </c>
      <c r="J972" s="6">
        <f>IF(A972="","",SUMIFS(Movimientos!$K:$K,Movimientos!$H:$H,A972))</f>
        <v>0</v>
      </c>
      <c r="K972" s="14" t="str">
        <f t="shared" ca="1" si="33"/>
        <v>OK</v>
      </c>
    </row>
    <row r="973" spans="1:11">
      <c r="A973" s="18" t="s">
        <v>3046</v>
      </c>
      <c r="B973" s="3" t="str">
        <f>IFERROR(INDEX(Movimientos!$C$5:$C$2001,MATCH(A973&amp;"ENTRADA",Movimientos!$R$5:$R$2001,0)),"-")</f>
        <v>-</v>
      </c>
      <c r="C973" s="3" t="str">
        <f>IFERROR(INDEX(Movimientos!$D$5:$D$2001,MATCH(A973&amp;"ENTRADA",Movimientos!$R$5:$R$2001,0)),"-")</f>
        <v>-</v>
      </c>
      <c r="D973" s="3" t="str">
        <f>IFERROR(INDEX(Movimientos!$E$5:$E$2001,MATCH(A973&amp;"ENTRADA",Movimientos!$R$5:$R$2001,0)),"-")</f>
        <v>-</v>
      </c>
      <c r="E973" s="3" t="str">
        <f>IFERROR(INDEX(Movimientos!$F$5:$F$2001,MATCH(A973&amp;"ENTRADA",Movimientos!$R$5:$R$2001,0)),"-")</f>
        <v>-</v>
      </c>
      <c r="F973" s="3" t="str">
        <f>IFERROR(INDEX(Movimientos!$G$5:$G$2001,MATCH(A973&amp;"ENTRADA",Movimientos!$R$5:$R$2001,0)),"-")</f>
        <v>-</v>
      </c>
      <c r="G973" s="3" t="str">
        <f>IFERROR(INDEX(Movimientos!$L$5:$L$2001,MATCH(A973&amp;"ENTRADA",Movimientos!$R$5:$R$2001,0)),"-")</f>
        <v>-</v>
      </c>
      <c r="H973" s="19" t="str">
        <f>IFERROR(IF(INDEX(Movimientos!$M$5:$M$2001,MATCH(A973&amp;"ENTRADA",Movimientos!$R$5:$R$2001,0))=0,"S/D",INDEX(Movimientos!$M$5:$M$2001,MATCH(A973&amp;"ENTRADA",Movimientos!$R$5:$R$2001,0))),"S/D")</f>
        <v>S/D</v>
      </c>
      <c r="I973" s="16" t="str">
        <f t="shared" ca="1" si="32"/>
        <v>S/D</v>
      </c>
      <c r="J973" s="6">
        <f>IF(A973="","",SUMIFS(Movimientos!$K:$K,Movimientos!$H:$H,A973))</f>
        <v>0</v>
      </c>
      <c r="K973" s="14" t="str">
        <f t="shared" ca="1" si="33"/>
        <v>OK</v>
      </c>
    </row>
    <row r="974" spans="1:11">
      <c r="A974" s="18" t="s">
        <v>3047</v>
      </c>
      <c r="B974" s="3" t="str">
        <f>IFERROR(INDEX(Movimientos!$C$5:$C$2001,MATCH(A974&amp;"ENTRADA",Movimientos!$R$5:$R$2001,0)),"-")</f>
        <v>-</v>
      </c>
      <c r="C974" s="3" t="str">
        <f>IFERROR(INDEX(Movimientos!$D$5:$D$2001,MATCH(A974&amp;"ENTRADA",Movimientos!$R$5:$R$2001,0)),"-")</f>
        <v>-</v>
      </c>
      <c r="D974" s="3" t="str">
        <f>IFERROR(INDEX(Movimientos!$E$5:$E$2001,MATCH(A974&amp;"ENTRADA",Movimientos!$R$5:$R$2001,0)),"-")</f>
        <v>-</v>
      </c>
      <c r="E974" s="3" t="str">
        <f>IFERROR(INDEX(Movimientos!$F$5:$F$2001,MATCH(A974&amp;"ENTRADA",Movimientos!$R$5:$R$2001,0)),"-")</f>
        <v>-</v>
      </c>
      <c r="F974" s="3" t="str">
        <f>IFERROR(INDEX(Movimientos!$G$5:$G$2001,MATCH(A974&amp;"ENTRADA",Movimientos!$R$5:$R$2001,0)),"-")</f>
        <v>-</v>
      </c>
      <c r="G974" s="3" t="str">
        <f>IFERROR(INDEX(Movimientos!$L$5:$L$2001,MATCH(A974&amp;"ENTRADA",Movimientos!$R$5:$R$2001,0)),"-")</f>
        <v>-</v>
      </c>
      <c r="H974" s="19" t="str">
        <f>IFERROR(IF(INDEX(Movimientos!$M$5:$M$2001,MATCH(A974&amp;"ENTRADA",Movimientos!$R$5:$R$2001,0))=0,"S/D",INDEX(Movimientos!$M$5:$M$2001,MATCH(A974&amp;"ENTRADA",Movimientos!$R$5:$R$2001,0))),"S/D")</f>
        <v>S/D</v>
      </c>
      <c r="I974" s="16" t="str">
        <f t="shared" ca="1" si="32"/>
        <v>S/D</v>
      </c>
      <c r="J974" s="6">
        <f>IF(A974="","",SUMIFS(Movimientos!$K:$K,Movimientos!$H:$H,A974))</f>
        <v>0</v>
      </c>
      <c r="K974" s="14" t="str">
        <f t="shared" ca="1" si="33"/>
        <v>OK</v>
      </c>
    </row>
    <row r="975" spans="1:11">
      <c r="A975" s="18" t="s">
        <v>3048</v>
      </c>
      <c r="B975" s="3" t="str">
        <f>IFERROR(INDEX(Movimientos!$C$5:$C$2001,MATCH(A975&amp;"ENTRADA",Movimientos!$R$5:$R$2001,0)),"-")</f>
        <v>-</v>
      </c>
      <c r="C975" s="3" t="str">
        <f>IFERROR(INDEX(Movimientos!$D$5:$D$2001,MATCH(A975&amp;"ENTRADA",Movimientos!$R$5:$R$2001,0)),"-")</f>
        <v>-</v>
      </c>
      <c r="D975" s="3" t="str">
        <f>IFERROR(INDEX(Movimientos!$E$5:$E$2001,MATCH(A975&amp;"ENTRADA",Movimientos!$R$5:$R$2001,0)),"-")</f>
        <v>-</v>
      </c>
      <c r="E975" s="3" t="str">
        <f>IFERROR(INDEX(Movimientos!$F$5:$F$2001,MATCH(A975&amp;"ENTRADA",Movimientos!$R$5:$R$2001,0)),"-")</f>
        <v>-</v>
      </c>
      <c r="F975" s="3" t="str">
        <f>IFERROR(INDEX(Movimientos!$G$5:$G$2001,MATCH(A975&amp;"ENTRADA",Movimientos!$R$5:$R$2001,0)),"-")</f>
        <v>-</v>
      </c>
      <c r="G975" s="3" t="str">
        <f>IFERROR(INDEX(Movimientos!$L$5:$L$2001,MATCH(A975&amp;"ENTRADA",Movimientos!$R$5:$R$2001,0)),"-")</f>
        <v>-</v>
      </c>
      <c r="H975" s="19" t="str">
        <f>IFERROR(IF(INDEX(Movimientos!$M$5:$M$2001,MATCH(A975&amp;"ENTRADA",Movimientos!$R$5:$R$2001,0))=0,"S/D",INDEX(Movimientos!$M$5:$M$2001,MATCH(A975&amp;"ENTRADA",Movimientos!$R$5:$R$2001,0))),"S/D")</f>
        <v>S/D</v>
      </c>
      <c r="I975" s="16" t="str">
        <f t="shared" ca="1" si="32"/>
        <v>S/D</v>
      </c>
      <c r="J975" s="6">
        <f>IF(A975="","",SUMIFS(Movimientos!$K:$K,Movimientos!$H:$H,A975))</f>
        <v>0</v>
      </c>
      <c r="K975" s="14" t="str">
        <f t="shared" ca="1" si="33"/>
        <v>OK</v>
      </c>
    </row>
    <row r="976" spans="1:11">
      <c r="A976" s="18" t="s">
        <v>3049</v>
      </c>
      <c r="B976" s="3" t="str">
        <f>IFERROR(INDEX(Movimientos!$C$5:$C$2001,MATCH(A976&amp;"ENTRADA",Movimientos!$R$5:$R$2001,0)),"-")</f>
        <v>-</v>
      </c>
      <c r="C976" s="3" t="str">
        <f>IFERROR(INDEX(Movimientos!$D$5:$D$2001,MATCH(A976&amp;"ENTRADA",Movimientos!$R$5:$R$2001,0)),"-")</f>
        <v>-</v>
      </c>
      <c r="D976" s="3" t="str">
        <f>IFERROR(INDEX(Movimientos!$E$5:$E$2001,MATCH(A976&amp;"ENTRADA",Movimientos!$R$5:$R$2001,0)),"-")</f>
        <v>-</v>
      </c>
      <c r="E976" s="3" t="str">
        <f>IFERROR(INDEX(Movimientos!$F$5:$F$2001,MATCH(A976&amp;"ENTRADA",Movimientos!$R$5:$R$2001,0)),"-")</f>
        <v>-</v>
      </c>
      <c r="F976" s="3" t="str">
        <f>IFERROR(INDEX(Movimientos!$G$5:$G$2001,MATCH(A976&amp;"ENTRADA",Movimientos!$R$5:$R$2001,0)),"-")</f>
        <v>-</v>
      </c>
      <c r="G976" s="3" t="str">
        <f>IFERROR(INDEX(Movimientos!$L$5:$L$2001,MATCH(A976&amp;"ENTRADA",Movimientos!$R$5:$R$2001,0)),"-")</f>
        <v>-</v>
      </c>
      <c r="H976" s="19" t="str">
        <f>IFERROR(IF(INDEX(Movimientos!$M$5:$M$2001,MATCH(A976&amp;"ENTRADA",Movimientos!$R$5:$R$2001,0))=0,"S/D",INDEX(Movimientos!$M$5:$M$2001,MATCH(A976&amp;"ENTRADA",Movimientos!$R$5:$R$2001,0))),"S/D")</f>
        <v>S/D</v>
      </c>
      <c r="I976" s="16" t="str">
        <f t="shared" ca="1" si="32"/>
        <v>S/D</v>
      </c>
      <c r="J976" s="6">
        <f>IF(A976="","",SUMIFS(Movimientos!$K:$K,Movimientos!$H:$H,A976))</f>
        <v>0</v>
      </c>
      <c r="K976" s="14" t="str">
        <f t="shared" ca="1" si="33"/>
        <v>OK</v>
      </c>
    </row>
    <row r="977" spans="1:11">
      <c r="A977" s="18" t="s">
        <v>3050</v>
      </c>
      <c r="B977" s="3" t="str">
        <f>IFERROR(INDEX(Movimientos!$C$5:$C$2001,MATCH(A977&amp;"ENTRADA",Movimientos!$R$5:$R$2001,0)),"-")</f>
        <v>-</v>
      </c>
      <c r="C977" s="3" t="str">
        <f>IFERROR(INDEX(Movimientos!$D$5:$D$2001,MATCH(A977&amp;"ENTRADA",Movimientos!$R$5:$R$2001,0)),"-")</f>
        <v>-</v>
      </c>
      <c r="D977" s="3" t="str">
        <f>IFERROR(INDEX(Movimientos!$E$5:$E$2001,MATCH(A977&amp;"ENTRADA",Movimientos!$R$5:$R$2001,0)),"-")</f>
        <v>-</v>
      </c>
      <c r="E977" s="3" t="str">
        <f>IFERROR(INDEX(Movimientos!$F$5:$F$2001,MATCH(A977&amp;"ENTRADA",Movimientos!$R$5:$R$2001,0)),"-")</f>
        <v>-</v>
      </c>
      <c r="F977" s="3" t="str">
        <f>IFERROR(INDEX(Movimientos!$G$5:$G$2001,MATCH(A977&amp;"ENTRADA",Movimientos!$R$5:$R$2001,0)),"-")</f>
        <v>-</v>
      </c>
      <c r="G977" s="3" t="str">
        <f>IFERROR(INDEX(Movimientos!$L$5:$L$2001,MATCH(A977&amp;"ENTRADA",Movimientos!$R$5:$R$2001,0)),"-")</f>
        <v>-</v>
      </c>
      <c r="H977" s="19" t="str">
        <f>IFERROR(IF(INDEX(Movimientos!$M$5:$M$2001,MATCH(A977&amp;"ENTRADA",Movimientos!$R$5:$R$2001,0))=0,"S/D",INDEX(Movimientos!$M$5:$M$2001,MATCH(A977&amp;"ENTRADA",Movimientos!$R$5:$R$2001,0))),"S/D")</f>
        <v>S/D</v>
      </c>
      <c r="I977" s="16" t="str">
        <f t="shared" ca="1" si="32"/>
        <v>S/D</v>
      </c>
      <c r="J977" s="6">
        <f>IF(A977="","",SUMIFS(Movimientos!$K:$K,Movimientos!$H:$H,A977))</f>
        <v>0</v>
      </c>
      <c r="K977" s="14" t="str">
        <f t="shared" ca="1" si="33"/>
        <v>OK</v>
      </c>
    </row>
    <row r="978" spans="1:11">
      <c r="A978" s="18" t="s">
        <v>3051</v>
      </c>
      <c r="B978" s="3" t="str">
        <f>IFERROR(INDEX(Movimientos!$C$5:$C$2001,MATCH(A978&amp;"ENTRADA",Movimientos!$R$5:$R$2001,0)),"-")</f>
        <v>-</v>
      </c>
      <c r="C978" s="3" t="str">
        <f>IFERROR(INDEX(Movimientos!$D$5:$D$2001,MATCH(A978&amp;"ENTRADA",Movimientos!$R$5:$R$2001,0)),"-")</f>
        <v>-</v>
      </c>
      <c r="D978" s="3" t="str">
        <f>IFERROR(INDEX(Movimientos!$E$5:$E$2001,MATCH(A978&amp;"ENTRADA",Movimientos!$R$5:$R$2001,0)),"-")</f>
        <v>-</v>
      </c>
      <c r="E978" s="3" t="str">
        <f>IFERROR(INDEX(Movimientos!$F$5:$F$2001,MATCH(A978&amp;"ENTRADA",Movimientos!$R$5:$R$2001,0)),"-")</f>
        <v>-</v>
      </c>
      <c r="F978" s="3" t="str">
        <f>IFERROR(INDEX(Movimientos!$G$5:$G$2001,MATCH(A978&amp;"ENTRADA",Movimientos!$R$5:$R$2001,0)),"-")</f>
        <v>-</v>
      </c>
      <c r="G978" s="3" t="str">
        <f>IFERROR(INDEX(Movimientos!$L$5:$L$2001,MATCH(A978&amp;"ENTRADA",Movimientos!$R$5:$R$2001,0)),"-")</f>
        <v>-</v>
      </c>
      <c r="H978" s="19" t="str">
        <f>IFERROR(IF(INDEX(Movimientos!$M$5:$M$2001,MATCH(A978&amp;"ENTRADA",Movimientos!$R$5:$R$2001,0))=0,"S/D",INDEX(Movimientos!$M$5:$M$2001,MATCH(A978&amp;"ENTRADA",Movimientos!$R$5:$R$2001,0))),"S/D")</f>
        <v>S/D</v>
      </c>
      <c r="I978" s="16" t="str">
        <f t="shared" ca="1" si="32"/>
        <v>S/D</v>
      </c>
      <c r="J978" s="6">
        <f>IF(A978="","",SUMIFS(Movimientos!$K:$K,Movimientos!$H:$H,A978))</f>
        <v>0</v>
      </c>
      <c r="K978" s="14" t="str">
        <f t="shared" ca="1" si="33"/>
        <v>OK</v>
      </c>
    </row>
    <row r="979" spans="1:11">
      <c r="A979" s="18" t="s">
        <v>3052</v>
      </c>
      <c r="B979" s="3" t="str">
        <f>IFERROR(INDEX(Movimientos!$C$5:$C$2001,MATCH(A979&amp;"ENTRADA",Movimientos!$R$5:$R$2001,0)),"-")</f>
        <v>-</v>
      </c>
      <c r="C979" s="3" t="str">
        <f>IFERROR(INDEX(Movimientos!$D$5:$D$2001,MATCH(A979&amp;"ENTRADA",Movimientos!$R$5:$R$2001,0)),"-")</f>
        <v>-</v>
      </c>
      <c r="D979" s="3" t="str">
        <f>IFERROR(INDEX(Movimientos!$E$5:$E$2001,MATCH(A979&amp;"ENTRADA",Movimientos!$R$5:$R$2001,0)),"-")</f>
        <v>-</v>
      </c>
      <c r="E979" s="3" t="str">
        <f>IFERROR(INDEX(Movimientos!$F$5:$F$2001,MATCH(A979&amp;"ENTRADA",Movimientos!$R$5:$R$2001,0)),"-")</f>
        <v>-</v>
      </c>
      <c r="F979" s="3" t="str">
        <f>IFERROR(INDEX(Movimientos!$G$5:$G$2001,MATCH(A979&amp;"ENTRADA",Movimientos!$R$5:$R$2001,0)),"-")</f>
        <v>-</v>
      </c>
      <c r="G979" s="3" t="str">
        <f>IFERROR(INDEX(Movimientos!$L$5:$L$2001,MATCH(A979&amp;"ENTRADA",Movimientos!$R$5:$R$2001,0)),"-")</f>
        <v>-</v>
      </c>
      <c r="H979" s="19" t="str">
        <f>IFERROR(IF(INDEX(Movimientos!$M$5:$M$2001,MATCH(A979&amp;"ENTRADA",Movimientos!$R$5:$R$2001,0))=0,"S/D",INDEX(Movimientos!$M$5:$M$2001,MATCH(A979&amp;"ENTRADA",Movimientos!$R$5:$R$2001,0))),"S/D")</f>
        <v>S/D</v>
      </c>
      <c r="I979" s="16" t="str">
        <f t="shared" ca="1" si="32"/>
        <v>S/D</v>
      </c>
      <c r="J979" s="6">
        <f>IF(A979="","",SUMIFS(Movimientos!$K:$K,Movimientos!$H:$H,A979))</f>
        <v>0</v>
      </c>
      <c r="K979" s="14" t="str">
        <f t="shared" ca="1" si="33"/>
        <v>OK</v>
      </c>
    </row>
    <row r="980" spans="1:11">
      <c r="A980" s="18" t="s">
        <v>3053</v>
      </c>
      <c r="B980" s="3" t="str">
        <f>IFERROR(INDEX(Movimientos!$C$5:$C$2001,MATCH(A980&amp;"ENTRADA",Movimientos!$R$5:$R$2001,0)),"-")</f>
        <v>-</v>
      </c>
      <c r="C980" s="3" t="str">
        <f>IFERROR(INDEX(Movimientos!$D$5:$D$2001,MATCH(A980&amp;"ENTRADA",Movimientos!$R$5:$R$2001,0)),"-")</f>
        <v>-</v>
      </c>
      <c r="D980" s="3" t="str">
        <f>IFERROR(INDEX(Movimientos!$E$5:$E$2001,MATCH(A980&amp;"ENTRADA",Movimientos!$R$5:$R$2001,0)),"-")</f>
        <v>-</v>
      </c>
      <c r="E980" s="3" t="str">
        <f>IFERROR(INDEX(Movimientos!$F$5:$F$2001,MATCH(A980&amp;"ENTRADA",Movimientos!$R$5:$R$2001,0)),"-")</f>
        <v>-</v>
      </c>
      <c r="F980" s="3" t="str">
        <f>IFERROR(INDEX(Movimientos!$G$5:$G$2001,MATCH(A980&amp;"ENTRADA",Movimientos!$R$5:$R$2001,0)),"-")</f>
        <v>-</v>
      </c>
      <c r="G980" s="3" t="str">
        <f>IFERROR(INDEX(Movimientos!$L$5:$L$2001,MATCH(A980&amp;"ENTRADA",Movimientos!$R$5:$R$2001,0)),"-")</f>
        <v>-</v>
      </c>
      <c r="H980" s="19" t="str">
        <f>IFERROR(IF(INDEX(Movimientos!$M$5:$M$2001,MATCH(A980&amp;"ENTRADA",Movimientos!$R$5:$R$2001,0))=0,"S/D",INDEX(Movimientos!$M$5:$M$2001,MATCH(A980&amp;"ENTRADA",Movimientos!$R$5:$R$2001,0))),"S/D")</f>
        <v>S/D</v>
      </c>
      <c r="I980" s="16" t="str">
        <f t="shared" ca="1" si="32"/>
        <v>S/D</v>
      </c>
      <c r="J980" s="6">
        <f>IF(A980="","",SUMIFS(Movimientos!$K:$K,Movimientos!$H:$H,A980))</f>
        <v>0</v>
      </c>
      <c r="K980" s="14" t="str">
        <f t="shared" ca="1" si="33"/>
        <v>OK</v>
      </c>
    </row>
    <row r="981" spans="1:11">
      <c r="A981" s="18" t="s">
        <v>3054</v>
      </c>
      <c r="B981" s="3" t="str">
        <f>IFERROR(INDEX(Movimientos!$C$5:$C$2001,MATCH(A981&amp;"ENTRADA",Movimientos!$R$5:$R$2001,0)),"-")</f>
        <v>-</v>
      </c>
      <c r="C981" s="3" t="str">
        <f>IFERROR(INDEX(Movimientos!$D$5:$D$2001,MATCH(A981&amp;"ENTRADA",Movimientos!$R$5:$R$2001,0)),"-")</f>
        <v>-</v>
      </c>
      <c r="D981" s="3" t="str">
        <f>IFERROR(INDEX(Movimientos!$E$5:$E$2001,MATCH(A981&amp;"ENTRADA",Movimientos!$R$5:$R$2001,0)),"-")</f>
        <v>-</v>
      </c>
      <c r="E981" s="3" t="str">
        <f>IFERROR(INDEX(Movimientos!$F$5:$F$2001,MATCH(A981&amp;"ENTRADA",Movimientos!$R$5:$R$2001,0)),"-")</f>
        <v>-</v>
      </c>
      <c r="F981" s="3" t="str">
        <f>IFERROR(INDEX(Movimientos!$G$5:$G$2001,MATCH(A981&amp;"ENTRADA",Movimientos!$R$5:$R$2001,0)),"-")</f>
        <v>-</v>
      </c>
      <c r="G981" s="3" t="str">
        <f>IFERROR(INDEX(Movimientos!$L$5:$L$2001,MATCH(A981&amp;"ENTRADA",Movimientos!$R$5:$R$2001,0)),"-")</f>
        <v>-</v>
      </c>
      <c r="H981" s="19" t="str">
        <f>IFERROR(IF(INDEX(Movimientos!$M$5:$M$2001,MATCH(A981&amp;"ENTRADA",Movimientos!$R$5:$R$2001,0))=0,"S/D",INDEX(Movimientos!$M$5:$M$2001,MATCH(A981&amp;"ENTRADA",Movimientos!$R$5:$R$2001,0))),"S/D")</f>
        <v>S/D</v>
      </c>
      <c r="I981" s="16" t="str">
        <f t="shared" ca="1" si="32"/>
        <v>S/D</v>
      </c>
      <c r="J981" s="6">
        <f>IF(A981="","",SUMIFS(Movimientos!$K:$K,Movimientos!$H:$H,A981))</f>
        <v>0</v>
      </c>
      <c r="K981" s="14" t="str">
        <f t="shared" ca="1" si="33"/>
        <v>OK</v>
      </c>
    </row>
    <row r="982" spans="1:11">
      <c r="A982" s="18" t="s">
        <v>3055</v>
      </c>
      <c r="B982" s="3" t="str">
        <f>IFERROR(INDEX(Movimientos!$C$5:$C$2001,MATCH(A982&amp;"ENTRADA",Movimientos!$R$5:$R$2001,0)),"-")</f>
        <v>-</v>
      </c>
      <c r="C982" s="3" t="str">
        <f>IFERROR(INDEX(Movimientos!$D$5:$D$2001,MATCH(A982&amp;"ENTRADA",Movimientos!$R$5:$R$2001,0)),"-")</f>
        <v>-</v>
      </c>
      <c r="D982" s="3" t="str">
        <f>IFERROR(INDEX(Movimientos!$E$5:$E$2001,MATCH(A982&amp;"ENTRADA",Movimientos!$R$5:$R$2001,0)),"-")</f>
        <v>-</v>
      </c>
      <c r="E982" s="3" t="str">
        <f>IFERROR(INDEX(Movimientos!$F$5:$F$2001,MATCH(A982&amp;"ENTRADA",Movimientos!$R$5:$R$2001,0)),"-")</f>
        <v>-</v>
      </c>
      <c r="F982" s="3" t="str">
        <f>IFERROR(INDEX(Movimientos!$G$5:$G$2001,MATCH(A982&amp;"ENTRADA",Movimientos!$R$5:$R$2001,0)),"-")</f>
        <v>-</v>
      </c>
      <c r="G982" s="3" t="str">
        <f>IFERROR(INDEX(Movimientos!$L$5:$L$2001,MATCH(A982&amp;"ENTRADA",Movimientos!$R$5:$R$2001,0)),"-")</f>
        <v>-</v>
      </c>
      <c r="H982" s="19" t="str">
        <f>IFERROR(IF(INDEX(Movimientos!$M$5:$M$2001,MATCH(A982&amp;"ENTRADA",Movimientos!$R$5:$R$2001,0))=0,"S/D",INDEX(Movimientos!$M$5:$M$2001,MATCH(A982&amp;"ENTRADA",Movimientos!$R$5:$R$2001,0))),"S/D")</f>
        <v>S/D</v>
      </c>
      <c r="I982" s="16" t="str">
        <f t="shared" ca="1" si="32"/>
        <v>S/D</v>
      </c>
      <c r="J982" s="6">
        <f>IF(A982="","",SUMIFS(Movimientos!$K:$K,Movimientos!$H:$H,A982))</f>
        <v>0</v>
      </c>
      <c r="K982" s="14" t="str">
        <f t="shared" ca="1" si="33"/>
        <v>OK</v>
      </c>
    </row>
    <row r="983" spans="1:11">
      <c r="A983" s="18" t="s">
        <v>3056</v>
      </c>
      <c r="B983" s="3" t="str">
        <f>IFERROR(INDEX(Movimientos!$C$5:$C$2001,MATCH(A983&amp;"ENTRADA",Movimientos!$R$5:$R$2001,0)),"-")</f>
        <v>-</v>
      </c>
      <c r="C983" s="3" t="str">
        <f>IFERROR(INDEX(Movimientos!$D$5:$D$2001,MATCH(A983&amp;"ENTRADA",Movimientos!$R$5:$R$2001,0)),"-")</f>
        <v>-</v>
      </c>
      <c r="D983" s="3" t="str">
        <f>IFERROR(INDEX(Movimientos!$E$5:$E$2001,MATCH(A983&amp;"ENTRADA",Movimientos!$R$5:$R$2001,0)),"-")</f>
        <v>-</v>
      </c>
      <c r="E983" s="3" t="str">
        <f>IFERROR(INDEX(Movimientos!$F$5:$F$2001,MATCH(A983&amp;"ENTRADA",Movimientos!$R$5:$R$2001,0)),"-")</f>
        <v>-</v>
      </c>
      <c r="F983" s="3" t="str">
        <f>IFERROR(INDEX(Movimientos!$G$5:$G$2001,MATCH(A983&amp;"ENTRADA",Movimientos!$R$5:$R$2001,0)),"-")</f>
        <v>-</v>
      </c>
      <c r="G983" s="3" t="str">
        <f>IFERROR(INDEX(Movimientos!$L$5:$L$2001,MATCH(A983&amp;"ENTRADA",Movimientos!$R$5:$R$2001,0)),"-")</f>
        <v>-</v>
      </c>
      <c r="H983" s="19" t="str">
        <f>IFERROR(IF(INDEX(Movimientos!$M$5:$M$2001,MATCH(A983&amp;"ENTRADA",Movimientos!$R$5:$R$2001,0))=0,"S/D",INDEX(Movimientos!$M$5:$M$2001,MATCH(A983&amp;"ENTRADA",Movimientos!$R$5:$R$2001,0))),"S/D")</f>
        <v>S/D</v>
      </c>
      <c r="I983" s="16" t="str">
        <f t="shared" ca="1" si="32"/>
        <v>S/D</v>
      </c>
      <c r="J983" s="6">
        <f>IF(A983="","",SUMIFS(Movimientos!$K:$K,Movimientos!$H:$H,A983))</f>
        <v>0</v>
      </c>
      <c r="K983" s="14" t="str">
        <f t="shared" ca="1" si="33"/>
        <v>OK</v>
      </c>
    </row>
    <row r="984" spans="1:11">
      <c r="A984" s="18" t="s">
        <v>3057</v>
      </c>
      <c r="B984" s="3" t="str">
        <f>IFERROR(INDEX(Movimientos!$C$5:$C$2001,MATCH(A984&amp;"ENTRADA",Movimientos!$R$5:$R$2001,0)),"-")</f>
        <v>-</v>
      </c>
      <c r="C984" s="3" t="str">
        <f>IFERROR(INDEX(Movimientos!$D$5:$D$2001,MATCH(A984&amp;"ENTRADA",Movimientos!$R$5:$R$2001,0)),"-")</f>
        <v>-</v>
      </c>
      <c r="D984" s="3" t="str">
        <f>IFERROR(INDEX(Movimientos!$E$5:$E$2001,MATCH(A984&amp;"ENTRADA",Movimientos!$R$5:$R$2001,0)),"-")</f>
        <v>-</v>
      </c>
      <c r="E984" s="3" t="str">
        <f>IFERROR(INDEX(Movimientos!$F$5:$F$2001,MATCH(A984&amp;"ENTRADA",Movimientos!$R$5:$R$2001,0)),"-")</f>
        <v>-</v>
      </c>
      <c r="F984" s="3" t="str">
        <f>IFERROR(INDEX(Movimientos!$G$5:$G$2001,MATCH(A984&amp;"ENTRADA",Movimientos!$R$5:$R$2001,0)),"-")</f>
        <v>-</v>
      </c>
      <c r="G984" s="3" t="str">
        <f>IFERROR(INDEX(Movimientos!$L$5:$L$2001,MATCH(A984&amp;"ENTRADA",Movimientos!$R$5:$R$2001,0)),"-")</f>
        <v>-</v>
      </c>
      <c r="H984" s="19" t="str">
        <f>IFERROR(IF(INDEX(Movimientos!$M$5:$M$2001,MATCH(A984&amp;"ENTRADA",Movimientos!$R$5:$R$2001,0))=0,"S/D",INDEX(Movimientos!$M$5:$M$2001,MATCH(A984&amp;"ENTRADA",Movimientos!$R$5:$R$2001,0))),"S/D")</f>
        <v>S/D</v>
      </c>
      <c r="I984" s="16" t="str">
        <f t="shared" ca="1" si="32"/>
        <v>S/D</v>
      </c>
      <c r="J984" s="6">
        <f>IF(A984="","",SUMIFS(Movimientos!$K:$K,Movimientos!$H:$H,A984))</f>
        <v>0</v>
      </c>
      <c r="K984" s="14" t="str">
        <f t="shared" ca="1" si="33"/>
        <v>OK</v>
      </c>
    </row>
    <row r="985" spans="1:11">
      <c r="A985" s="18" t="s">
        <v>3058</v>
      </c>
      <c r="B985" s="3" t="str">
        <f>IFERROR(INDEX(Movimientos!$C$5:$C$2001,MATCH(A985&amp;"ENTRADA",Movimientos!$R$5:$R$2001,0)),"-")</f>
        <v>-</v>
      </c>
      <c r="C985" s="3" t="str">
        <f>IFERROR(INDEX(Movimientos!$D$5:$D$2001,MATCH(A985&amp;"ENTRADA",Movimientos!$R$5:$R$2001,0)),"-")</f>
        <v>-</v>
      </c>
      <c r="D985" s="3" t="str">
        <f>IFERROR(INDEX(Movimientos!$E$5:$E$2001,MATCH(A985&amp;"ENTRADA",Movimientos!$R$5:$R$2001,0)),"-")</f>
        <v>-</v>
      </c>
      <c r="E985" s="3" t="str">
        <f>IFERROR(INDEX(Movimientos!$F$5:$F$2001,MATCH(A985&amp;"ENTRADA",Movimientos!$R$5:$R$2001,0)),"-")</f>
        <v>-</v>
      </c>
      <c r="F985" s="3" t="str">
        <f>IFERROR(INDEX(Movimientos!$G$5:$G$2001,MATCH(A985&amp;"ENTRADA",Movimientos!$R$5:$R$2001,0)),"-")</f>
        <v>-</v>
      </c>
      <c r="G985" s="3" t="str">
        <f>IFERROR(INDEX(Movimientos!$L$5:$L$2001,MATCH(A985&amp;"ENTRADA",Movimientos!$R$5:$R$2001,0)),"-")</f>
        <v>-</v>
      </c>
      <c r="H985" s="19" t="str">
        <f>IFERROR(IF(INDEX(Movimientos!$M$5:$M$2001,MATCH(A985&amp;"ENTRADA",Movimientos!$R$5:$R$2001,0))=0,"S/D",INDEX(Movimientos!$M$5:$M$2001,MATCH(A985&amp;"ENTRADA",Movimientos!$R$5:$R$2001,0))),"S/D")</f>
        <v>S/D</v>
      </c>
      <c r="I985" s="16" t="str">
        <f t="shared" ca="1" si="32"/>
        <v>S/D</v>
      </c>
      <c r="J985" s="6">
        <f>IF(A985="","",SUMIFS(Movimientos!$K:$K,Movimientos!$H:$H,A985))</f>
        <v>0</v>
      </c>
      <c r="K985" s="14" t="str">
        <f t="shared" ca="1" si="33"/>
        <v>OK</v>
      </c>
    </row>
    <row r="986" spans="1:11">
      <c r="A986" s="18" t="s">
        <v>3059</v>
      </c>
      <c r="B986" s="3" t="str">
        <f>IFERROR(INDEX(Movimientos!$C$5:$C$2001,MATCH(A986&amp;"ENTRADA",Movimientos!$R$5:$R$2001,0)),"-")</f>
        <v>-</v>
      </c>
      <c r="C986" s="3" t="str">
        <f>IFERROR(INDEX(Movimientos!$D$5:$D$2001,MATCH(A986&amp;"ENTRADA",Movimientos!$R$5:$R$2001,0)),"-")</f>
        <v>-</v>
      </c>
      <c r="D986" s="3" t="str">
        <f>IFERROR(INDEX(Movimientos!$E$5:$E$2001,MATCH(A986&amp;"ENTRADA",Movimientos!$R$5:$R$2001,0)),"-")</f>
        <v>-</v>
      </c>
      <c r="E986" s="3" t="str">
        <f>IFERROR(INDEX(Movimientos!$F$5:$F$2001,MATCH(A986&amp;"ENTRADA",Movimientos!$R$5:$R$2001,0)),"-")</f>
        <v>-</v>
      </c>
      <c r="F986" s="3" t="str">
        <f>IFERROR(INDEX(Movimientos!$G$5:$G$2001,MATCH(A986&amp;"ENTRADA",Movimientos!$R$5:$R$2001,0)),"-")</f>
        <v>-</v>
      </c>
      <c r="G986" s="3" t="str">
        <f>IFERROR(INDEX(Movimientos!$L$5:$L$2001,MATCH(A986&amp;"ENTRADA",Movimientos!$R$5:$R$2001,0)),"-")</f>
        <v>-</v>
      </c>
      <c r="H986" s="19" t="str">
        <f>IFERROR(IF(INDEX(Movimientos!$M$5:$M$2001,MATCH(A986&amp;"ENTRADA",Movimientos!$R$5:$R$2001,0))=0,"S/D",INDEX(Movimientos!$M$5:$M$2001,MATCH(A986&amp;"ENTRADA",Movimientos!$R$5:$R$2001,0))),"S/D")</f>
        <v>S/D</v>
      </c>
      <c r="I986" s="16" t="str">
        <f t="shared" ca="1" si="32"/>
        <v>S/D</v>
      </c>
      <c r="J986" s="6">
        <f>IF(A986="","",SUMIFS(Movimientos!$K:$K,Movimientos!$H:$H,A986))</f>
        <v>0</v>
      </c>
      <c r="K986" s="14" t="str">
        <f t="shared" ca="1" si="33"/>
        <v>OK</v>
      </c>
    </row>
    <row r="987" spans="1:11">
      <c r="A987" s="18" t="s">
        <v>3060</v>
      </c>
      <c r="B987" s="3" t="str">
        <f>IFERROR(INDEX(Movimientos!$C$5:$C$2001,MATCH(A987&amp;"ENTRADA",Movimientos!$R$5:$R$2001,0)),"-")</f>
        <v>-</v>
      </c>
      <c r="C987" s="3" t="str">
        <f>IFERROR(INDEX(Movimientos!$D$5:$D$2001,MATCH(A987&amp;"ENTRADA",Movimientos!$R$5:$R$2001,0)),"-")</f>
        <v>-</v>
      </c>
      <c r="D987" s="3" t="str">
        <f>IFERROR(INDEX(Movimientos!$E$5:$E$2001,MATCH(A987&amp;"ENTRADA",Movimientos!$R$5:$R$2001,0)),"-")</f>
        <v>-</v>
      </c>
      <c r="E987" s="3" t="str">
        <f>IFERROR(INDEX(Movimientos!$F$5:$F$2001,MATCH(A987&amp;"ENTRADA",Movimientos!$R$5:$R$2001,0)),"-")</f>
        <v>-</v>
      </c>
      <c r="F987" s="3" t="str">
        <f>IFERROR(INDEX(Movimientos!$G$5:$G$2001,MATCH(A987&amp;"ENTRADA",Movimientos!$R$5:$R$2001,0)),"-")</f>
        <v>-</v>
      </c>
      <c r="G987" s="3" t="str">
        <f>IFERROR(INDEX(Movimientos!$L$5:$L$2001,MATCH(A987&amp;"ENTRADA",Movimientos!$R$5:$R$2001,0)),"-")</f>
        <v>-</v>
      </c>
      <c r="H987" s="19" t="str">
        <f>IFERROR(IF(INDEX(Movimientos!$M$5:$M$2001,MATCH(A987&amp;"ENTRADA",Movimientos!$R$5:$R$2001,0))=0,"S/D",INDEX(Movimientos!$M$5:$M$2001,MATCH(A987&amp;"ENTRADA",Movimientos!$R$5:$R$2001,0))),"S/D")</f>
        <v>S/D</v>
      </c>
      <c r="I987" s="16" t="str">
        <f t="shared" ca="1" si="32"/>
        <v>S/D</v>
      </c>
      <c r="J987" s="6">
        <f>IF(A987="","",SUMIFS(Movimientos!$K:$K,Movimientos!$H:$H,A987))</f>
        <v>0</v>
      </c>
      <c r="K987" s="14" t="str">
        <f t="shared" ca="1" si="33"/>
        <v>OK</v>
      </c>
    </row>
    <row r="988" spans="1:11">
      <c r="A988" s="18" t="s">
        <v>3061</v>
      </c>
      <c r="B988" s="3" t="str">
        <f>IFERROR(INDEX(Movimientos!$C$5:$C$2001,MATCH(A988&amp;"ENTRADA",Movimientos!$R$5:$R$2001,0)),"-")</f>
        <v>-</v>
      </c>
      <c r="C988" s="3" t="str">
        <f>IFERROR(INDEX(Movimientos!$D$5:$D$2001,MATCH(A988&amp;"ENTRADA",Movimientos!$R$5:$R$2001,0)),"-")</f>
        <v>-</v>
      </c>
      <c r="D988" s="3" t="str">
        <f>IFERROR(INDEX(Movimientos!$E$5:$E$2001,MATCH(A988&amp;"ENTRADA",Movimientos!$R$5:$R$2001,0)),"-")</f>
        <v>-</v>
      </c>
      <c r="E988" s="3" t="str">
        <f>IFERROR(INDEX(Movimientos!$F$5:$F$2001,MATCH(A988&amp;"ENTRADA",Movimientos!$R$5:$R$2001,0)),"-")</f>
        <v>-</v>
      </c>
      <c r="F988" s="3" t="str">
        <f>IFERROR(INDEX(Movimientos!$G$5:$G$2001,MATCH(A988&amp;"ENTRADA",Movimientos!$R$5:$R$2001,0)),"-")</f>
        <v>-</v>
      </c>
      <c r="G988" s="3" t="str">
        <f>IFERROR(INDEX(Movimientos!$L$5:$L$2001,MATCH(A988&amp;"ENTRADA",Movimientos!$R$5:$R$2001,0)),"-")</f>
        <v>-</v>
      </c>
      <c r="H988" s="19" t="str">
        <f>IFERROR(IF(INDEX(Movimientos!$M$5:$M$2001,MATCH(A988&amp;"ENTRADA",Movimientos!$R$5:$R$2001,0))=0,"S/D",INDEX(Movimientos!$M$5:$M$2001,MATCH(A988&amp;"ENTRADA",Movimientos!$R$5:$R$2001,0))),"S/D")</f>
        <v>S/D</v>
      </c>
      <c r="I988" s="16" t="str">
        <f t="shared" ca="1" si="32"/>
        <v>S/D</v>
      </c>
      <c r="J988" s="6">
        <f>IF(A988="","",SUMIFS(Movimientos!$K:$K,Movimientos!$H:$H,A988))</f>
        <v>0</v>
      </c>
      <c r="K988" s="14" t="str">
        <f t="shared" ca="1" si="33"/>
        <v>OK</v>
      </c>
    </row>
    <row r="989" spans="1:11">
      <c r="A989" s="18" t="s">
        <v>3062</v>
      </c>
      <c r="B989" s="3" t="str">
        <f>IFERROR(INDEX(Movimientos!$C$5:$C$2001,MATCH(A989&amp;"ENTRADA",Movimientos!$R$5:$R$2001,0)),"-")</f>
        <v>-</v>
      </c>
      <c r="C989" s="3" t="str">
        <f>IFERROR(INDEX(Movimientos!$D$5:$D$2001,MATCH(A989&amp;"ENTRADA",Movimientos!$R$5:$R$2001,0)),"-")</f>
        <v>-</v>
      </c>
      <c r="D989" s="3" t="str">
        <f>IFERROR(INDEX(Movimientos!$E$5:$E$2001,MATCH(A989&amp;"ENTRADA",Movimientos!$R$5:$R$2001,0)),"-")</f>
        <v>-</v>
      </c>
      <c r="E989" s="3" t="str">
        <f>IFERROR(INDEX(Movimientos!$F$5:$F$2001,MATCH(A989&amp;"ENTRADA",Movimientos!$R$5:$R$2001,0)),"-")</f>
        <v>-</v>
      </c>
      <c r="F989" s="3" t="str">
        <f>IFERROR(INDEX(Movimientos!$G$5:$G$2001,MATCH(A989&amp;"ENTRADA",Movimientos!$R$5:$R$2001,0)),"-")</f>
        <v>-</v>
      </c>
      <c r="G989" s="3" t="str">
        <f>IFERROR(INDEX(Movimientos!$L$5:$L$2001,MATCH(A989&amp;"ENTRADA",Movimientos!$R$5:$R$2001,0)),"-")</f>
        <v>-</v>
      </c>
      <c r="H989" s="19" t="str">
        <f>IFERROR(IF(INDEX(Movimientos!$M$5:$M$2001,MATCH(A989&amp;"ENTRADA",Movimientos!$R$5:$R$2001,0))=0,"S/D",INDEX(Movimientos!$M$5:$M$2001,MATCH(A989&amp;"ENTRADA",Movimientos!$R$5:$R$2001,0))),"S/D")</f>
        <v>S/D</v>
      </c>
      <c r="I989" s="16" t="str">
        <f t="shared" ca="1" si="32"/>
        <v>S/D</v>
      </c>
      <c r="J989" s="6">
        <f>IF(A989="","",SUMIFS(Movimientos!$K:$K,Movimientos!$H:$H,A989))</f>
        <v>0</v>
      </c>
      <c r="K989" s="14" t="str">
        <f t="shared" ca="1" si="33"/>
        <v>OK</v>
      </c>
    </row>
    <row r="990" spans="1:11">
      <c r="A990" s="18" t="s">
        <v>3063</v>
      </c>
      <c r="B990" s="3" t="str">
        <f>IFERROR(INDEX(Movimientos!$C$5:$C$2001,MATCH(A990&amp;"ENTRADA",Movimientos!$R$5:$R$2001,0)),"-")</f>
        <v>-</v>
      </c>
      <c r="C990" s="3" t="str">
        <f>IFERROR(INDEX(Movimientos!$D$5:$D$2001,MATCH(A990&amp;"ENTRADA",Movimientos!$R$5:$R$2001,0)),"-")</f>
        <v>-</v>
      </c>
      <c r="D990" s="3" t="str">
        <f>IFERROR(INDEX(Movimientos!$E$5:$E$2001,MATCH(A990&amp;"ENTRADA",Movimientos!$R$5:$R$2001,0)),"-")</f>
        <v>-</v>
      </c>
      <c r="E990" s="3" t="str">
        <f>IFERROR(INDEX(Movimientos!$F$5:$F$2001,MATCH(A990&amp;"ENTRADA",Movimientos!$R$5:$R$2001,0)),"-")</f>
        <v>-</v>
      </c>
      <c r="F990" s="3" t="str">
        <f>IFERROR(INDEX(Movimientos!$G$5:$G$2001,MATCH(A990&amp;"ENTRADA",Movimientos!$R$5:$R$2001,0)),"-")</f>
        <v>-</v>
      </c>
      <c r="G990" s="3" t="str">
        <f>IFERROR(INDEX(Movimientos!$L$5:$L$2001,MATCH(A990&amp;"ENTRADA",Movimientos!$R$5:$R$2001,0)),"-")</f>
        <v>-</v>
      </c>
      <c r="H990" s="19" t="str">
        <f>IFERROR(IF(INDEX(Movimientos!$M$5:$M$2001,MATCH(A990&amp;"ENTRADA",Movimientos!$R$5:$R$2001,0))=0,"S/D",INDEX(Movimientos!$M$5:$M$2001,MATCH(A990&amp;"ENTRADA",Movimientos!$R$5:$R$2001,0))),"S/D")</f>
        <v>S/D</v>
      </c>
      <c r="I990" s="16" t="str">
        <f t="shared" ca="1" si="32"/>
        <v>S/D</v>
      </c>
      <c r="J990" s="6">
        <f>IF(A990="","",SUMIFS(Movimientos!$K:$K,Movimientos!$H:$H,A990))</f>
        <v>0</v>
      </c>
      <c r="K990" s="14" t="str">
        <f t="shared" ca="1" si="33"/>
        <v>OK</v>
      </c>
    </row>
    <row r="991" spans="1:11">
      <c r="A991" s="18" t="s">
        <v>3064</v>
      </c>
      <c r="B991" s="3" t="str">
        <f>IFERROR(INDEX(Movimientos!$C$5:$C$2001,MATCH(A991&amp;"ENTRADA",Movimientos!$R$5:$R$2001,0)),"-")</f>
        <v>-</v>
      </c>
      <c r="C991" s="3" t="str">
        <f>IFERROR(INDEX(Movimientos!$D$5:$D$2001,MATCH(A991&amp;"ENTRADA",Movimientos!$R$5:$R$2001,0)),"-")</f>
        <v>-</v>
      </c>
      <c r="D991" s="3" t="str">
        <f>IFERROR(INDEX(Movimientos!$E$5:$E$2001,MATCH(A991&amp;"ENTRADA",Movimientos!$R$5:$R$2001,0)),"-")</f>
        <v>-</v>
      </c>
      <c r="E991" s="3" t="str">
        <f>IFERROR(INDEX(Movimientos!$F$5:$F$2001,MATCH(A991&amp;"ENTRADA",Movimientos!$R$5:$R$2001,0)),"-")</f>
        <v>-</v>
      </c>
      <c r="F991" s="3" t="str">
        <f>IFERROR(INDEX(Movimientos!$G$5:$G$2001,MATCH(A991&amp;"ENTRADA",Movimientos!$R$5:$R$2001,0)),"-")</f>
        <v>-</v>
      </c>
      <c r="G991" s="3" t="str">
        <f>IFERROR(INDEX(Movimientos!$L$5:$L$2001,MATCH(A991&amp;"ENTRADA",Movimientos!$R$5:$R$2001,0)),"-")</f>
        <v>-</v>
      </c>
      <c r="H991" s="19" t="str">
        <f>IFERROR(IF(INDEX(Movimientos!$M$5:$M$2001,MATCH(A991&amp;"ENTRADA",Movimientos!$R$5:$R$2001,0))=0,"S/D",INDEX(Movimientos!$M$5:$M$2001,MATCH(A991&amp;"ENTRADA",Movimientos!$R$5:$R$2001,0))),"S/D")</f>
        <v>S/D</v>
      </c>
      <c r="I991" s="16" t="str">
        <f t="shared" ca="1" si="32"/>
        <v>S/D</v>
      </c>
      <c r="J991" s="6">
        <f>IF(A991="","",SUMIFS(Movimientos!$K:$K,Movimientos!$H:$H,A991))</f>
        <v>0</v>
      </c>
      <c r="K991" s="14" t="str">
        <f t="shared" ca="1" si="33"/>
        <v>OK</v>
      </c>
    </row>
    <row r="992" spans="1:11">
      <c r="A992" s="18" t="s">
        <v>3065</v>
      </c>
      <c r="B992" s="3" t="str">
        <f>IFERROR(INDEX(Movimientos!$C$5:$C$2001,MATCH(A992&amp;"ENTRADA",Movimientos!$R$5:$R$2001,0)),"-")</f>
        <v>-</v>
      </c>
      <c r="C992" s="3" t="str">
        <f>IFERROR(INDEX(Movimientos!$D$5:$D$2001,MATCH(A992&amp;"ENTRADA",Movimientos!$R$5:$R$2001,0)),"-")</f>
        <v>-</v>
      </c>
      <c r="D992" s="3" t="str">
        <f>IFERROR(INDEX(Movimientos!$E$5:$E$2001,MATCH(A992&amp;"ENTRADA",Movimientos!$R$5:$R$2001,0)),"-")</f>
        <v>-</v>
      </c>
      <c r="E992" s="3" t="str">
        <f>IFERROR(INDEX(Movimientos!$F$5:$F$2001,MATCH(A992&amp;"ENTRADA",Movimientos!$R$5:$R$2001,0)),"-")</f>
        <v>-</v>
      </c>
      <c r="F992" s="3" t="str">
        <f>IFERROR(INDEX(Movimientos!$G$5:$G$2001,MATCH(A992&amp;"ENTRADA",Movimientos!$R$5:$R$2001,0)),"-")</f>
        <v>-</v>
      </c>
      <c r="G992" s="3" t="str">
        <f>IFERROR(INDEX(Movimientos!$L$5:$L$2001,MATCH(A992&amp;"ENTRADA",Movimientos!$R$5:$R$2001,0)),"-")</f>
        <v>-</v>
      </c>
      <c r="H992" s="19" t="str">
        <f>IFERROR(IF(INDEX(Movimientos!$M$5:$M$2001,MATCH(A992&amp;"ENTRADA",Movimientos!$R$5:$R$2001,0))=0,"S/D",INDEX(Movimientos!$M$5:$M$2001,MATCH(A992&amp;"ENTRADA",Movimientos!$R$5:$R$2001,0))),"S/D")</f>
        <v>S/D</v>
      </c>
      <c r="I992" s="16" t="str">
        <f t="shared" ca="1" si="32"/>
        <v>S/D</v>
      </c>
      <c r="J992" s="6">
        <f>IF(A992="","",SUMIFS(Movimientos!$K:$K,Movimientos!$H:$H,A992))</f>
        <v>0</v>
      </c>
      <c r="K992" s="14" t="str">
        <f t="shared" ca="1" si="33"/>
        <v>OK</v>
      </c>
    </row>
    <row r="993" spans="1:11">
      <c r="A993" s="18" t="s">
        <v>3066</v>
      </c>
      <c r="B993" s="3" t="str">
        <f>IFERROR(INDEX(Movimientos!$C$5:$C$2001,MATCH(A993&amp;"ENTRADA",Movimientos!$R$5:$R$2001,0)),"-")</f>
        <v>-</v>
      </c>
      <c r="C993" s="3" t="str">
        <f>IFERROR(INDEX(Movimientos!$D$5:$D$2001,MATCH(A993&amp;"ENTRADA",Movimientos!$R$5:$R$2001,0)),"-")</f>
        <v>-</v>
      </c>
      <c r="D993" s="3" t="str">
        <f>IFERROR(INDEX(Movimientos!$E$5:$E$2001,MATCH(A993&amp;"ENTRADA",Movimientos!$R$5:$R$2001,0)),"-")</f>
        <v>-</v>
      </c>
      <c r="E993" s="3" t="str">
        <f>IFERROR(INDEX(Movimientos!$F$5:$F$2001,MATCH(A993&amp;"ENTRADA",Movimientos!$R$5:$R$2001,0)),"-")</f>
        <v>-</v>
      </c>
      <c r="F993" s="3" t="str">
        <f>IFERROR(INDEX(Movimientos!$G$5:$G$2001,MATCH(A993&amp;"ENTRADA",Movimientos!$R$5:$R$2001,0)),"-")</f>
        <v>-</v>
      </c>
      <c r="G993" s="3" t="str">
        <f>IFERROR(INDEX(Movimientos!$L$5:$L$2001,MATCH(A993&amp;"ENTRADA",Movimientos!$R$5:$R$2001,0)),"-")</f>
        <v>-</v>
      </c>
      <c r="H993" s="19" t="str">
        <f>IFERROR(IF(INDEX(Movimientos!$M$5:$M$2001,MATCH(A993&amp;"ENTRADA",Movimientos!$R$5:$R$2001,0))=0,"S/D",INDEX(Movimientos!$M$5:$M$2001,MATCH(A993&amp;"ENTRADA",Movimientos!$R$5:$R$2001,0))),"S/D")</f>
        <v>S/D</v>
      </c>
      <c r="I993" s="16" t="str">
        <f t="shared" ca="1" si="32"/>
        <v>S/D</v>
      </c>
      <c r="J993" s="6">
        <f>IF(A993="","",SUMIFS(Movimientos!$K:$K,Movimientos!$H:$H,A993))</f>
        <v>0</v>
      </c>
      <c r="K993" s="14" t="str">
        <f t="shared" ca="1" si="33"/>
        <v>OK</v>
      </c>
    </row>
    <row r="994" spans="1:11">
      <c r="A994" s="18" t="s">
        <v>3067</v>
      </c>
      <c r="B994" s="3" t="str">
        <f>IFERROR(INDEX(Movimientos!$C$5:$C$2001,MATCH(A994&amp;"ENTRADA",Movimientos!$R$5:$R$2001,0)),"-")</f>
        <v>-</v>
      </c>
      <c r="C994" s="3" t="str">
        <f>IFERROR(INDEX(Movimientos!$D$5:$D$2001,MATCH(A994&amp;"ENTRADA",Movimientos!$R$5:$R$2001,0)),"-")</f>
        <v>-</v>
      </c>
      <c r="D994" s="3" t="str">
        <f>IFERROR(INDEX(Movimientos!$E$5:$E$2001,MATCH(A994&amp;"ENTRADA",Movimientos!$R$5:$R$2001,0)),"-")</f>
        <v>-</v>
      </c>
      <c r="E994" s="3" t="str">
        <f>IFERROR(INDEX(Movimientos!$F$5:$F$2001,MATCH(A994&amp;"ENTRADA",Movimientos!$R$5:$R$2001,0)),"-")</f>
        <v>-</v>
      </c>
      <c r="F994" s="3" t="str">
        <f>IFERROR(INDEX(Movimientos!$G$5:$G$2001,MATCH(A994&amp;"ENTRADA",Movimientos!$R$5:$R$2001,0)),"-")</f>
        <v>-</v>
      </c>
      <c r="G994" s="3" t="str">
        <f>IFERROR(INDEX(Movimientos!$L$5:$L$2001,MATCH(A994&amp;"ENTRADA",Movimientos!$R$5:$R$2001,0)),"-")</f>
        <v>-</v>
      </c>
      <c r="H994" s="19" t="str">
        <f>IFERROR(IF(INDEX(Movimientos!$M$5:$M$2001,MATCH(A994&amp;"ENTRADA",Movimientos!$R$5:$R$2001,0))=0,"S/D",INDEX(Movimientos!$M$5:$M$2001,MATCH(A994&amp;"ENTRADA",Movimientos!$R$5:$R$2001,0))),"S/D")</f>
        <v>S/D</v>
      </c>
      <c r="I994" s="16" t="str">
        <f t="shared" ca="1" si="32"/>
        <v>S/D</v>
      </c>
      <c r="J994" s="6">
        <f>IF(A994="","",SUMIFS(Movimientos!$K:$K,Movimientos!$H:$H,A994))</f>
        <v>0</v>
      </c>
      <c r="K994" s="14" t="str">
        <f t="shared" ca="1" si="33"/>
        <v>OK</v>
      </c>
    </row>
    <row r="995" spans="1:11">
      <c r="A995" s="18" t="s">
        <v>3068</v>
      </c>
      <c r="B995" s="3" t="str">
        <f>IFERROR(INDEX(Movimientos!$C$5:$C$2001,MATCH(A995&amp;"ENTRADA",Movimientos!$R$5:$R$2001,0)),"-")</f>
        <v>-</v>
      </c>
      <c r="C995" s="3" t="str">
        <f>IFERROR(INDEX(Movimientos!$D$5:$D$2001,MATCH(A995&amp;"ENTRADA",Movimientos!$R$5:$R$2001,0)),"-")</f>
        <v>-</v>
      </c>
      <c r="D995" s="3" t="str">
        <f>IFERROR(INDEX(Movimientos!$E$5:$E$2001,MATCH(A995&amp;"ENTRADA",Movimientos!$R$5:$R$2001,0)),"-")</f>
        <v>-</v>
      </c>
      <c r="E995" s="3" t="str">
        <f>IFERROR(INDEX(Movimientos!$F$5:$F$2001,MATCH(A995&amp;"ENTRADA",Movimientos!$R$5:$R$2001,0)),"-")</f>
        <v>-</v>
      </c>
      <c r="F995" s="3" t="str">
        <f>IFERROR(INDEX(Movimientos!$G$5:$G$2001,MATCH(A995&amp;"ENTRADA",Movimientos!$R$5:$R$2001,0)),"-")</f>
        <v>-</v>
      </c>
      <c r="G995" s="3" t="str">
        <f>IFERROR(INDEX(Movimientos!$L$5:$L$2001,MATCH(A995&amp;"ENTRADA",Movimientos!$R$5:$R$2001,0)),"-")</f>
        <v>-</v>
      </c>
      <c r="H995" s="19" t="str">
        <f>IFERROR(IF(INDEX(Movimientos!$M$5:$M$2001,MATCH(A995&amp;"ENTRADA",Movimientos!$R$5:$R$2001,0))=0,"S/D",INDEX(Movimientos!$M$5:$M$2001,MATCH(A995&amp;"ENTRADA",Movimientos!$R$5:$R$2001,0))),"S/D")</f>
        <v>S/D</v>
      </c>
      <c r="I995" s="16" t="str">
        <f t="shared" ca="1" si="32"/>
        <v>S/D</v>
      </c>
      <c r="J995" s="6">
        <f>IF(A995="","",SUMIFS(Movimientos!$K:$K,Movimientos!$H:$H,A995))</f>
        <v>0</v>
      </c>
      <c r="K995" s="14" t="str">
        <f t="shared" ca="1" si="33"/>
        <v>OK</v>
      </c>
    </row>
    <row r="996" spans="1:11">
      <c r="A996" s="18" t="s">
        <v>3069</v>
      </c>
      <c r="B996" s="3" t="str">
        <f>IFERROR(INDEX(Movimientos!$C$5:$C$2001,MATCH(A996&amp;"ENTRADA",Movimientos!$R$5:$R$2001,0)),"-")</f>
        <v>-</v>
      </c>
      <c r="C996" s="3" t="str">
        <f>IFERROR(INDEX(Movimientos!$D$5:$D$2001,MATCH(A996&amp;"ENTRADA",Movimientos!$R$5:$R$2001,0)),"-")</f>
        <v>-</v>
      </c>
      <c r="D996" s="3" t="str">
        <f>IFERROR(INDEX(Movimientos!$E$5:$E$2001,MATCH(A996&amp;"ENTRADA",Movimientos!$R$5:$R$2001,0)),"-")</f>
        <v>-</v>
      </c>
      <c r="E996" s="3" t="str">
        <f>IFERROR(INDEX(Movimientos!$F$5:$F$2001,MATCH(A996&amp;"ENTRADA",Movimientos!$R$5:$R$2001,0)),"-")</f>
        <v>-</v>
      </c>
      <c r="F996" s="3" t="str">
        <f>IFERROR(INDEX(Movimientos!$G$5:$G$2001,MATCH(A996&amp;"ENTRADA",Movimientos!$R$5:$R$2001,0)),"-")</f>
        <v>-</v>
      </c>
      <c r="G996" s="3" t="str">
        <f>IFERROR(INDEX(Movimientos!$L$5:$L$2001,MATCH(A996&amp;"ENTRADA",Movimientos!$R$5:$R$2001,0)),"-")</f>
        <v>-</v>
      </c>
      <c r="H996" s="19" t="str">
        <f>IFERROR(IF(INDEX(Movimientos!$M$5:$M$2001,MATCH(A996&amp;"ENTRADA",Movimientos!$R$5:$R$2001,0))=0,"S/D",INDEX(Movimientos!$M$5:$M$2001,MATCH(A996&amp;"ENTRADA",Movimientos!$R$5:$R$2001,0))),"S/D")</f>
        <v>S/D</v>
      </c>
      <c r="I996" s="16" t="str">
        <f t="shared" ca="1" si="32"/>
        <v>S/D</v>
      </c>
      <c r="J996" s="6">
        <f>IF(A996="","",SUMIFS(Movimientos!$K:$K,Movimientos!$H:$H,A996))</f>
        <v>0</v>
      </c>
      <c r="K996" s="14" t="str">
        <f t="shared" ca="1" si="33"/>
        <v>OK</v>
      </c>
    </row>
    <row r="997" spans="1:11">
      <c r="A997" s="18" t="s">
        <v>3070</v>
      </c>
      <c r="B997" s="3" t="str">
        <f>IFERROR(INDEX(Movimientos!$C$5:$C$2001,MATCH(A997&amp;"ENTRADA",Movimientos!$R$5:$R$2001,0)),"-")</f>
        <v>-</v>
      </c>
      <c r="C997" s="3" t="str">
        <f>IFERROR(INDEX(Movimientos!$D$5:$D$2001,MATCH(A997&amp;"ENTRADA",Movimientos!$R$5:$R$2001,0)),"-")</f>
        <v>-</v>
      </c>
      <c r="D997" s="3" t="str">
        <f>IFERROR(INDEX(Movimientos!$E$5:$E$2001,MATCH(A997&amp;"ENTRADA",Movimientos!$R$5:$R$2001,0)),"-")</f>
        <v>-</v>
      </c>
      <c r="E997" s="3" t="str">
        <f>IFERROR(INDEX(Movimientos!$F$5:$F$2001,MATCH(A997&amp;"ENTRADA",Movimientos!$R$5:$R$2001,0)),"-")</f>
        <v>-</v>
      </c>
      <c r="F997" s="3" t="str">
        <f>IFERROR(INDEX(Movimientos!$G$5:$G$2001,MATCH(A997&amp;"ENTRADA",Movimientos!$R$5:$R$2001,0)),"-")</f>
        <v>-</v>
      </c>
      <c r="G997" s="3" t="str">
        <f>IFERROR(INDEX(Movimientos!$L$5:$L$2001,MATCH(A997&amp;"ENTRADA",Movimientos!$R$5:$R$2001,0)),"-")</f>
        <v>-</v>
      </c>
      <c r="H997" s="19" t="str">
        <f>IFERROR(IF(INDEX(Movimientos!$M$5:$M$2001,MATCH(A997&amp;"ENTRADA",Movimientos!$R$5:$R$2001,0))=0,"S/D",INDEX(Movimientos!$M$5:$M$2001,MATCH(A997&amp;"ENTRADA",Movimientos!$R$5:$R$2001,0))),"S/D")</f>
        <v>S/D</v>
      </c>
      <c r="I997" s="16" t="str">
        <f t="shared" ca="1" si="32"/>
        <v>S/D</v>
      </c>
      <c r="J997" s="6">
        <f>IF(A997="","",SUMIFS(Movimientos!$K:$K,Movimientos!$H:$H,A997))</f>
        <v>0</v>
      </c>
      <c r="K997" s="14" t="str">
        <f t="shared" ca="1" si="33"/>
        <v>OK</v>
      </c>
    </row>
    <row r="998" spans="1:11">
      <c r="A998" s="18" t="s">
        <v>3071</v>
      </c>
      <c r="B998" s="3" t="str">
        <f>IFERROR(INDEX(Movimientos!$C$5:$C$2001,MATCH(A998&amp;"ENTRADA",Movimientos!$R$5:$R$2001,0)),"-")</f>
        <v>-</v>
      </c>
      <c r="C998" s="3" t="str">
        <f>IFERROR(INDEX(Movimientos!$D$5:$D$2001,MATCH(A998&amp;"ENTRADA",Movimientos!$R$5:$R$2001,0)),"-")</f>
        <v>-</v>
      </c>
      <c r="D998" s="3" t="str">
        <f>IFERROR(INDEX(Movimientos!$E$5:$E$2001,MATCH(A998&amp;"ENTRADA",Movimientos!$R$5:$R$2001,0)),"-")</f>
        <v>-</v>
      </c>
      <c r="E998" s="3" t="str">
        <f>IFERROR(INDEX(Movimientos!$F$5:$F$2001,MATCH(A998&amp;"ENTRADA",Movimientos!$R$5:$R$2001,0)),"-")</f>
        <v>-</v>
      </c>
      <c r="F998" s="3" t="str">
        <f>IFERROR(INDEX(Movimientos!$G$5:$G$2001,MATCH(A998&amp;"ENTRADA",Movimientos!$R$5:$R$2001,0)),"-")</f>
        <v>-</v>
      </c>
      <c r="G998" s="3" t="str">
        <f>IFERROR(INDEX(Movimientos!$L$5:$L$2001,MATCH(A998&amp;"ENTRADA",Movimientos!$R$5:$R$2001,0)),"-")</f>
        <v>-</v>
      </c>
      <c r="H998" s="19" t="str">
        <f>IFERROR(IF(INDEX(Movimientos!$M$5:$M$2001,MATCH(A998&amp;"ENTRADA",Movimientos!$R$5:$R$2001,0))=0,"S/D",INDEX(Movimientos!$M$5:$M$2001,MATCH(A998&amp;"ENTRADA",Movimientos!$R$5:$R$2001,0))),"S/D")</f>
        <v>S/D</v>
      </c>
      <c r="I998" s="16" t="str">
        <f t="shared" ca="1" si="32"/>
        <v>S/D</v>
      </c>
      <c r="J998" s="6">
        <f>IF(A998="","",SUMIFS(Movimientos!$K:$K,Movimientos!$H:$H,A998))</f>
        <v>0</v>
      </c>
      <c r="K998" s="14" t="str">
        <f t="shared" ca="1" si="33"/>
        <v>OK</v>
      </c>
    </row>
    <row r="999" spans="1:11">
      <c r="A999" s="18" t="s">
        <v>3072</v>
      </c>
      <c r="B999" s="3" t="str">
        <f>IFERROR(INDEX(Movimientos!$C$5:$C$2001,MATCH(A999&amp;"ENTRADA",Movimientos!$R$5:$R$2001,0)),"-")</f>
        <v>-</v>
      </c>
      <c r="C999" s="3" t="str">
        <f>IFERROR(INDEX(Movimientos!$D$5:$D$2001,MATCH(A999&amp;"ENTRADA",Movimientos!$R$5:$R$2001,0)),"-")</f>
        <v>-</v>
      </c>
      <c r="D999" s="3" t="str">
        <f>IFERROR(INDEX(Movimientos!$E$5:$E$2001,MATCH(A999&amp;"ENTRADA",Movimientos!$R$5:$R$2001,0)),"-")</f>
        <v>-</v>
      </c>
      <c r="E999" s="3" t="str">
        <f>IFERROR(INDEX(Movimientos!$F$5:$F$2001,MATCH(A999&amp;"ENTRADA",Movimientos!$R$5:$R$2001,0)),"-")</f>
        <v>-</v>
      </c>
      <c r="F999" s="3" t="str">
        <f>IFERROR(INDEX(Movimientos!$G$5:$G$2001,MATCH(A999&amp;"ENTRADA",Movimientos!$R$5:$R$2001,0)),"-")</f>
        <v>-</v>
      </c>
      <c r="G999" s="3" t="str">
        <f>IFERROR(INDEX(Movimientos!$L$5:$L$2001,MATCH(A999&amp;"ENTRADA",Movimientos!$R$5:$R$2001,0)),"-")</f>
        <v>-</v>
      </c>
      <c r="H999" s="19" t="str">
        <f>IFERROR(IF(INDEX(Movimientos!$M$5:$M$2001,MATCH(A999&amp;"ENTRADA",Movimientos!$R$5:$R$2001,0))=0,"S/D",INDEX(Movimientos!$M$5:$M$2001,MATCH(A999&amp;"ENTRADA",Movimientos!$R$5:$R$2001,0))),"S/D")</f>
        <v>S/D</v>
      </c>
      <c r="I999" s="16" t="str">
        <f t="shared" ca="1" si="32"/>
        <v>S/D</v>
      </c>
      <c r="J999" s="6">
        <f>IF(A999="","",SUMIFS(Movimientos!$K:$K,Movimientos!$H:$H,A999))</f>
        <v>0</v>
      </c>
      <c r="K999" s="14" t="str">
        <f t="shared" ca="1" si="33"/>
        <v>OK</v>
      </c>
    </row>
    <row r="1000" spans="1:11">
      <c r="A1000" s="18" t="s">
        <v>3073</v>
      </c>
      <c r="B1000" s="3" t="str">
        <f>IFERROR(INDEX(Movimientos!$C$5:$C$2001,MATCH(A1000&amp;"ENTRADA",Movimientos!$R$5:$R$2001,0)),"-")</f>
        <v>-</v>
      </c>
      <c r="C1000" s="3" t="str">
        <f>IFERROR(INDEX(Movimientos!$D$5:$D$2001,MATCH(A1000&amp;"ENTRADA",Movimientos!$R$5:$R$2001,0)),"-")</f>
        <v>-</v>
      </c>
      <c r="D1000" s="3" t="str">
        <f>IFERROR(INDEX(Movimientos!$E$5:$E$2001,MATCH(A1000&amp;"ENTRADA",Movimientos!$R$5:$R$2001,0)),"-")</f>
        <v>-</v>
      </c>
      <c r="E1000" s="3" t="str">
        <f>IFERROR(INDEX(Movimientos!$F$5:$F$2001,MATCH(A1000&amp;"ENTRADA",Movimientos!$R$5:$R$2001,0)),"-")</f>
        <v>-</v>
      </c>
      <c r="F1000" s="3" t="str">
        <f>IFERROR(INDEX(Movimientos!$G$5:$G$2001,MATCH(A1000&amp;"ENTRADA",Movimientos!$R$5:$R$2001,0)),"-")</f>
        <v>-</v>
      </c>
      <c r="G1000" s="3" t="str">
        <f>IFERROR(INDEX(Movimientos!$L$5:$L$2001,MATCH(A1000&amp;"ENTRADA",Movimientos!$R$5:$R$2001,0)),"-")</f>
        <v>-</v>
      </c>
      <c r="H1000" s="19" t="str">
        <f>IFERROR(IF(INDEX(Movimientos!$M$5:$M$2001,MATCH(A1000&amp;"ENTRADA",Movimientos!$R$5:$R$2001,0))=0,"S/D",INDEX(Movimientos!$M$5:$M$2001,MATCH(A1000&amp;"ENTRADA",Movimientos!$R$5:$R$2001,0))),"S/D")</f>
        <v>S/D</v>
      </c>
      <c r="I1000" s="16" t="str">
        <f t="shared" ca="1" si="32"/>
        <v>S/D</v>
      </c>
      <c r="J1000" s="6">
        <f>IF(A1000="","",SUMIFS(Movimientos!$K:$K,Movimientos!$H:$H,A1000))</f>
        <v>0</v>
      </c>
      <c r="K1000" s="14" t="str">
        <f t="shared" ca="1" si="33"/>
        <v>OK</v>
      </c>
    </row>
    <row r="1001" spans="1:11">
      <c r="A1001" s="18" t="s">
        <v>3074</v>
      </c>
      <c r="B1001" s="3" t="str">
        <f>IFERROR(INDEX(Movimientos!$C$5:$C$2001,MATCH(A1001&amp;"ENTRADA",Movimientos!$R$5:$R$2001,0)),"-")</f>
        <v>-</v>
      </c>
      <c r="C1001" s="3" t="str">
        <f>IFERROR(INDEX(Movimientos!$D$5:$D$2001,MATCH(A1001&amp;"ENTRADA",Movimientos!$R$5:$R$2001,0)),"-")</f>
        <v>-</v>
      </c>
      <c r="D1001" s="3" t="str">
        <f>IFERROR(INDEX(Movimientos!$E$5:$E$2001,MATCH(A1001&amp;"ENTRADA",Movimientos!$R$5:$R$2001,0)),"-")</f>
        <v>-</v>
      </c>
      <c r="E1001" s="3" t="str">
        <f>IFERROR(INDEX(Movimientos!$F$5:$F$2001,MATCH(A1001&amp;"ENTRADA",Movimientos!$R$5:$R$2001,0)),"-")</f>
        <v>-</v>
      </c>
      <c r="F1001" s="3" t="str">
        <f>IFERROR(INDEX(Movimientos!$G$5:$G$2001,MATCH(A1001&amp;"ENTRADA",Movimientos!$R$5:$R$2001,0)),"-")</f>
        <v>-</v>
      </c>
      <c r="G1001" s="3" t="str">
        <f>IFERROR(INDEX(Movimientos!$L$5:$L$2001,MATCH(A1001&amp;"ENTRADA",Movimientos!$R$5:$R$2001,0)),"-")</f>
        <v>-</v>
      </c>
      <c r="H1001" s="19" t="str">
        <f>IFERROR(IF(INDEX(Movimientos!$M$5:$M$2001,MATCH(A1001&amp;"ENTRADA",Movimientos!$R$5:$R$2001,0))=0,"S/D",INDEX(Movimientos!$M$5:$M$2001,MATCH(A1001&amp;"ENTRADA",Movimientos!$R$5:$R$2001,0))),"S/D")</f>
        <v>S/D</v>
      </c>
      <c r="I1001" s="16" t="str">
        <f t="shared" ca="1" si="32"/>
        <v>S/D</v>
      </c>
      <c r="J1001" s="6">
        <f>IF(A1001="","",SUMIFS(Movimientos!$K:$K,Movimientos!$H:$H,A1001))</f>
        <v>0</v>
      </c>
      <c r="K1001" s="14" t="str">
        <f t="shared" ca="1" si="33"/>
        <v>OK</v>
      </c>
    </row>
    <row r="1002" spans="1:11">
      <c r="A1002" s="18" t="s">
        <v>3075</v>
      </c>
      <c r="B1002" s="3" t="str">
        <f>IFERROR(INDEX(Movimientos!$C$5:$C$2001,MATCH(A1002&amp;"ENTRADA",Movimientos!$R$5:$R$2001,0)),"-")</f>
        <v>-</v>
      </c>
      <c r="C1002" s="3" t="str">
        <f>IFERROR(INDEX(Movimientos!$D$5:$D$2001,MATCH(A1002&amp;"ENTRADA",Movimientos!$R$5:$R$2001,0)),"-")</f>
        <v>-</v>
      </c>
      <c r="D1002" s="3" t="str">
        <f>IFERROR(INDEX(Movimientos!$E$5:$E$2001,MATCH(A1002&amp;"ENTRADA",Movimientos!$R$5:$R$2001,0)),"-")</f>
        <v>-</v>
      </c>
      <c r="E1002" s="3" t="str">
        <f>IFERROR(INDEX(Movimientos!$F$5:$F$2001,MATCH(A1002&amp;"ENTRADA",Movimientos!$R$5:$R$2001,0)),"-")</f>
        <v>-</v>
      </c>
      <c r="F1002" s="3" t="str">
        <f>IFERROR(INDEX(Movimientos!$G$5:$G$2001,MATCH(A1002&amp;"ENTRADA",Movimientos!$R$5:$R$2001,0)),"-")</f>
        <v>-</v>
      </c>
      <c r="G1002" s="3" t="str">
        <f>IFERROR(INDEX(Movimientos!$L$5:$L$2001,MATCH(A1002&amp;"ENTRADA",Movimientos!$R$5:$R$2001,0)),"-")</f>
        <v>-</v>
      </c>
      <c r="H1002" s="19" t="str">
        <f>IFERROR(IF(INDEX(Movimientos!$M$5:$M$2001,MATCH(A1002&amp;"ENTRADA",Movimientos!$R$5:$R$2001,0))=0,"S/D",INDEX(Movimientos!$M$5:$M$2001,MATCH(A1002&amp;"ENTRADA",Movimientos!$R$5:$R$2001,0))),"S/D")</f>
        <v>S/D</v>
      </c>
      <c r="I1002" s="16" t="str">
        <f t="shared" ca="1" si="32"/>
        <v>S/D</v>
      </c>
      <c r="J1002" s="6">
        <f>IF(A1002="","",SUMIFS(Movimientos!$K:$K,Movimientos!$H:$H,A1002))</f>
        <v>0</v>
      </c>
      <c r="K1002" s="14" t="str">
        <f t="shared" ca="1" si="33"/>
        <v>OK</v>
      </c>
    </row>
  </sheetData>
  <mergeCells count="1">
    <mergeCell ref="A1:H1"/>
  </mergeCells>
  <phoneticPr fontId="10" type="noConversion"/>
  <conditionalFormatting sqref="K4:K1002">
    <cfRule type="expression" dxfId="5" priority="1">
      <formula>K4="OK"</formula>
    </cfRule>
    <cfRule type="expression" dxfId="4" priority="2">
      <formula>K4="PRÓXIMO A VENCER"</formula>
    </cfRule>
    <cfRule type="expression" dxfId="3" priority="3">
      <formula>K4="SIN STOCK"</formula>
    </cfRule>
    <cfRule type="expression" dxfId="2" priority="4">
      <formula>K4="VENCIDO"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5"/>
  <sheetViews>
    <sheetView showGridLines="0" workbookViewId="0">
      <pane ySplit="3" topLeftCell="A4" activePane="bottomLeft" state="frozen"/>
      <selection pane="bottomLeft" activeCell="K12" sqref="K12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72">
      <c r="A1" s="1" t="s">
        <v>3076</v>
      </c>
    </row>
    <row r="2" spans="1:8">
      <c r="A2" s="2" t="s">
        <v>3077</v>
      </c>
    </row>
    <row r="3" spans="1:8" ht="25.5">
      <c r="A3" s="20" t="s">
        <v>2102</v>
      </c>
      <c r="B3" s="20" t="s">
        <v>3078</v>
      </c>
      <c r="C3" s="20" t="s">
        <v>27</v>
      </c>
      <c r="D3" s="20" t="s">
        <v>28</v>
      </c>
      <c r="E3" s="20" t="s">
        <v>34</v>
      </c>
      <c r="F3" s="20" t="s">
        <v>3079</v>
      </c>
      <c r="G3" s="20" t="s">
        <v>3080</v>
      </c>
      <c r="H3" s="20" t="s">
        <v>3081</v>
      </c>
    </row>
    <row r="4" spans="1:8">
      <c r="A4" s="8" t="s">
        <v>43</v>
      </c>
      <c r="B4" s="4" t="str">
        <f>IF(A4="","",IFERROR(INDEX(Movimientos!$D$5:$D$2001,MATCH(A4&amp;"ENTRADA",Movimientos!$S$5:$S$2001,0)),"-"))</f>
        <v>CURRY CL</v>
      </c>
      <c r="C4" s="4" t="str">
        <f>IF(A4="","",IFERROR(INDEX(Movimientos!$E$5:$E$2001,MATCH(A4&amp;"ENTRADA",Movimientos!$S$5:$S$2001,0)),"-"))</f>
        <v>Semilla</v>
      </c>
      <c r="D4" s="4">
        <f>IF(A4="","",IFERROR(INDEX(Movimientos!$F$5:$F$2001,MATCH(A4&amp;"ENTRADA",Movimientos!$S$5:$S$2001,0)),"-"))</f>
        <v>0</v>
      </c>
      <c r="E4" s="4" t="str">
        <f>IF(A4="","",IFERROR(INDEX(Movimientos!$L$5:$L$2001,MATCH(A4&amp;"ENTRADA",Movimientos!$S$5:$S$2001,0)),"-"))</f>
        <v>kg</v>
      </c>
      <c r="F4" s="9">
        <f>IF(A4="","",COUNTIFS(Stock_por_Lote!$B:$B,A4,Stock_por_Lote!$J:$J,"&gt;0"))</f>
        <v>1</v>
      </c>
      <c r="G4" s="10">
        <f>IF(A4="","",SUMIFS(Movimientos!$K:$K,Movimientos!$C:$C,A4))</f>
        <v>3400</v>
      </c>
      <c r="H4" s="15" t="str">
        <f>IF(A4="","",IFERROR(IF(_xlfn.MINIFS(Stock_por_Lote!$H:$H,Stock_por_Lote!$B:$B,A4,Stock_por_Lote!$J:$J,"&gt;0")=0,"S/D",_xlfn.MINIFS(Stock_por_Lote!$H:$H,Stock_por_Lote!$B:$B,A4,Stock_por_Lote!$J:$J,"&gt;0")),"S/D"))</f>
        <v>S/D</v>
      </c>
    </row>
    <row r="5" spans="1:8">
      <c r="A5" s="7" t="s">
        <v>51</v>
      </c>
      <c r="B5" s="4" t="str">
        <f>IF(A5="","",IFERROR(INDEX(Movimientos!$D$5:$D$2001,MATCH(A5&amp;"ENTRADA",Movimientos!$S$5:$S$2001,0)),"-"))</f>
        <v xml:space="preserve">Clopyralid 12% + Halauxyfen methyl 0,51% </v>
      </c>
      <c r="C5" s="4" t="str">
        <f>IF(A5="","",IFERROR(INDEX(Movimientos!$E$5:$E$2001,MATCH(A5&amp;"ENTRADA",Movimientos!$S$5:$S$2001,0)),"-"))</f>
        <v>Herbicida</v>
      </c>
      <c r="D5" s="4" t="str">
        <f>IF(A5="","",IFERROR(INDEX(Movimientos!$F$5:$F$2001,MATCH(A5&amp;"ENTRADA",Movimientos!$S$5:$S$2001,0)),"-"))</f>
        <v>Postemergente</v>
      </c>
      <c r="E5" s="4" t="str">
        <f>IF(A5="","",IFERROR(INDEX(Movimientos!$L$5:$L$2001,MATCH(A5&amp;"ENTRADA",Movimientos!$S$5:$S$2001,0)),"-"))</f>
        <v>L</v>
      </c>
      <c r="F5" s="9">
        <f>IF(A5="","",COUNTIFS(Stock_por_Lote!$B:$B,A5,Stock_por_Lote!$J:$J,"&gt;0"))</f>
        <v>1</v>
      </c>
      <c r="G5" s="10">
        <f>IF(A5="","",SUMIFS(Movimientos!$K:$K,Movimientos!$C:$C,A5))</f>
        <v>500</v>
      </c>
      <c r="H5" s="15">
        <f>IF(A5="","",IFERROR(IF(_xlfn.MINIFS(Stock_por_Lote!$H:$H,Stock_por_Lote!$B:$B,A5,Stock_por_Lote!$J:$J,"&gt;0")=0,"S/D",_xlfn.MINIFS(Stock_por_Lote!$H:$H,Stock_por_Lote!$B:$B,A5,Stock_por_Lote!$J:$J,"&gt;0")),"S/D"))</f>
        <v>46710</v>
      </c>
    </row>
    <row r="6" spans="1:8">
      <c r="A6" s="8" t="s">
        <v>60</v>
      </c>
      <c r="B6" s="4" t="str">
        <f>IF(A6="","",IFERROR(INDEX(Movimientos!$D$5:$D$2001,MATCH(A6&amp;"ENTRADA",Movimientos!$S$5:$S$2001,0)),"-"))</f>
        <v>Clopyralid sal monoetanolamina 40.9%</v>
      </c>
      <c r="C6" s="4" t="str">
        <f>IF(A6="","",IFERROR(INDEX(Movimientos!$E$5:$E$2001,MATCH(A6&amp;"ENTRADA",Movimientos!$S$5:$S$2001,0)),"-"))</f>
        <v>Herbicida</v>
      </c>
      <c r="D6" s="4" t="str">
        <f>IF(A6="","",IFERROR(INDEX(Movimientos!$F$5:$F$2001,MATCH(A6&amp;"ENTRADA",Movimientos!$S$5:$S$2001,0)),"-"))</f>
        <v>Postemergente</v>
      </c>
      <c r="E6" s="4" t="str">
        <f>IF(A6="","",IFERROR(INDEX(Movimientos!$L$5:$L$2001,MATCH(A6&amp;"ENTRADA",Movimientos!$S$5:$S$2001,0)),"-"))</f>
        <v>L</v>
      </c>
      <c r="F6" s="9">
        <f>IF(A6="","",COUNTIFS(Stock_por_Lote!$B:$B,A6,Stock_por_Lote!$J:$J,"&gt;0"))</f>
        <v>1</v>
      </c>
      <c r="G6" s="10">
        <f>IF(A6="","",SUMIFS(Movimientos!$K:$K,Movimientos!$C:$C,A6))</f>
        <v>300</v>
      </c>
      <c r="H6" s="15">
        <f>IF(A6="","",IFERROR(IF(_xlfn.MINIFS(Stock_por_Lote!$H:$H,Stock_por_Lote!$B:$B,A6,Stock_por_Lote!$J:$J,"&gt;0")=0,"S/D",_xlfn.MINIFS(Stock_por_Lote!$H:$H,Stock_por_Lote!$B:$B,A6,Stock_por_Lote!$J:$J,"&gt;0")),"S/D"))</f>
        <v>46500</v>
      </c>
    </row>
    <row r="7" spans="1:8">
      <c r="A7" s="7" t="s">
        <v>64</v>
      </c>
      <c r="B7" s="4" t="str">
        <f>IF(A7="","",IFERROR(INDEX(Movimientos!$D$5:$D$2001,MATCH(A7&amp;"ENTRADA",Movimientos!$S$5:$S$2001,0)),"-"))</f>
        <v>Flumetsulam 11,35%</v>
      </c>
      <c r="C7" s="4" t="str">
        <f>IF(A7="","",IFERROR(INDEX(Movimientos!$E$5:$E$2001,MATCH(A7&amp;"ENTRADA",Movimientos!$S$5:$S$2001,0)),"-"))</f>
        <v>Herbicida</v>
      </c>
      <c r="D7" s="4" t="str">
        <f>IF(A7="","",IFERROR(INDEX(Movimientos!$F$5:$F$2001,MATCH(A7&amp;"ENTRADA",Movimientos!$S$5:$S$2001,0)),"-"))</f>
        <v>Preemergente</v>
      </c>
      <c r="E7" s="4" t="str">
        <f>IF(A7="","",IFERROR(INDEX(Movimientos!$L$5:$L$2001,MATCH(A7&amp;"ENTRADA",Movimientos!$S$5:$S$2001,0)),"-"))</f>
        <v>L</v>
      </c>
      <c r="F7" s="9">
        <f>IF(A7="","",COUNTIFS(Stock_por_Lote!$B:$B,A7,Stock_por_Lote!$J:$J,"&gt;0"))</f>
        <v>2</v>
      </c>
      <c r="G7" s="10">
        <f>IF(A7="","",SUMIFS(Movimientos!$K:$K,Movimientos!$C:$C,A7))</f>
        <v>2140</v>
      </c>
      <c r="H7" s="15">
        <f>IF(A7="","",IFERROR(IF(_xlfn.MINIFS(Stock_por_Lote!$H:$H,Stock_por_Lote!$B:$B,A7,Stock_por_Lote!$J:$J,"&gt;0")=0,"S/D",_xlfn.MINIFS(Stock_por_Lote!$H:$H,Stock_por_Lote!$B:$B,A7,Stock_por_Lote!$J:$J,"&gt;0")),"S/D"))</f>
        <v>46528</v>
      </c>
    </row>
    <row r="8" spans="1:8">
      <c r="A8" s="8" t="s">
        <v>70</v>
      </c>
      <c r="B8" s="4" t="str">
        <f>IF(A8="","",IFERROR(INDEX(Movimientos!$D$5:$D$2001,MATCH(A8&amp;"ENTRADA",Movimientos!$S$5:$S$2001,0)),"-"))</f>
        <v>Picloram 24,9%</v>
      </c>
      <c r="C8" s="4" t="str">
        <f>IF(A8="","",IFERROR(INDEX(Movimientos!$E$5:$E$2001,MATCH(A8&amp;"ENTRADA",Movimientos!$S$5:$S$2001,0)),"-"))</f>
        <v>Herbicida</v>
      </c>
      <c r="D8" s="4" t="str">
        <f>IF(A8="","",IFERROR(INDEX(Movimientos!$F$5:$F$2001,MATCH(A8&amp;"ENTRADA",Movimientos!$S$5:$S$2001,0)),"-"))</f>
        <v>Postemergente</v>
      </c>
      <c r="E8" s="4" t="str">
        <f>IF(A8="","",IFERROR(INDEX(Movimientos!$L$5:$L$2001,MATCH(A8&amp;"ENTRADA",Movimientos!$S$5:$S$2001,0)),"-"))</f>
        <v>L</v>
      </c>
      <c r="F8" s="9">
        <f>IF(A8="","",COUNTIFS(Stock_por_Lote!$B:$B,A8,Stock_por_Lote!$J:$J,"&gt;0"))</f>
        <v>1</v>
      </c>
      <c r="G8" s="10">
        <f>IF(A8="","",SUMIFS(Movimientos!$K:$K,Movimientos!$C:$C,A8))</f>
        <v>300</v>
      </c>
      <c r="H8" s="15">
        <f>IF(A8="","",IFERROR(IF(_xlfn.MINIFS(Stock_por_Lote!$H:$H,Stock_por_Lote!$B:$B,A8,Stock_por_Lote!$J:$J,"&gt;0")=0,"S/D",_xlfn.MINIFS(Stock_por_Lote!$H:$H,Stock_por_Lote!$B:$B,A8,Stock_por_Lote!$J:$J,"&gt;0")),"S/D"))</f>
        <v>46517</v>
      </c>
    </row>
    <row r="9" spans="1:8">
      <c r="A9" s="7" t="s">
        <v>73</v>
      </c>
      <c r="B9" s="4" t="str">
        <f>IF(A9="","",IFERROR(INDEX(Movimientos!$D$5:$D$2001,MATCH(A9&amp;"ENTRADA",Movimientos!$S$5:$S$2001,0)),"-"))</f>
        <v>Halauxifen metil 3.3% + Aminopyralid 2.7% + Metsulfuron metil 20%</v>
      </c>
      <c r="C9" s="4" t="str">
        <f>IF(A9="","",IFERROR(INDEX(Movimientos!$E$5:$E$2001,MATCH(A9&amp;"ENTRADA",Movimientos!$S$5:$S$2001,0)),"-"))</f>
        <v>Herbicida</v>
      </c>
      <c r="D9" s="4" t="str">
        <f>IF(A9="","",IFERROR(INDEX(Movimientos!$F$5:$F$2001,MATCH(A9&amp;"ENTRADA",Movimientos!$S$5:$S$2001,0)),"-"))</f>
        <v>Postemergente</v>
      </c>
      <c r="E9" s="4" t="str">
        <f>IF(A9="","",IFERROR(INDEX(Movimientos!$L$5:$L$2001,MATCH(A9&amp;"ENTRADA",Movimientos!$S$5:$S$2001,0)),"-"))</f>
        <v>Pack</v>
      </c>
      <c r="F9" s="9">
        <f>IF(A9="","",COUNTIFS(Stock_por_Lote!$B:$B,A9,Stock_por_Lote!$J:$J,"&gt;0"))</f>
        <v>1</v>
      </c>
      <c r="G9" s="10">
        <f>IF(A9="","",SUMIFS(Movimientos!$K:$K,Movimientos!$C:$C,A9))</f>
        <v>285</v>
      </c>
      <c r="H9" s="15">
        <f>IF(A9="","",IFERROR(IF(_xlfn.MINIFS(Stock_por_Lote!$H:$H,Stock_por_Lote!$B:$B,A9,Stock_por_Lote!$J:$J,"&gt;0")=0,"S/D",_xlfn.MINIFS(Stock_por_Lote!$H:$H,Stock_por_Lote!$B:$B,A9,Stock_por_Lote!$J:$J,"&gt;0")),"S/D"))</f>
        <v>46443</v>
      </c>
    </row>
    <row r="10" spans="1:8">
      <c r="A10" s="8" t="s">
        <v>78</v>
      </c>
      <c r="B10" s="4" t="str">
        <f>IF(A10="","",IFERROR(INDEX(Movimientos!$D$5:$D$2001,MATCH(A10&amp;"ENTRADA",Movimientos!$S$5:$S$2001,0)),"-"))</f>
        <v>2,4-Db-Butilo 93.1%</v>
      </c>
      <c r="C10" s="4" t="str">
        <f>IF(A10="","",IFERROR(INDEX(Movimientos!$E$5:$E$2001,MATCH(A10&amp;"ENTRADA",Movimientos!$S$5:$S$2001,0)),"-"))</f>
        <v>Herbicida</v>
      </c>
      <c r="D10" s="4" t="str">
        <f>IF(A10="","",IFERROR(INDEX(Movimientos!$F$5:$F$2001,MATCH(A10&amp;"ENTRADA",Movimientos!$S$5:$S$2001,0)),"-"))</f>
        <v>Postemergente</v>
      </c>
      <c r="E10" s="4" t="str">
        <f>IF(A10="","",IFERROR(INDEX(Movimientos!$L$5:$L$2001,MATCH(A10&amp;"ENTRADA",Movimientos!$S$5:$S$2001,0)),"-"))</f>
        <v>L</v>
      </c>
      <c r="F10" s="9">
        <f>IF(A10="","",COUNTIFS(Stock_por_Lote!$B:$B,A10,Stock_por_Lote!$J:$J,"&gt;0"))</f>
        <v>1</v>
      </c>
      <c r="G10" s="10">
        <f>IF(A10="","",SUMIFS(Movimientos!$K:$K,Movimientos!$C:$C,A10))</f>
        <v>2340</v>
      </c>
      <c r="H10" s="15">
        <f>IF(A10="","",IFERROR(IF(_xlfn.MINIFS(Stock_por_Lote!$H:$H,Stock_por_Lote!$B:$B,A10,Stock_por_Lote!$J:$J,"&gt;0")=0,"S/D",_xlfn.MINIFS(Stock_por_Lote!$H:$H,Stock_por_Lote!$B:$B,A10,Stock_por_Lote!$J:$J,"&gt;0")),"S/D"))</f>
        <v>46737</v>
      </c>
    </row>
    <row r="11" spans="1:8">
      <c r="A11" t="s">
        <v>94</v>
      </c>
      <c r="B11" s="4" t="str">
        <f>IF(A11="","",IFERROR(INDEX(Movimientos!$D$5:$D$2001,MATCH(A11&amp;"ENTRADA",Movimientos!$S$5:$S$2001,0)),"-"))</f>
        <v>2,4 D Acido 27.2%</v>
      </c>
      <c r="C11" s="4" t="str">
        <f>IF(A11="","",IFERROR(INDEX(Movimientos!$E$5:$E$2001,MATCH(A11&amp;"ENTRADA",Movimientos!$S$5:$S$2001,0)),"-"))</f>
        <v>Herbicida</v>
      </c>
      <c r="D11" s="4" t="str">
        <f>IF(A11="","",IFERROR(INDEX(Movimientos!$F$5:$F$2001,MATCH(A11&amp;"ENTRADA",Movimientos!$S$5:$S$2001,0)),"-"))</f>
        <v>Postemergente</v>
      </c>
      <c r="E11" s="4" t="str">
        <f>IF(A11="","",IFERROR(INDEX(Movimientos!$L$5:$L$2001,MATCH(A11&amp;"ENTRADA",Movimientos!$S$5:$S$2001,0)),"-"))</f>
        <v>L</v>
      </c>
      <c r="F11" s="9">
        <f>IF(A11="","",COUNTIFS(Stock_por_Lote!$B:$B,A11,Stock_por_Lote!$J:$J,"&gt;0"))</f>
        <v>1</v>
      </c>
      <c r="G11" s="10">
        <f>IF(A11="","",SUMIFS(Movimientos!$K:$K,Movimientos!$C:$C,A11))</f>
        <v>11900</v>
      </c>
      <c r="H11" s="15">
        <f>IF(A11="","",IFERROR(IF(_xlfn.MINIFS(Stock_por_Lote!$H:$H,Stock_por_Lote!$B:$B,A11,Stock_por_Lote!$J:$J,"&gt;0")=0,"S/D",_xlfn.MINIFS(Stock_por_Lote!$H:$H,Stock_por_Lote!$B:$B,A11,Stock_por_Lote!$J:$J,"&gt;0")),"S/D"))</f>
        <v>46725</v>
      </c>
    </row>
    <row r="12" spans="1:8">
      <c r="A12" t="s">
        <v>89</v>
      </c>
      <c r="B12" s="4" t="str">
        <f>IF(A12="","",IFERROR(INDEX(Movimientos!$D$5:$D$2001,MATCH(A12&amp;"ENTRADA",Movimientos!$S$5:$S$2001,0)),"-"))</f>
        <v>Silobolsa 9 pies</v>
      </c>
      <c r="C12" s="4" t="str">
        <f>IF(A12="","",IFERROR(INDEX(Movimientos!$E$5:$E$2001,MATCH(A12&amp;"ENTRADA",Movimientos!$S$5:$S$2001,0)),"-"))</f>
        <v>Silobolsa</v>
      </c>
      <c r="D12" s="4">
        <f>IF(A12="","",IFERROR(INDEX(Movimientos!$F$5:$F$2001,MATCH(A12&amp;"ENTRADA",Movimientos!$S$5:$S$2001,0)),"-"))</f>
        <v>0</v>
      </c>
      <c r="E12" s="4" t="str">
        <f>IF(A12="","",IFERROR(INDEX(Movimientos!$L$5:$L$2001,MATCH(A12&amp;"ENTRADA",Movimientos!$S$5:$S$2001,0)),"-"))</f>
        <v>unidad</v>
      </c>
      <c r="F12" s="9">
        <f>IF(A12="","",COUNTIFS(Stock_por_Lote!$B:$B,A12,Stock_por_Lote!$J:$J,"&gt;0"))</f>
        <v>1</v>
      </c>
      <c r="G12" s="10">
        <f>IF(A12="","",SUMIFS(Movimientos!$K:$K,Movimientos!$C:$C,A12))</f>
        <v>3</v>
      </c>
      <c r="H12" s="15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99</v>
      </c>
      <c r="B13" s="4">
        <f>IF(A13="","",IFERROR(INDEX(Movimientos!$D$5:$D$2001,MATCH(A13&amp;"ENTRADA",Movimientos!$S$5:$S$2001,0)),"-"))</f>
        <v>0</v>
      </c>
      <c r="C13" s="4" t="str">
        <f>IF(A13="","",IFERROR(INDEX(Movimientos!$E$5:$E$2001,MATCH(A13&amp;"ENTRADA",Movimientos!$S$5:$S$2001,0)),"-"))</f>
        <v>Semilla</v>
      </c>
      <c r="D13" s="4">
        <f>IF(A13="","",IFERROR(INDEX(Movimientos!$F$5:$F$2001,MATCH(A13&amp;"ENTRADA",Movimientos!$S$5:$S$2001,0)),"-"))</f>
        <v>0</v>
      </c>
      <c r="E13" s="4" t="str">
        <f>IF(A13="","",IFERROR(INDEX(Movimientos!$L$5:$L$2001,MATCH(A13&amp;"ENTRADA",Movimientos!$S$5:$S$2001,0)),"-"))</f>
        <v>kg</v>
      </c>
      <c r="F13" s="9">
        <f>IF(A13="","",COUNTIFS(Stock_por_Lote!$B:$B,A13,Stock_por_Lote!$J:$J,"&gt;0"))</f>
        <v>1</v>
      </c>
      <c r="G13" s="10">
        <f>IF(A13="","",SUMIFS(Movimientos!$K:$K,Movimientos!$C:$C,A13))</f>
        <v>14000</v>
      </c>
      <c r="H13" s="15" t="str">
        <f>IF(A13="","",IFERROR(IF(_xlfn.MINIFS(Stock_por_Lote!$H:$H,Stock_por_Lote!$B:$B,A13,Stock_por_Lote!$J:$J,"&gt;0")=0,"S/D",_xlfn.MINIFS(Stock_por_Lote!$H:$H,Stock_por_Lote!$B:$B,A13,Stock_por_Lote!$J:$J,"&gt;0")),"S/D"))</f>
        <v>S/D</v>
      </c>
    </row>
    <row r="14" spans="1:8">
      <c r="A14" t="s">
        <v>102</v>
      </c>
      <c r="B14" s="4" t="str">
        <f>IF(A14="","",IFERROR(INDEX(Movimientos!$D$5:$D$2001,MATCH(A14&amp;"ENTRADA",Movimientos!$S$5:$S$2001,0)),"-"))</f>
        <v>Fluroxypyr Meptil 45,52%</v>
      </c>
      <c r="C14" s="4" t="str">
        <f>IF(A14="","",IFERROR(INDEX(Movimientos!$E$5:$E$2001,MATCH(A14&amp;"ENTRADA",Movimientos!$S$5:$S$2001,0)),"-"))</f>
        <v>Herbicida</v>
      </c>
      <c r="D14" s="4" t="str">
        <f>IF(A14="","",IFERROR(INDEX(Movimientos!$F$5:$F$2001,MATCH(A14&amp;"ENTRADA",Movimientos!$S$5:$S$2001,0)),"-"))</f>
        <v>Postemergente</v>
      </c>
      <c r="E14" s="4" t="str">
        <f>IF(A14="","",IFERROR(INDEX(Movimientos!$L$5:$L$2001,MATCH(A14&amp;"ENTRADA",Movimientos!$S$5:$S$2001,0)),"-"))</f>
        <v>L</v>
      </c>
      <c r="F14" s="9">
        <f>IF(A14="","",COUNTIFS(Stock_por_Lote!$B:$B,A14,Stock_por_Lote!$J:$J,"&gt;0"))</f>
        <v>1</v>
      </c>
      <c r="G14" s="10">
        <f>IF(A14="","",SUMIFS(Movimientos!$K:$K,Movimientos!$C:$C,A14))</f>
        <v>540</v>
      </c>
      <c r="H14" s="15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105</v>
      </c>
      <c r="B15" s="4" t="str">
        <f>IF(A15="","",IFERROR(INDEX(Movimientos!$D$5:$D$2001,MATCH(A15&amp;"ENTRADA",Movimientos!$S$5:$S$2001,0)),"-"))</f>
        <v>Fluroxypyr meptyl 34,91% + Halauxyfen methyl 1.64% + Cloquintocet mexyl 1.57%</v>
      </c>
      <c r="C15" s="4" t="str">
        <f>IF(A15="","",IFERROR(INDEX(Movimientos!$E$5:$E$2001,MATCH(A15&amp;"ENTRADA",Movimientos!$S$5:$S$2001,0)),"-"))</f>
        <v>Herbicida</v>
      </c>
      <c r="D15" s="4" t="str">
        <f>IF(A15="","",IFERROR(INDEX(Movimientos!$F$5:$F$2001,MATCH(A15&amp;"ENTRADA",Movimientos!$S$5:$S$2001,0)),"-"))</f>
        <v>Postemergente</v>
      </c>
      <c r="E15" s="4" t="str">
        <f>IF(A15="","",IFERROR(INDEX(Movimientos!$L$5:$L$2001,MATCH(A15&amp;"ENTRADA",Movimientos!$S$5:$S$2001,0)),"-"))</f>
        <v>L</v>
      </c>
      <c r="F15" s="9">
        <f>IF(A15="","",COUNTIFS(Stock_por_Lote!$B:$B,A15,Stock_por_Lote!$J:$J,"&gt;0"))</f>
        <v>1</v>
      </c>
      <c r="G15" s="10">
        <f>IF(A15="","",SUMIFS(Movimientos!$K:$K,Movimientos!$C:$C,A15))</f>
        <v>200</v>
      </c>
      <c r="H15" s="15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B16" s="4" t="str">
        <f>IF(A16="","",IFERROR(INDEX(Movimientos!$D$5:$D$2001,MATCH(A16&amp;"ENTRADA",Movimientos!$S$5:$S$2001,0)),"-"))</f>
        <v/>
      </c>
      <c r="C16" s="4" t="str">
        <f>IF(A16="","",IFERROR(INDEX(Movimientos!$E$5:$E$2001,MATCH(A16&amp;"ENTRADA",Movimientos!$S$5:$S$2001,0)),"-"))</f>
        <v/>
      </c>
      <c r="D16" s="4" t="str">
        <f>IF(A16="","",IFERROR(INDEX(Movimientos!$F$5:$F$2001,MATCH(A16&amp;"ENTRADA",Movimientos!$S$5:$S$2001,0)),"-"))</f>
        <v/>
      </c>
      <c r="E16" s="4" t="str">
        <f>IF(A16="","",IFERROR(INDEX(Movimientos!$L$5:$L$2001,MATCH(A16&amp;"ENTRADA",Movimientos!$S$5:$S$2001,0)),"-"))</f>
        <v/>
      </c>
      <c r="F16" s="9" t="str">
        <f>IF(A16="","",COUNTIFS(Stock_por_Lote!$B:$B,A16,Stock_por_Lote!$J:$J,"&gt;0"))</f>
        <v/>
      </c>
      <c r="G16" s="10" t="str">
        <f>IF(A16="","",SUMIFS(Movimientos!$K:$K,Movimientos!$C:$C,A16))</f>
        <v/>
      </c>
      <c r="H16" s="15" t="str">
        <f>IF(A16="","",IFERROR(IF(_xlfn.MINIFS(Stock_por_Lote!$H:$H,Stock_por_Lote!$B:$B,A16,Stock_por_Lote!$J:$J,"&gt;0")=0,"S/D",_xlfn.MINIFS(Stock_por_Lote!$H:$H,Stock_por_Lote!$B:$B,A16,Stock_por_Lote!$J:$J,"&gt;0")),"S/D"))</f>
        <v/>
      </c>
    </row>
    <row r="17" spans="2:8">
      <c r="B17" s="4" t="str">
        <f>IF(A17="","",IFERROR(INDEX(Movimientos!$D$5:$D$2001,MATCH(A17&amp;"ENTRADA",Movimientos!$S$5:$S$2001,0)),"-"))</f>
        <v/>
      </c>
      <c r="C17" s="4" t="str">
        <f>IF(A17="","",IFERROR(INDEX(Movimientos!$E$5:$E$2001,MATCH(A17&amp;"ENTRADA",Movimientos!$S$5:$S$2001,0)),"-"))</f>
        <v/>
      </c>
      <c r="D17" s="4" t="str">
        <f>IF(A17="","",IFERROR(INDEX(Movimientos!$F$5:$F$2001,MATCH(A17&amp;"ENTRADA",Movimientos!$S$5:$S$2001,0)),"-"))</f>
        <v/>
      </c>
      <c r="E17" s="4" t="str">
        <f>IF(A17="","",IFERROR(INDEX(Movimientos!$L$5:$L$2001,MATCH(A17&amp;"ENTRADA",Movimientos!$S$5:$S$2001,0)),"-"))</f>
        <v/>
      </c>
      <c r="F17" s="9" t="str">
        <f>IF(A17="","",COUNTIFS(Stock_por_Lote!$B:$B,A17,Stock_por_Lote!$J:$J,"&gt;0"))</f>
        <v/>
      </c>
      <c r="G17" s="10" t="str">
        <f>IF(A17="","",SUMIFS(Movimientos!$K:$K,Movimientos!$C:$C,A17))</f>
        <v/>
      </c>
      <c r="H17" s="15" t="str">
        <f>IF(A17="","",IFERROR(IF(_xlfn.MINIFS(Stock_por_Lote!$H:$H,Stock_por_Lote!$B:$B,A17,Stock_por_Lote!$J:$J,"&gt;0")=0,"S/D",_xlfn.MINIFS(Stock_por_Lote!$H:$H,Stock_por_Lote!$B:$B,A17,Stock_por_Lote!$J:$J,"&gt;0")),"S/D"))</f>
        <v/>
      </c>
    </row>
    <row r="18" spans="2:8">
      <c r="B18" s="4" t="str">
        <f>IF(A18="","",IFERROR(INDEX(Movimientos!$D$5:$D$2001,MATCH(A18&amp;"ENTRADA",Movimientos!$S$5:$S$2001,0)),"-"))</f>
        <v/>
      </c>
      <c r="C18" s="4" t="str">
        <f>IF(A18="","",IFERROR(INDEX(Movimientos!$E$5:$E$2001,MATCH(A18&amp;"ENTRADA",Movimientos!$S$5:$S$2001,0)),"-"))</f>
        <v/>
      </c>
      <c r="D18" s="4" t="str">
        <f>IF(A18="","",IFERROR(INDEX(Movimientos!$F$5:$F$2001,MATCH(A18&amp;"ENTRADA",Movimientos!$S$5:$S$2001,0)),"-"))</f>
        <v/>
      </c>
      <c r="E18" s="4" t="str">
        <f>IF(A18="","",IFERROR(INDEX(Movimientos!$L$5:$L$2001,MATCH(A18&amp;"ENTRADA",Movimientos!$S$5:$S$2001,0)),"-"))</f>
        <v/>
      </c>
      <c r="F18" s="9" t="str">
        <f>IF(A18="","",COUNTIFS(Stock_por_Lote!$B:$B,A18,Stock_por_Lote!$J:$J,"&gt;0"))</f>
        <v/>
      </c>
      <c r="G18" s="10" t="str">
        <f>IF(A18="","",SUMIFS(Movimientos!$K:$K,Movimientos!$C:$C,A18))</f>
        <v/>
      </c>
      <c r="H18" s="15" t="str">
        <f>IF(A18="","",IFERROR(IF(_xlfn.MINIFS(Stock_por_Lote!$H:$H,Stock_por_Lote!$B:$B,A18,Stock_por_Lote!$J:$J,"&gt;0")=0,"S/D",_xlfn.MINIFS(Stock_por_Lote!$H:$H,Stock_por_Lote!$B:$B,A18,Stock_por_Lote!$J:$J,"&gt;0")),"S/D"))</f>
        <v/>
      </c>
    </row>
    <row r="19" spans="2:8">
      <c r="B19" s="4" t="str">
        <f>IF(A19="","",IFERROR(INDEX(Movimientos!$D$5:$D$2001,MATCH(A19&amp;"ENTRADA",Movimientos!$S$5:$S$2001,0)),"-"))</f>
        <v/>
      </c>
      <c r="C19" s="4" t="str">
        <f>IF(A19="","",IFERROR(INDEX(Movimientos!$E$5:$E$2001,MATCH(A19&amp;"ENTRADA",Movimientos!$S$5:$S$2001,0)),"-"))</f>
        <v/>
      </c>
      <c r="D19" s="4" t="str">
        <f>IF(A19="","",IFERROR(INDEX(Movimientos!$F$5:$F$2001,MATCH(A19&amp;"ENTRADA",Movimientos!$S$5:$S$2001,0)),"-"))</f>
        <v/>
      </c>
      <c r="E19" s="4" t="str">
        <f>IF(A19="","",IFERROR(INDEX(Movimientos!$L$5:$L$2001,MATCH(A19&amp;"ENTRADA",Movimientos!$S$5:$S$2001,0)),"-"))</f>
        <v/>
      </c>
      <c r="F19" s="9" t="str">
        <f>IF(A19="","",COUNTIFS(Stock_por_Lote!$B:$B,A19,Stock_por_Lote!$J:$J,"&gt;0"))</f>
        <v/>
      </c>
      <c r="G19" s="10" t="str">
        <f>IF(A19="","",SUMIFS(Movimientos!$K:$K,Movimientos!$C:$C,A19))</f>
        <v/>
      </c>
      <c r="H19" s="15" t="str">
        <f>IF(A19="","",IFERROR(IF(_xlfn.MINIFS(Stock_por_Lote!$H:$H,Stock_por_Lote!$B:$B,A19,Stock_por_Lote!$J:$J,"&gt;0")=0,"S/D",_xlfn.MINIFS(Stock_por_Lote!$H:$H,Stock_por_Lote!$B:$B,A19,Stock_por_Lote!$J:$J,"&gt;0")),"S/D"))</f>
        <v/>
      </c>
    </row>
    <row r="20" spans="2:8">
      <c r="B20" s="4" t="str">
        <f>IF(A20="","",IFERROR(INDEX(Movimientos!$D$5:$D$2001,MATCH(A20&amp;"ENTRADA",Movimientos!$S$5:$S$2001,0)),"-"))</f>
        <v/>
      </c>
      <c r="C20" s="4" t="str">
        <f>IF(A20="","",IFERROR(INDEX(Movimientos!$E$5:$E$2001,MATCH(A20&amp;"ENTRADA",Movimientos!$S$5:$S$2001,0)),"-"))</f>
        <v/>
      </c>
      <c r="D20" s="4" t="str">
        <f>IF(A20="","",IFERROR(INDEX(Movimientos!$F$5:$F$2001,MATCH(A20&amp;"ENTRADA",Movimientos!$S$5:$S$2001,0)),"-"))</f>
        <v/>
      </c>
      <c r="E20" s="4" t="str">
        <f>IF(A20="","",IFERROR(INDEX(Movimientos!$L$5:$L$2001,MATCH(A20&amp;"ENTRADA",Movimientos!$S$5:$S$2001,0)),"-"))</f>
        <v/>
      </c>
      <c r="F20" s="9" t="str">
        <f>IF(A20="","",COUNTIFS(Stock_por_Lote!$B:$B,A20,Stock_por_Lote!$J:$J,"&gt;0"))</f>
        <v/>
      </c>
      <c r="G20" s="10" t="str">
        <f>IF(A20="","",SUMIFS(Movimientos!$K:$K,Movimientos!$C:$C,A20))</f>
        <v/>
      </c>
      <c r="H20" s="15" t="str">
        <f>IF(A20="","",IFERROR(IF(_xlfn.MINIFS(Stock_por_Lote!$H:$H,Stock_por_Lote!$B:$B,A20,Stock_por_Lote!$J:$J,"&gt;0")=0,"S/D",_xlfn.MINIFS(Stock_por_Lote!$H:$H,Stock_por_Lote!$B:$B,A20,Stock_por_Lote!$J:$J,"&gt;0")),"S/D"))</f>
        <v/>
      </c>
    </row>
    <row r="21" spans="2:8">
      <c r="B21" s="4" t="str">
        <f>IF(A21="","",IFERROR(INDEX(Movimientos!$D$5:$D$2001,MATCH(A21&amp;"ENTRADA",Movimientos!$S$5:$S$2001,0)),"-"))</f>
        <v/>
      </c>
      <c r="C21" s="4" t="str">
        <f>IF(A21="","",IFERROR(INDEX(Movimientos!$E$5:$E$2001,MATCH(A21&amp;"ENTRADA",Movimientos!$S$5:$S$2001,0)),"-"))</f>
        <v/>
      </c>
      <c r="D21" s="4" t="str">
        <f>IF(A21="","",IFERROR(INDEX(Movimientos!$F$5:$F$2001,MATCH(A21&amp;"ENTRADA",Movimientos!$S$5:$S$2001,0)),"-"))</f>
        <v/>
      </c>
      <c r="E21" s="4" t="str">
        <f>IF(A21="","",IFERROR(INDEX(Movimientos!$L$5:$L$2001,MATCH(A21&amp;"ENTRADA",Movimientos!$S$5:$S$2001,0)),"-"))</f>
        <v/>
      </c>
      <c r="F21" s="9" t="str">
        <f>IF(A21="","",COUNTIFS(Stock_por_Lote!$B:$B,A21,Stock_por_Lote!$J:$J,"&gt;0"))</f>
        <v/>
      </c>
      <c r="G21" s="10" t="str">
        <f>IF(A21="","",SUMIFS(Movimientos!$K:$K,Movimientos!$C:$C,A21))</f>
        <v/>
      </c>
      <c r="H21" s="15" t="str">
        <f>IF(A21="","",IFERROR(IF(_xlfn.MINIFS(Stock_por_Lote!$H:$H,Stock_por_Lote!$B:$B,A21,Stock_por_Lote!$J:$J,"&gt;0")=0,"S/D",_xlfn.MINIFS(Stock_por_Lote!$H:$H,Stock_por_Lote!$B:$B,A21,Stock_por_Lote!$J:$J,"&gt;0")),"S/D"))</f>
        <v/>
      </c>
    </row>
    <row r="22" spans="2:8">
      <c r="B22" s="4" t="str">
        <f>IF(A22="","",IFERROR(INDEX(Movimientos!$D$5:$D$2001,MATCH(A22&amp;"ENTRADA",Movimientos!$S$5:$S$2001,0)),"-"))</f>
        <v/>
      </c>
      <c r="C22" s="4" t="str">
        <f>IF(A22="","",IFERROR(INDEX(Movimientos!$E$5:$E$2001,MATCH(A22&amp;"ENTRADA",Movimientos!$S$5:$S$2001,0)),"-"))</f>
        <v/>
      </c>
      <c r="D22" s="4" t="str">
        <f>IF(A22="","",IFERROR(INDEX(Movimientos!$F$5:$F$2001,MATCH(A22&amp;"ENTRADA",Movimientos!$S$5:$S$2001,0)),"-"))</f>
        <v/>
      </c>
      <c r="E22" s="4" t="str">
        <f>IF(A22="","",IFERROR(INDEX(Movimientos!$L$5:$L$2001,MATCH(A22&amp;"ENTRADA",Movimientos!$S$5:$S$2001,0)),"-"))</f>
        <v/>
      </c>
      <c r="F22" s="9" t="str">
        <f>IF(A22="","",COUNTIFS(Stock_por_Lote!$B:$B,A22,Stock_por_Lote!$J:$J,"&gt;0"))</f>
        <v/>
      </c>
      <c r="G22" s="10" t="str">
        <f>IF(A22="","",SUMIFS(Movimientos!$K:$K,Movimientos!$C:$C,A22))</f>
        <v/>
      </c>
      <c r="H22" s="15" t="str">
        <f>IF(A22="","",IFERROR(IF(_xlfn.MINIFS(Stock_por_Lote!$H:$H,Stock_por_Lote!$B:$B,A22,Stock_por_Lote!$J:$J,"&gt;0")=0,"S/D",_xlfn.MINIFS(Stock_por_Lote!$H:$H,Stock_por_Lote!$B:$B,A22,Stock_por_Lote!$J:$J,"&gt;0")),"S/D"))</f>
        <v/>
      </c>
    </row>
    <row r="23" spans="2:8">
      <c r="B23" s="4" t="str">
        <f>IF(A23="","",IFERROR(INDEX(Movimientos!$D$5:$D$2001,MATCH(A23&amp;"ENTRADA",Movimientos!$S$5:$S$2001,0)),"-"))</f>
        <v/>
      </c>
      <c r="C23" s="4" t="str">
        <f>IF(A23="","",IFERROR(INDEX(Movimientos!$E$5:$E$2001,MATCH(A23&amp;"ENTRADA",Movimientos!$S$5:$S$2001,0)),"-"))</f>
        <v/>
      </c>
      <c r="D23" s="4" t="str">
        <f>IF(A23="","",IFERROR(INDEX(Movimientos!$F$5:$F$2001,MATCH(A23&amp;"ENTRADA",Movimientos!$S$5:$S$2001,0)),"-"))</f>
        <v/>
      </c>
      <c r="E23" s="4" t="str">
        <f>IF(A23="","",IFERROR(INDEX(Movimientos!$L$5:$L$2001,MATCH(A23&amp;"ENTRADA",Movimientos!$S$5:$S$2001,0)),"-"))</f>
        <v/>
      </c>
      <c r="F23" s="9" t="str">
        <f>IF(A23="","",COUNTIFS(Stock_por_Lote!$B:$B,A23,Stock_por_Lote!$J:$J,"&gt;0"))</f>
        <v/>
      </c>
      <c r="G23" s="10" t="str">
        <f>IF(A23="","",SUMIFS(Movimientos!$K:$K,Movimientos!$C:$C,A23))</f>
        <v/>
      </c>
      <c r="H23" s="15" t="str">
        <f>IF(A23="","",IFERROR(IF(_xlfn.MINIFS(Stock_por_Lote!$H:$H,Stock_por_Lote!$B:$B,A23,Stock_por_Lote!$J:$J,"&gt;0")=0,"S/D",_xlfn.MINIFS(Stock_por_Lote!$H:$H,Stock_por_Lote!$B:$B,A23,Stock_por_Lote!$J:$J,"&gt;0")),"S/D"))</f>
        <v/>
      </c>
    </row>
    <row r="24" spans="2:8">
      <c r="B24" s="4" t="str">
        <f>IF(A24="","",IFERROR(INDEX(Movimientos!$D$5:$D$2001,MATCH(A24&amp;"ENTRADA",Movimientos!$S$5:$S$2001,0)),"-"))</f>
        <v/>
      </c>
      <c r="C24" s="4" t="str">
        <f>IF(A24="","",IFERROR(INDEX(Movimientos!$E$5:$E$2001,MATCH(A24&amp;"ENTRADA",Movimientos!$S$5:$S$2001,0)),"-"))</f>
        <v/>
      </c>
      <c r="D24" s="4" t="str">
        <f>IF(A24="","",IFERROR(INDEX(Movimientos!$F$5:$F$2001,MATCH(A24&amp;"ENTRADA",Movimientos!$S$5:$S$2001,0)),"-"))</f>
        <v/>
      </c>
      <c r="E24" s="4" t="str">
        <f>IF(A24="","",IFERROR(INDEX(Movimientos!$L$5:$L$2001,MATCH(A24&amp;"ENTRADA",Movimientos!$S$5:$S$2001,0)),"-"))</f>
        <v/>
      </c>
      <c r="F24" s="9" t="str">
        <f>IF(A24="","",COUNTIFS(Stock_por_Lote!$B:$B,A24,Stock_por_Lote!$J:$J,"&gt;0"))</f>
        <v/>
      </c>
      <c r="G24" s="10" t="str">
        <f>IF(A24="","",SUMIFS(Movimientos!$K:$K,Movimientos!$C:$C,A24))</f>
        <v/>
      </c>
      <c r="H24" s="15" t="str">
        <f>IF(A24="","",IFERROR(IF(_xlfn.MINIFS(Stock_por_Lote!$H:$H,Stock_por_Lote!$B:$B,A24,Stock_por_Lote!$J:$J,"&gt;0")=0,"S/D",_xlfn.MINIFS(Stock_por_Lote!$H:$H,Stock_por_Lote!$B:$B,A24,Stock_por_Lote!$J:$J,"&gt;0")),"S/D"))</f>
        <v/>
      </c>
    </row>
    <row r="25" spans="2:8">
      <c r="B25" s="4" t="str">
        <f>IF(A25="","",IFERROR(INDEX(Movimientos!$D$5:$D$2001,MATCH(A25&amp;"ENTRADA",Movimientos!$S$5:$S$2001,0)),"-"))</f>
        <v/>
      </c>
      <c r="C25" s="4" t="str">
        <f>IF(A25="","",IFERROR(INDEX(Movimientos!$E$5:$E$2001,MATCH(A25&amp;"ENTRADA",Movimientos!$S$5:$S$2001,0)),"-"))</f>
        <v/>
      </c>
      <c r="D25" s="4" t="str">
        <f>IF(A25="","",IFERROR(INDEX(Movimientos!$F$5:$F$2001,MATCH(A25&amp;"ENTRADA",Movimientos!$S$5:$S$2001,0)),"-"))</f>
        <v/>
      </c>
      <c r="E25" s="4" t="str">
        <f>IF(A25="","",IFERROR(INDEX(Movimientos!$L$5:$L$2001,MATCH(A25&amp;"ENTRADA",Movimientos!$S$5:$S$2001,0)),"-"))</f>
        <v/>
      </c>
      <c r="F25" s="9" t="str">
        <f>IF(A25="","",COUNTIFS(Stock_por_Lote!$B:$B,A25,Stock_por_Lote!$J:$J,"&gt;0"))</f>
        <v/>
      </c>
      <c r="G25" s="10" t="str">
        <f>IF(A25="","",SUMIFS(Movimientos!$K:$K,Movimientos!$C:$C,A25))</f>
        <v/>
      </c>
      <c r="H25" s="15" t="str">
        <f>IF(A25="","",IFERROR(IF(_xlfn.MINIFS(Stock_por_Lote!$H:$H,Stock_por_Lote!$B:$B,A25,Stock_por_Lote!$J:$J,"&gt;0")=0,"S/D",_xlfn.MINIFS(Stock_por_Lote!$H:$H,Stock_por_Lote!$B:$B,A25,Stock_por_Lote!$J:$J,"&gt;0")),"S/D"))</f>
        <v/>
      </c>
    </row>
    <row r="26" spans="2:8">
      <c r="B26" s="4" t="str">
        <f>IF(A26="","",IFERROR(INDEX(Movimientos!$D$5:$D$2001,MATCH(A26&amp;"ENTRADA",Movimientos!$S$5:$S$2001,0)),"-"))</f>
        <v/>
      </c>
      <c r="C26" s="4" t="str">
        <f>IF(A26="","",IFERROR(INDEX(Movimientos!$E$5:$E$2001,MATCH(A26&amp;"ENTRADA",Movimientos!$S$5:$S$2001,0)),"-"))</f>
        <v/>
      </c>
      <c r="D26" s="4" t="str">
        <f>IF(A26="","",IFERROR(INDEX(Movimientos!$F$5:$F$2001,MATCH(A26&amp;"ENTRADA",Movimientos!$S$5:$S$2001,0)),"-"))</f>
        <v/>
      </c>
      <c r="E26" s="4" t="str">
        <f>IF(A26="","",IFERROR(INDEX(Movimientos!$L$5:$L$2001,MATCH(A26&amp;"ENTRADA",Movimientos!$S$5:$S$2001,0)),"-"))</f>
        <v/>
      </c>
      <c r="F26" s="9" t="str">
        <f>IF(A26="","",COUNTIFS(Stock_por_Lote!$B:$B,A26,Stock_por_Lote!$J:$J,"&gt;0"))</f>
        <v/>
      </c>
      <c r="G26" s="10" t="str">
        <f>IF(A26="","",SUMIFS(Movimientos!$K:$K,Movimientos!$C:$C,A26))</f>
        <v/>
      </c>
      <c r="H26" s="15" t="str">
        <f>IF(A26="","",IFERROR(IF(_xlfn.MINIFS(Stock_por_Lote!$H:$H,Stock_por_Lote!$B:$B,A26,Stock_por_Lote!$J:$J,"&gt;0")=0,"S/D",_xlfn.MINIFS(Stock_por_Lote!$H:$H,Stock_por_Lote!$B:$B,A26,Stock_por_Lote!$J:$J,"&gt;0")),"S/D"))</f>
        <v/>
      </c>
    </row>
    <row r="27" spans="2:8">
      <c r="B27" s="4" t="str">
        <f>IF(A27="","",IFERROR(INDEX(Movimientos!$D$5:$D$2001,MATCH(A27&amp;"ENTRADA",Movimientos!$S$5:$S$2001,0)),"-"))</f>
        <v/>
      </c>
      <c r="C27" s="4" t="str">
        <f>IF(A27="","",IFERROR(INDEX(Movimientos!$E$5:$E$2001,MATCH(A27&amp;"ENTRADA",Movimientos!$S$5:$S$2001,0)),"-"))</f>
        <v/>
      </c>
      <c r="D27" s="4" t="str">
        <f>IF(A27="","",IFERROR(INDEX(Movimientos!$F$5:$F$2001,MATCH(A27&amp;"ENTRADA",Movimientos!$S$5:$S$2001,0)),"-"))</f>
        <v/>
      </c>
      <c r="E27" s="4" t="str">
        <f>IF(A27="","",IFERROR(INDEX(Movimientos!$L$5:$L$2001,MATCH(A27&amp;"ENTRADA",Movimientos!$S$5:$S$2001,0)),"-"))</f>
        <v/>
      </c>
      <c r="F27" s="9" t="str">
        <f>IF(A27="","",COUNTIFS(Stock_por_Lote!$B:$B,A27,Stock_por_Lote!$J:$J,"&gt;0"))</f>
        <v/>
      </c>
      <c r="G27" s="10" t="str">
        <f>IF(A27="","",SUMIFS(Movimientos!$K:$K,Movimientos!$C:$C,A27))</f>
        <v/>
      </c>
      <c r="H27" s="15" t="str">
        <f>IF(A27="","",IFERROR(IF(_xlfn.MINIFS(Stock_por_Lote!$H:$H,Stock_por_Lote!$B:$B,A27,Stock_por_Lote!$J:$J,"&gt;0")=0,"S/D",_xlfn.MINIFS(Stock_por_Lote!$H:$H,Stock_por_Lote!$B:$B,A27,Stock_por_Lote!$J:$J,"&gt;0")),"S/D"))</f>
        <v/>
      </c>
    </row>
    <row r="28" spans="2:8">
      <c r="B28" s="4" t="str">
        <f>IF(A28="","",IFERROR(INDEX(Movimientos!$D$5:$D$2001,MATCH(A28&amp;"ENTRADA",Movimientos!$S$5:$S$2001,0)),"-"))</f>
        <v/>
      </c>
      <c r="C28" s="4" t="str">
        <f>IF(A28="","",IFERROR(INDEX(Movimientos!$E$5:$E$2001,MATCH(A28&amp;"ENTRADA",Movimientos!$S$5:$S$2001,0)),"-"))</f>
        <v/>
      </c>
      <c r="D28" s="4" t="str">
        <f>IF(A28="","",IFERROR(INDEX(Movimientos!$F$5:$F$2001,MATCH(A28&amp;"ENTRADA",Movimientos!$S$5:$S$2001,0)),"-"))</f>
        <v/>
      </c>
      <c r="E28" s="4" t="str">
        <f>IF(A28="","",IFERROR(INDEX(Movimientos!$L$5:$L$2001,MATCH(A28&amp;"ENTRADA",Movimientos!$S$5:$S$2001,0)),"-"))</f>
        <v/>
      </c>
      <c r="F28" s="9" t="str">
        <f>IF(A28="","",COUNTIFS(Stock_por_Lote!$B:$B,A28,Stock_por_Lote!$J:$J,"&gt;0"))</f>
        <v/>
      </c>
      <c r="G28" s="10" t="str">
        <f>IF(A28="","",SUMIFS(Movimientos!$K:$K,Movimientos!$C:$C,A28))</f>
        <v/>
      </c>
      <c r="H28" s="15" t="str">
        <f>IF(A28="","",IFERROR(IF(_xlfn.MINIFS(Stock_por_Lote!$H:$H,Stock_por_Lote!$B:$B,A28,Stock_por_Lote!$J:$J,"&gt;0")=0,"S/D",_xlfn.MINIFS(Stock_por_Lote!$H:$H,Stock_por_Lote!$B:$B,A28,Stock_por_Lote!$J:$J,"&gt;0")),"S/D"))</f>
        <v/>
      </c>
    </row>
    <row r="29" spans="2:8">
      <c r="B29" s="4" t="str">
        <f>IF(A29="","",IFERROR(INDEX(Movimientos!$D$5:$D$2001,MATCH(A29&amp;"ENTRADA",Movimientos!$S$5:$S$2001,0)),"-"))</f>
        <v/>
      </c>
      <c r="C29" s="4" t="str">
        <f>IF(A29="","",IFERROR(INDEX(Movimientos!$E$5:$E$2001,MATCH(A29&amp;"ENTRADA",Movimientos!$S$5:$S$2001,0)),"-"))</f>
        <v/>
      </c>
      <c r="D29" s="4" t="str">
        <f>IF(A29="","",IFERROR(INDEX(Movimientos!$F$5:$F$2001,MATCH(A29&amp;"ENTRADA",Movimientos!$S$5:$S$2001,0)),"-"))</f>
        <v/>
      </c>
      <c r="E29" s="4" t="str">
        <f>IF(A29="","",IFERROR(INDEX(Movimientos!$L$5:$L$2001,MATCH(A29&amp;"ENTRADA",Movimientos!$S$5:$S$2001,0)),"-"))</f>
        <v/>
      </c>
      <c r="F29" s="9" t="str">
        <f>IF(A29="","",COUNTIFS(Stock_por_Lote!$B:$B,A29,Stock_por_Lote!$J:$J,"&gt;0"))</f>
        <v/>
      </c>
      <c r="G29" s="10" t="str">
        <f>IF(A29="","",SUMIFS(Movimientos!$K:$K,Movimientos!$C:$C,A29))</f>
        <v/>
      </c>
      <c r="H29" s="15" t="str">
        <f>IF(A29="","",IFERROR(IF(_xlfn.MINIFS(Stock_por_Lote!$H:$H,Stock_por_Lote!$B:$B,A29,Stock_por_Lote!$J:$J,"&gt;0")=0,"S/D",_xlfn.MINIFS(Stock_por_Lote!$H:$H,Stock_por_Lote!$B:$B,A29,Stock_por_Lote!$J:$J,"&gt;0")),"S/D"))</f>
        <v/>
      </c>
    </row>
    <row r="30" spans="2:8">
      <c r="B30" s="4" t="str">
        <f>IF(A30="","",IFERROR(INDEX(Movimientos!$D$5:$D$2001,MATCH(A30&amp;"ENTRADA",Movimientos!$S$5:$S$2001,0)),"-"))</f>
        <v/>
      </c>
      <c r="C30" s="4" t="str">
        <f>IF(A30="","",IFERROR(INDEX(Movimientos!$E$5:$E$2001,MATCH(A30&amp;"ENTRADA",Movimientos!$S$5:$S$2001,0)),"-"))</f>
        <v/>
      </c>
      <c r="D30" s="4" t="str">
        <f>IF(A30="","",IFERROR(INDEX(Movimientos!$F$5:$F$2001,MATCH(A30&amp;"ENTRADA",Movimientos!$S$5:$S$2001,0)),"-"))</f>
        <v/>
      </c>
      <c r="E30" s="4" t="str">
        <f>IF(A30="","",IFERROR(INDEX(Movimientos!$L$5:$L$2001,MATCH(A30&amp;"ENTRADA",Movimientos!$S$5:$S$2001,0)),"-"))</f>
        <v/>
      </c>
      <c r="F30" s="9" t="str">
        <f>IF(A30="","",COUNTIFS(Stock_por_Lote!$B:$B,A30,Stock_por_Lote!$J:$J,"&gt;0"))</f>
        <v/>
      </c>
      <c r="G30" s="10" t="str">
        <f>IF(A30="","",SUMIFS(Movimientos!$K:$K,Movimientos!$C:$C,A30))</f>
        <v/>
      </c>
      <c r="H30" s="15" t="str">
        <f>IF(A30="","",IFERROR(IF(_xlfn.MINIFS(Stock_por_Lote!$H:$H,Stock_por_Lote!$B:$B,A30,Stock_por_Lote!$J:$J,"&gt;0")=0,"S/D",_xlfn.MINIFS(Stock_por_Lote!$H:$H,Stock_por_Lote!$B:$B,A30,Stock_por_Lote!$J:$J,"&gt;0")),"S/D"))</f>
        <v/>
      </c>
    </row>
    <row r="31" spans="2:8">
      <c r="B31" s="4" t="str">
        <f>IF(A31="","",IFERROR(INDEX(Movimientos!$D$5:$D$2001,MATCH(A31&amp;"ENTRADA",Movimientos!$S$5:$S$2001,0)),"-"))</f>
        <v/>
      </c>
      <c r="C31" s="4" t="str">
        <f>IF(A31="","",IFERROR(INDEX(Movimientos!$E$5:$E$2001,MATCH(A31&amp;"ENTRADA",Movimientos!$S$5:$S$2001,0)),"-"))</f>
        <v/>
      </c>
      <c r="D31" s="4" t="str">
        <f>IF(A31="","",IFERROR(INDEX(Movimientos!$F$5:$F$2001,MATCH(A31&amp;"ENTRADA",Movimientos!$S$5:$S$2001,0)),"-"))</f>
        <v/>
      </c>
      <c r="E31" s="4" t="str">
        <f>IF(A31="","",IFERROR(INDEX(Movimientos!$L$5:$L$2001,MATCH(A31&amp;"ENTRADA",Movimientos!$S$5:$S$2001,0)),"-"))</f>
        <v/>
      </c>
      <c r="F31" s="9" t="str">
        <f>IF(A31="","",COUNTIFS(Stock_por_Lote!$B:$B,A31,Stock_por_Lote!$J:$J,"&gt;0"))</f>
        <v/>
      </c>
      <c r="G31" s="10" t="str">
        <f>IF(A31="","",SUMIFS(Movimientos!$K:$K,Movimientos!$C:$C,A31))</f>
        <v/>
      </c>
      <c r="H31" s="15" t="str">
        <f>IF(A31="","",IFERROR(IF(_xlfn.MINIFS(Stock_por_Lote!$H:$H,Stock_por_Lote!$B:$B,A31,Stock_por_Lote!$J:$J,"&gt;0")=0,"S/D",_xlfn.MINIFS(Stock_por_Lote!$H:$H,Stock_por_Lote!$B:$B,A31,Stock_por_Lote!$J:$J,"&gt;0")),"S/D"))</f>
        <v/>
      </c>
    </row>
    <row r="32" spans="2:8">
      <c r="B32" s="4" t="str">
        <f>IF(A32="","",IFERROR(INDEX(Movimientos!$D$5:$D$2001,MATCH(A32&amp;"ENTRADA",Movimientos!$S$5:$S$2001,0)),"-"))</f>
        <v/>
      </c>
      <c r="C32" s="4" t="str">
        <f>IF(A32="","",IFERROR(INDEX(Movimientos!$E$5:$E$2001,MATCH(A32&amp;"ENTRADA",Movimientos!$S$5:$S$2001,0)),"-"))</f>
        <v/>
      </c>
      <c r="D32" s="4" t="str">
        <f>IF(A32="","",IFERROR(INDEX(Movimientos!$F$5:$F$2001,MATCH(A32&amp;"ENTRADA",Movimientos!$S$5:$S$2001,0)),"-"))</f>
        <v/>
      </c>
      <c r="E32" s="4" t="str">
        <f>IF(A32="","",IFERROR(INDEX(Movimientos!$L$5:$L$2001,MATCH(A32&amp;"ENTRADA",Movimientos!$S$5:$S$2001,0)),"-"))</f>
        <v/>
      </c>
      <c r="F32" s="9" t="str">
        <f>IF(A32="","",COUNTIFS(Stock_por_Lote!$B:$B,A32,Stock_por_Lote!$J:$J,"&gt;0"))</f>
        <v/>
      </c>
      <c r="G32" s="10" t="str">
        <f>IF(A32="","",SUMIFS(Movimientos!$K:$K,Movimientos!$C:$C,A32))</f>
        <v/>
      </c>
      <c r="H32" s="15" t="str">
        <f>IF(A32="","",IFERROR(IF(_xlfn.MINIFS(Stock_por_Lote!$H:$H,Stock_por_Lote!$B:$B,A32,Stock_por_Lote!$J:$J,"&gt;0")=0,"S/D",_xlfn.MINIFS(Stock_por_Lote!$H:$H,Stock_por_Lote!$B:$B,A32,Stock_por_Lote!$J:$J,"&gt;0")),"S/D"))</f>
        <v/>
      </c>
    </row>
    <row r="33" spans="2:8">
      <c r="B33" s="4" t="str">
        <f>IF(A33="","",IFERROR(INDEX(Movimientos!$D$5:$D$2001,MATCH(A33&amp;"ENTRADA",Movimientos!$S$5:$S$2001,0)),"-"))</f>
        <v/>
      </c>
      <c r="C33" s="4" t="str">
        <f>IF(A33="","",IFERROR(INDEX(Movimientos!$E$5:$E$2001,MATCH(A33&amp;"ENTRADA",Movimientos!$S$5:$S$2001,0)),"-"))</f>
        <v/>
      </c>
      <c r="D33" s="4" t="str">
        <f>IF(A33="","",IFERROR(INDEX(Movimientos!$F$5:$F$2001,MATCH(A33&amp;"ENTRADA",Movimientos!$S$5:$S$2001,0)),"-"))</f>
        <v/>
      </c>
      <c r="E33" s="4" t="str">
        <f>IF(A33="","",IFERROR(INDEX(Movimientos!$L$5:$L$2001,MATCH(A33&amp;"ENTRADA",Movimientos!$S$5:$S$2001,0)),"-"))</f>
        <v/>
      </c>
      <c r="F33" s="9" t="str">
        <f>IF(A33="","",COUNTIFS(Stock_por_Lote!$B:$B,A33,Stock_por_Lote!$J:$J,"&gt;0"))</f>
        <v/>
      </c>
      <c r="G33" s="10" t="str">
        <f>IF(A33="","",SUMIFS(Movimientos!$K:$K,Movimientos!$C:$C,A33))</f>
        <v/>
      </c>
      <c r="H33" s="15" t="str">
        <f>IF(A33="","",IFERROR(IF(_xlfn.MINIFS(Stock_por_Lote!$H:$H,Stock_por_Lote!$B:$B,A33,Stock_por_Lote!$J:$J,"&gt;0")=0,"S/D",_xlfn.MINIFS(Stock_por_Lote!$H:$H,Stock_por_Lote!$B:$B,A33,Stock_por_Lote!$J:$J,"&gt;0")),"S/D"))</f>
        <v/>
      </c>
    </row>
    <row r="34" spans="2:8">
      <c r="B34" s="4" t="str">
        <f>IF(A34="","",IFERROR(INDEX(Movimientos!$D$5:$D$2001,MATCH(A34&amp;"ENTRADA",Movimientos!$S$5:$S$2001,0)),"-"))</f>
        <v/>
      </c>
      <c r="C34" s="4" t="str">
        <f>IF(A34="","",IFERROR(INDEX(Movimientos!$E$5:$E$2001,MATCH(A34&amp;"ENTRADA",Movimientos!$S$5:$S$2001,0)),"-"))</f>
        <v/>
      </c>
      <c r="D34" s="4" t="str">
        <f>IF(A34="","",IFERROR(INDEX(Movimientos!$F$5:$F$2001,MATCH(A34&amp;"ENTRADA",Movimientos!$S$5:$S$2001,0)),"-"))</f>
        <v/>
      </c>
      <c r="E34" s="4" t="str">
        <f>IF(A34="","",IFERROR(INDEX(Movimientos!$L$5:$L$2001,MATCH(A34&amp;"ENTRADA",Movimientos!$S$5:$S$2001,0)),"-"))</f>
        <v/>
      </c>
      <c r="F34" s="9" t="str">
        <f>IF(A34="","",COUNTIFS(Stock_por_Lote!$B:$B,A34,Stock_por_Lote!$J:$J,"&gt;0"))</f>
        <v/>
      </c>
      <c r="G34" s="10" t="str">
        <f>IF(A34="","",SUMIFS(Movimientos!$K:$K,Movimientos!$C:$C,A34))</f>
        <v/>
      </c>
      <c r="H34" s="15" t="str">
        <f>IF(A34="","",IFERROR(IF(_xlfn.MINIFS(Stock_por_Lote!$H:$H,Stock_por_Lote!$B:$B,A34,Stock_por_Lote!$J:$J,"&gt;0")=0,"S/D",_xlfn.MINIFS(Stock_por_Lote!$H:$H,Stock_por_Lote!$B:$B,A34,Stock_por_Lote!$J:$J,"&gt;0")),"S/D"))</f>
        <v/>
      </c>
    </row>
    <row r="35" spans="2:8">
      <c r="B35" s="4" t="str">
        <f>IF(A35="","",IFERROR(INDEX(Movimientos!$D$5:$D$2001,MATCH(A35&amp;"ENTRADA",Movimientos!$S$5:$S$2001,0)),"-"))</f>
        <v/>
      </c>
      <c r="C35" s="4" t="str">
        <f>IF(A35="","",IFERROR(INDEX(Movimientos!$E$5:$E$2001,MATCH(A35&amp;"ENTRADA",Movimientos!$S$5:$S$2001,0)),"-"))</f>
        <v/>
      </c>
      <c r="D35" s="4" t="str">
        <f>IF(A35="","",IFERROR(INDEX(Movimientos!$F$5:$F$2001,MATCH(A35&amp;"ENTRADA",Movimientos!$S$5:$S$2001,0)),"-"))</f>
        <v/>
      </c>
      <c r="E35" s="4" t="str">
        <f>IF(A35="","",IFERROR(INDEX(Movimientos!$L$5:$L$2001,MATCH(A35&amp;"ENTRADA",Movimientos!$S$5:$S$2001,0)),"-"))</f>
        <v/>
      </c>
      <c r="F35" s="9" t="str">
        <f>IF(A35="","",COUNTIFS(Stock_por_Lote!$B:$B,A35,Stock_por_Lote!$J:$J,"&gt;0"))</f>
        <v/>
      </c>
      <c r="G35" s="10" t="str">
        <f>IF(A35="","",SUMIFS(Movimientos!$K:$K,Movimientos!$C:$C,A35))</f>
        <v/>
      </c>
      <c r="H35" s="15" t="str">
        <f>IF(A35="","",IFERROR(IF(_xlfn.MINIFS(Stock_por_Lote!$H:$H,Stock_por_Lote!$B:$B,A35,Stock_por_Lote!$J:$J,"&gt;0")=0,"S/D",_xlfn.MINIFS(Stock_por_Lote!$H:$H,Stock_por_Lote!$B:$B,A35,Stock_por_Lote!$J:$J,"&gt;0")),"S/D"))</f>
        <v/>
      </c>
    </row>
    <row r="36" spans="2:8">
      <c r="B36" s="4" t="str">
        <f>IF(A36="","",IFERROR(INDEX(Movimientos!$D$5:$D$2001,MATCH(A36&amp;"ENTRADA",Movimientos!$S$5:$S$2001,0)),"-"))</f>
        <v/>
      </c>
      <c r="C36" s="4" t="str">
        <f>IF(A36="","",IFERROR(INDEX(Movimientos!$E$5:$E$2001,MATCH(A36&amp;"ENTRADA",Movimientos!$S$5:$S$2001,0)),"-"))</f>
        <v/>
      </c>
      <c r="D36" s="4" t="str">
        <f>IF(A36="","",IFERROR(INDEX(Movimientos!$F$5:$F$2001,MATCH(A36&amp;"ENTRADA",Movimientos!$S$5:$S$2001,0)),"-"))</f>
        <v/>
      </c>
      <c r="E36" s="4" t="str">
        <f>IF(A36="","",IFERROR(INDEX(Movimientos!$L$5:$L$2001,MATCH(A36&amp;"ENTRADA",Movimientos!$S$5:$S$2001,0)),"-"))</f>
        <v/>
      </c>
      <c r="F36" s="9" t="str">
        <f>IF(A36="","",COUNTIFS(Stock_por_Lote!$B:$B,A36,Stock_por_Lote!$J:$J,"&gt;0"))</f>
        <v/>
      </c>
      <c r="G36" s="10" t="str">
        <f>IF(A36="","",SUMIFS(Movimientos!$K:$K,Movimientos!$C:$C,A36))</f>
        <v/>
      </c>
      <c r="H36" s="15" t="str">
        <f>IF(A36="","",IFERROR(IF(_xlfn.MINIFS(Stock_por_Lote!$H:$H,Stock_por_Lote!$B:$B,A36,Stock_por_Lote!$J:$J,"&gt;0")=0,"S/D",_xlfn.MINIFS(Stock_por_Lote!$H:$H,Stock_por_Lote!$B:$B,A36,Stock_por_Lote!$J:$J,"&gt;0")),"S/D"))</f>
        <v/>
      </c>
    </row>
    <row r="37" spans="2:8">
      <c r="B37" s="4" t="str">
        <f>IF(A37="","",IFERROR(INDEX(Movimientos!$D$5:$D$2001,MATCH(A37&amp;"ENTRADA",Movimientos!$S$5:$S$2001,0)),"-"))</f>
        <v/>
      </c>
      <c r="C37" s="4" t="str">
        <f>IF(A37="","",IFERROR(INDEX(Movimientos!$E$5:$E$2001,MATCH(A37&amp;"ENTRADA",Movimientos!$S$5:$S$2001,0)),"-"))</f>
        <v/>
      </c>
      <c r="D37" s="4" t="str">
        <f>IF(A37="","",IFERROR(INDEX(Movimientos!$F$5:$F$2001,MATCH(A37&amp;"ENTRADA",Movimientos!$S$5:$S$2001,0)),"-"))</f>
        <v/>
      </c>
      <c r="E37" s="4" t="str">
        <f>IF(A37="","",IFERROR(INDEX(Movimientos!$L$5:$L$2001,MATCH(A37&amp;"ENTRADA",Movimientos!$S$5:$S$2001,0)),"-"))</f>
        <v/>
      </c>
      <c r="F37" s="9" t="str">
        <f>IF(A37="","",COUNTIFS(Stock_por_Lote!$B:$B,A37,Stock_por_Lote!$J:$J,"&gt;0"))</f>
        <v/>
      </c>
      <c r="G37" s="10" t="str">
        <f>IF(A37="","",SUMIFS(Movimientos!$K:$K,Movimientos!$C:$C,A37))</f>
        <v/>
      </c>
      <c r="H37" s="15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2:8">
      <c r="B38" s="4" t="str">
        <f>IF(A38="","",IFERROR(INDEX(Movimientos!$D$5:$D$2001,MATCH(A38&amp;"ENTRADA",Movimientos!$S$5:$S$2001,0)),"-"))</f>
        <v/>
      </c>
      <c r="C38" s="4" t="str">
        <f>IF(A38="","",IFERROR(INDEX(Movimientos!$E$5:$E$2001,MATCH(A38&amp;"ENTRADA",Movimientos!$S$5:$S$2001,0)),"-"))</f>
        <v/>
      </c>
      <c r="D38" s="4" t="str">
        <f>IF(A38="","",IFERROR(INDEX(Movimientos!$F$5:$F$2001,MATCH(A38&amp;"ENTRADA",Movimientos!$S$5:$S$2001,0)),"-"))</f>
        <v/>
      </c>
      <c r="E38" s="4" t="str">
        <f>IF(A38="","",IFERROR(INDEX(Movimientos!$L$5:$L$2001,MATCH(A38&amp;"ENTRADA",Movimientos!$S$5:$S$2001,0)),"-"))</f>
        <v/>
      </c>
      <c r="F38" s="9" t="str">
        <f>IF(A38="","",COUNTIFS(Stock_por_Lote!$B:$B,A38,Stock_por_Lote!$J:$J,"&gt;0"))</f>
        <v/>
      </c>
      <c r="G38" s="10" t="str">
        <f>IF(A38="","",SUMIFS(Movimientos!$K:$K,Movimientos!$C:$C,A38))</f>
        <v/>
      </c>
      <c r="H38" s="15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2:8">
      <c r="B39" s="4" t="str">
        <f>IF(A39="","",IFERROR(INDEX(Movimientos!$D$5:$D$2001,MATCH(A39&amp;"ENTRADA",Movimientos!$S$5:$S$2001,0)),"-"))</f>
        <v/>
      </c>
      <c r="C39" s="4" t="str">
        <f>IF(A39="","",IFERROR(INDEX(Movimientos!$E$5:$E$2001,MATCH(A39&amp;"ENTRADA",Movimientos!$S$5:$S$2001,0)),"-"))</f>
        <v/>
      </c>
      <c r="D39" s="4" t="str">
        <f>IF(A39="","",IFERROR(INDEX(Movimientos!$F$5:$F$2001,MATCH(A39&amp;"ENTRADA",Movimientos!$S$5:$S$2001,0)),"-"))</f>
        <v/>
      </c>
      <c r="E39" s="4" t="str">
        <f>IF(A39="","",IFERROR(INDEX(Movimientos!$L$5:$L$2001,MATCH(A39&amp;"ENTRADA",Movimientos!$S$5:$S$2001,0)),"-"))</f>
        <v/>
      </c>
      <c r="F39" s="9" t="str">
        <f>IF(A39="","",COUNTIFS(Stock_por_Lote!$B:$B,A39,Stock_por_Lote!$J:$J,"&gt;0"))</f>
        <v/>
      </c>
      <c r="G39" s="10" t="str">
        <f>IF(A39="","",SUMIFS(Movimientos!$K:$K,Movimientos!$C:$C,A39))</f>
        <v/>
      </c>
      <c r="H39" s="15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2:8">
      <c r="B40" s="4" t="str">
        <f>IF(A40="","",IFERROR(INDEX(Movimientos!$D$5:$D$2001,MATCH(A40&amp;"ENTRADA",Movimientos!$S$5:$S$2001,0)),"-"))</f>
        <v/>
      </c>
      <c r="C40" s="4" t="str">
        <f>IF(A40="","",IFERROR(INDEX(Movimientos!$E$5:$E$2001,MATCH(A40&amp;"ENTRADA",Movimientos!$S$5:$S$2001,0)),"-"))</f>
        <v/>
      </c>
      <c r="D40" s="4" t="str">
        <f>IF(A40="","",IFERROR(INDEX(Movimientos!$F$5:$F$2001,MATCH(A40&amp;"ENTRADA",Movimientos!$S$5:$S$2001,0)),"-"))</f>
        <v/>
      </c>
      <c r="E40" s="4" t="str">
        <f>IF(A40="","",IFERROR(INDEX(Movimientos!$L$5:$L$2001,MATCH(A40&amp;"ENTRADA",Movimientos!$S$5:$S$2001,0)),"-"))</f>
        <v/>
      </c>
      <c r="F40" s="9" t="str">
        <f>IF(A40="","",COUNTIFS(Stock_por_Lote!$B:$B,A40,Stock_por_Lote!$J:$J,"&gt;0"))</f>
        <v/>
      </c>
      <c r="G40" s="10" t="str">
        <f>IF(A40="","",SUMIFS(Movimientos!$K:$K,Movimientos!$C:$C,A40))</f>
        <v/>
      </c>
      <c r="H40" s="15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2:8">
      <c r="B41" s="4" t="str">
        <f>IF(A41="","",IFERROR(INDEX(Movimientos!$D$5:$D$2001,MATCH(A41&amp;"ENTRADA",Movimientos!$S$5:$S$2001,0)),"-"))</f>
        <v/>
      </c>
      <c r="C41" s="4" t="str">
        <f>IF(A41="","",IFERROR(INDEX(Movimientos!$E$5:$E$2001,MATCH(A41&amp;"ENTRADA",Movimientos!$S$5:$S$2001,0)),"-"))</f>
        <v/>
      </c>
      <c r="D41" s="4" t="str">
        <f>IF(A41="","",IFERROR(INDEX(Movimientos!$F$5:$F$2001,MATCH(A41&amp;"ENTRADA",Movimientos!$S$5:$S$2001,0)),"-"))</f>
        <v/>
      </c>
      <c r="E41" s="4" t="str">
        <f>IF(A41="","",IFERROR(INDEX(Movimientos!$L$5:$L$2001,MATCH(A41&amp;"ENTRADA",Movimientos!$S$5:$S$2001,0)),"-"))</f>
        <v/>
      </c>
      <c r="F41" s="9" t="str">
        <f>IF(A41="","",COUNTIFS(Stock_por_Lote!$B:$B,A41,Stock_por_Lote!$J:$J,"&gt;0"))</f>
        <v/>
      </c>
      <c r="G41" s="10" t="str">
        <f>IF(A41="","",SUMIFS(Movimientos!$K:$K,Movimientos!$C:$C,A41))</f>
        <v/>
      </c>
      <c r="H41" s="15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2:8">
      <c r="B42" s="4" t="str">
        <f>IF(A42="","",IFERROR(INDEX(Movimientos!$D$5:$D$2001,MATCH(A42&amp;"ENTRADA",Movimientos!$S$5:$S$2001,0)),"-"))</f>
        <v/>
      </c>
      <c r="C42" s="4" t="str">
        <f>IF(A42="","",IFERROR(INDEX(Movimientos!$E$5:$E$2001,MATCH(A42&amp;"ENTRADA",Movimientos!$S$5:$S$2001,0)),"-"))</f>
        <v/>
      </c>
      <c r="D42" s="4" t="str">
        <f>IF(A42="","",IFERROR(INDEX(Movimientos!$F$5:$F$2001,MATCH(A42&amp;"ENTRADA",Movimientos!$S$5:$S$2001,0)),"-"))</f>
        <v/>
      </c>
      <c r="E42" s="4" t="str">
        <f>IF(A42="","",IFERROR(INDEX(Movimientos!$L$5:$L$2001,MATCH(A42&amp;"ENTRADA",Movimientos!$S$5:$S$2001,0)),"-"))</f>
        <v/>
      </c>
      <c r="F42" s="9" t="str">
        <f>IF(A42="","",COUNTIFS(Stock_por_Lote!$B:$B,A42,Stock_por_Lote!$J:$J,"&gt;0"))</f>
        <v/>
      </c>
      <c r="G42" s="10" t="str">
        <f>IF(A42="","",SUMIFS(Movimientos!$K:$K,Movimientos!$C:$C,A42))</f>
        <v/>
      </c>
      <c r="H42" s="15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2:8">
      <c r="B43" s="4" t="str">
        <f>IF(A43="","",IFERROR(INDEX(Movimientos!$D$5:$D$2001,MATCH(A43&amp;"ENTRADA",Movimientos!$S$5:$S$2001,0)),"-"))</f>
        <v/>
      </c>
      <c r="C43" s="4" t="str">
        <f>IF(A43="","",IFERROR(INDEX(Movimientos!$E$5:$E$2001,MATCH(A43&amp;"ENTRADA",Movimientos!$S$5:$S$2001,0)),"-"))</f>
        <v/>
      </c>
      <c r="D43" s="4" t="str">
        <f>IF(A43="","",IFERROR(INDEX(Movimientos!$F$5:$F$2001,MATCH(A43&amp;"ENTRADA",Movimientos!$S$5:$S$2001,0)),"-"))</f>
        <v/>
      </c>
      <c r="E43" s="4" t="str">
        <f>IF(A43="","",IFERROR(INDEX(Movimientos!$L$5:$L$2001,MATCH(A43&amp;"ENTRADA",Movimientos!$S$5:$S$2001,0)),"-"))</f>
        <v/>
      </c>
      <c r="F43" s="9" t="str">
        <f>IF(A43="","",COUNTIFS(Stock_por_Lote!$B:$B,A43,Stock_por_Lote!$J:$J,"&gt;0"))</f>
        <v/>
      </c>
      <c r="G43" s="10" t="str">
        <f>IF(A43="","",SUMIFS(Movimientos!$K:$K,Movimientos!$C:$C,A43))</f>
        <v/>
      </c>
      <c r="H43" s="15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2:8">
      <c r="B44" s="4" t="str">
        <f>IF(A44="","",IFERROR(INDEX(Movimientos!$D$5:$D$2001,MATCH(A44&amp;"ENTRADA",Movimientos!$S$5:$S$2001,0)),"-"))</f>
        <v/>
      </c>
      <c r="C44" s="4" t="str">
        <f>IF(A44="","",IFERROR(INDEX(Movimientos!$E$5:$E$2001,MATCH(A44&amp;"ENTRADA",Movimientos!$S$5:$S$2001,0)),"-"))</f>
        <v/>
      </c>
      <c r="D44" s="4" t="str">
        <f>IF(A44="","",IFERROR(INDEX(Movimientos!$F$5:$F$2001,MATCH(A44&amp;"ENTRADA",Movimientos!$S$5:$S$2001,0)),"-"))</f>
        <v/>
      </c>
      <c r="E44" s="4" t="str">
        <f>IF(A44="","",IFERROR(INDEX(Movimientos!$L$5:$L$2001,MATCH(A44&amp;"ENTRADA",Movimientos!$S$5:$S$2001,0)),"-"))</f>
        <v/>
      </c>
      <c r="F44" s="9" t="str">
        <f>IF(A44="","",COUNTIFS(Stock_por_Lote!$B:$B,A44,Stock_por_Lote!$J:$J,"&gt;0"))</f>
        <v/>
      </c>
      <c r="G44" s="10" t="str">
        <f>IF(A44="","",SUMIFS(Movimientos!$K:$K,Movimientos!$C:$C,A44))</f>
        <v/>
      </c>
      <c r="H44" s="15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2:8">
      <c r="B45" s="4" t="str">
        <f>IF(A45="","",IFERROR(INDEX(Movimientos!$D$5:$D$2001,MATCH(A45&amp;"ENTRADA",Movimientos!$S$5:$S$2001,0)),"-"))</f>
        <v/>
      </c>
      <c r="C45" s="4" t="str">
        <f>IF(A45="","",IFERROR(INDEX(Movimientos!$E$5:$E$2001,MATCH(A45&amp;"ENTRADA",Movimientos!$S$5:$S$2001,0)),"-"))</f>
        <v/>
      </c>
      <c r="D45" s="4" t="str">
        <f>IF(A45="","",IFERROR(INDEX(Movimientos!$F$5:$F$2001,MATCH(A45&amp;"ENTRADA",Movimientos!$S$5:$S$2001,0)),"-"))</f>
        <v/>
      </c>
      <c r="E45" s="4" t="str">
        <f>IF(A45="","",IFERROR(INDEX(Movimientos!$L$5:$L$2001,MATCH(A45&amp;"ENTRADA",Movimientos!$S$5:$S$2001,0)),"-"))</f>
        <v/>
      </c>
      <c r="F45" s="9" t="str">
        <f>IF(A45="","",COUNTIFS(Stock_por_Lote!$B:$B,A45,Stock_por_Lote!$J:$J,"&gt;0"))</f>
        <v/>
      </c>
      <c r="G45" s="10" t="str">
        <f>IF(A45="","",SUMIFS(Movimientos!$K:$K,Movimientos!$C:$C,A45))</f>
        <v/>
      </c>
      <c r="H45" s="15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2:8">
      <c r="B46" s="4" t="str">
        <f>IF(A46="","",IFERROR(INDEX(Movimientos!$D$5:$D$2001,MATCH(A46&amp;"ENTRADA",Movimientos!$S$5:$S$2001,0)),"-"))</f>
        <v/>
      </c>
      <c r="C46" s="4" t="str">
        <f>IF(A46="","",IFERROR(INDEX(Movimientos!$E$5:$E$2001,MATCH(A46&amp;"ENTRADA",Movimientos!$S$5:$S$2001,0)),"-"))</f>
        <v/>
      </c>
      <c r="D46" s="4" t="str">
        <f>IF(A46="","",IFERROR(INDEX(Movimientos!$F$5:$F$2001,MATCH(A46&amp;"ENTRADA",Movimientos!$S$5:$S$2001,0)),"-"))</f>
        <v/>
      </c>
      <c r="E46" s="4" t="str">
        <f>IF(A46="","",IFERROR(INDEX(Movimientos!$L$5:$L$2001,MATCH(A46&amp;"ENTRADA",Movimientos!$S$5:$S$2001,0)),"-"))</f>
        <v/>
      </c>
      <c r="F46" s="9" t="str">
        <f>IF(A46="","",COUNTIFS(Stock_por_Lote!$B:$B,A46,Stock_por_Lote!$J:$J,"&gt;0"))</f>
        <v/>
      </c>
      <c r="G46" s="10" t="str">
        <f>IF(A46="","",SUMIFS(Movimientos!$K:$K,Movimientos!$C:$C,A46))</f>
        <v/>
      </c>
      <c r="H46" s="15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2:8">
      <c r="B47" s="4" t="str">
        <f>IF(A47="","",IFERROR(INDEX(Movimientos!$D$5:$D$2001,MATCH(A47&amp;"ENTRADA",Movimientos!$S$5:$S$2001,0)),"-"))</f>
        <v/>
      </c>
      <c r="C47" s="4" t="str">
        <f>IF(A47="","",IFERROR(INDEX(Movimientos!$E$5:$E$2001,MATCH(A47&amp;"ENTRADA",Movimientos!$S$5:$S$2001,0)),"-"))</f>
        <v/>
      </c>
      <c r="D47" s="4" t="str">
        <f>IF(A47="","",IFERROR(INDEX(Movimientos!$F$5:$F$2001,MATCH(A47&amp;"ENTRADA",Movimientos!$S$5:$S$2001,0)),"-"))</f>
        <v/>
      </c>
      <c r="E47" s="4" t="str">
        <f>IF(A47="","",IFERROR(INDEX(Movimientos!$L$5:$L$2001,MATCH(A47&amp;"ENTRADA",Movimientos!$S$5:$S$2001,0)),"-"))</f>
        <v/>
      </c>
      <c r="F47" s="9" t="str">
        <f>IF(A47="","",COUNTIFS(Stock_por_Lote!$B:$B,A47,Stock_por_Lote!$J:$J,"&gt;0"))</f>
        <v/>
      </c>
      <c r="G47" s="10" t="str">
        <f>IF(A47="","",SUMIFS(Movimientos!$K:$K,Movimientos!$C:$C,A47))</f>
        <v/>
      </c>
      <c r="H47" s="15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2:8">
      <c r="B48" s="4" t="str">
        <f>IF(A48="","",IFERROR(INDEX(Movimientos!$D$5:$D$2001,MATCH(A48&amp;"ENTRADA",Movimientos!$S$5:$S$2001,0)),"-"))</f>
        <v/>
      </c>
      <c r="C48" s="4" t="str">
        <f>IF(A48="","",IFERROR(INDEX(Movimientos!$E$5:$E$2001,MATCH(A48&amp;"ENTRADA",Movimientos!$S$5:$S$2001,0)),"-"))</f>
        <v/>
      </c>
      <c r="D48" s="4" t="str">
        <f>IF(A48="","",IFERROR(INDEX(Movimientos!$F$5:$F$2001,MATCH(A48&amp;"ENTRADA",Movimientos!$S$5:$S$2001,0)),"-"))</f>
        <v/>
      </c>
      <c r="E48" s="4" t="str">
        <f>IF(A48="","",IFERROR(INDEX(Movimientos!$L$5:$L$2001,MATCH(A48&amp;"ENTRADA",Movimientos!$S$5:$S$2001,0)),"-"))</f>
        <v/>
      </c>
      <c r="F48" s="9" t="str">
        <f>IF(A48="","",COUNTIFS(Stock_por_Lote!$B:$B,A48,Stock_por_Lote!$J:$J,"&gt;0"))</f>
        <v/>
      </c>
      <c r="G48" s="10" t="str">
        <f>IF(A48="","",SUMIFS(Movimientos!$K:$K,Movimientos!$C:$C,A48))</f>
        <v/>
      </c>
      <c r="H48" s="15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4" t="str">
        <f>IF(A49="","",IFERROR(INDEX(Movimientos!$D$5:$D$2001,MATCH(A49&amp;"ENTRADA",Movimientos!$S$5:$S$2001,0)),"-"))</f>
        <v/>
      </c>
      <c r="C49" s="4" t="str">
        <f>IF(A49="","",IFERROR(INDEX(Movimientos!$E$5:$E$2001,MATCH(A49&amp;"ENTRADA",Movimientos!$S$5:$S$2001,0)),"-"))</f>
        <v/>
      </c>
      <c r="D49" s="4" t="str">
        <f>IF(A49="","",IFERROR(INDEX(Movimientos!$F$5:$F$2001,MATCH(A49&amp;"ENTRADA",Movimientos!$S$5:$S$2001,0)),"-"))</f>
        <v/>
      </c>
      <c r="E49" s="4" t="str">
        <f>IF(A49="","",IFERROR(INDEX(Movimientos!$L$5:$L$2001,MATCH(A49&amp;"ENTRADA",Movimientos!$S$5:$S$2001,0)),"-"))</f>
        <v/>
      </c>
      <c r="F49" s="9" t="str">
        <f>IF(A49="","",COUNTIFS(Stock_por_Lote!$B:$B,A49,Stock_por_Lote!$J:$J,"&gt;0"))</f>
        <v/>
      </c>
      <c r="G49" s="10" t="str">
        <f>IF(A49="","",SUMIFS(Movimientos!$K:$K,Movimientos!$C:$C,A49))</f>
        <v/>
      </c>
      <c r="H49" s="15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4" t="str">
        <f>IF(A50="","",IFERROR(INDEX(Movimientos!$D$5:$D$2001,MATCH(A50&amp;"ENTRADA",Movimientos!$S$5:$S$2001,0)),"-"))</f>
        <v/>
      </c>
      <c r="C50" s="4" t="str">
        <f>IF(A50="","",IFERROR(INDEX(Movimientos!$E$5:$E$2001,MATCH(A50&amp;"ENTRADA",Movimientos!$S$5:$S$2001,0)),"-"))</f>
        <v/>
      </c>
      <c r="D50" s="4" t="str">
        <f>IF(A50="","",IFERROR(INDEX(Movimientos!$F$5:$F$2001,MATCH(A50&amp;"ENTRADA",Movimientos!$S$5:$S$2001,0)),"-"))</f>
        <v/>
      </c>
      <c r="E50" s="4" t="str">
        <f>IF(A50="","",IFERROR(INDEX(Movimientos!$L$5:$L$2001,MATCH(A50&amp;"ENTRADA",Movimientos!$S$5:$S$2001,0)),"-"))</f>
        <v/>
      </c>
      <c r="F50" s="9" t="str">
        <f>IF(A50="","",COUNTIFS(Stock_por_Lote!$B:$B,A50,Stock_por_Lote!$J:$J,"&gt;0"))</f>
        <v/>
      </c>
      <c r="G50" s="10" t="str">
        <f>IF(A50="","",SUMIFS(Movimientos!$K:$K,Movimientos!$C:$C,A50))</f>
        <v/>
      </c>
      <c r="H50" s="15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4" t="str">
        <f>IF(A51="","",IFERROR(INDEX(Movimientos!$D$5:$D$2001,MATCH(A51&amp;"ENTRADA",Movimientos!$S$5:$S$2001,0)),"-"))</f>
        <v/>
      </c>
      <c r="C51" s="4" t="str">
        <f>IF(A51="","",IFERROR(INDEX(Movimientos!$E$5:$E$2001,MATCH(A51&amp;"ENTRADA",Movimientos!$S$5:$S$2001,0)),"-"))</f>
        <v/>
      </c>
      <c r="D51" s="4" t="str">
        <f>IF(A51="","",IFERROR(INDEX(Movimientos!$F$5:$F$2001,MATCH(A51&amp;"ENTRADA",Movimientos!$S$5:$S$2001,0)),"-"))</f>
        <v/>
      </c>
      <c r="E51" s="4" t="str">
        <f>IF(A51="","",IFERROR(INDEX(Movimientos!$L$5:$L$2001,MATCH(A51&amp;"ENTRADA",Movimientos!$S$5:$S$2001,0)),"-"))</f>
        <v/>
      </c>
      <c r="F51" s="9" t="str">
        <f>IF(A51="","",COUNTIFS(Stock_por_Lote!$B:$B,A51,Stock_por_Lote!$J:$J,"&gt;0"))</f>
        <v/>
      </c>
      <c r="G51" s="10" t="str">
        <f>IF(A51="","",SUMIFS(Movimientos!$K:$K,Movimientos!$C:$C,A51))</f>
        <v/>
      </c>
      <c r="H51" s="15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B52" s="4" t="str">
        <f>IF(A52="","",IFERROR(INDEX(Movimientos!$D$5:$D$2001,MATCH(A52&amp;"ENTRADA",Movimientos!$S$5:$S$2001,0)),"-"))</f>
        <v/>
      </c>
      <c r="C52" s="4" t="str">
        <f>IF(A52="","",IFERROR(INDEX(Movimientos!$E$5:$E$2001,MATCH(A52&amp;"ENTRADA",Movimientos!$S$5:$S$2001,0)),"-"))</f>
        <v/>
      </c>
      <c r="D52" s="4" t="str">
        <f>IF(A52="","",IFERROR(INDEX(Movimientos!$F$5:$F$2001,MATCH(A52&amp;"ENTRADA",Movimientos!$S$5:$S$2001,0)),"-"))</f>
        <v/>
      </c>
      <c r="E52" s="4" t="str">
        <f>IF(A52="","",IFERROR(INDEX(Movimientos!$L$5:$L$2001,MATCH(A52&amp;"ENTRADA",Movimientos!$S$5:$S$2001,0)),"-"))</f>
        <v/>
      </c>
      <c r="F52" s="9" t="str">
        <f>IF(A52="","",COUNTIFS(Stock_por_Lote!$B:$B,A52,Stock_por_Lote!$J:$J,"&gt;0"))</f>
        <v/>
      </c>
      <c r="G52" s="10" t="str">
        <f>IF(A52="","",SUMIFS(Movimientos!$K:$K,Movimientos!$C:$C,A52))</f>
        <v/>
      </c>
      <c r="H52" s="15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B53" s="4" t="str">
        <f>IF(A53="","",IFERROR(INDEX(Movimientos!$D$5:$D$2001,MATCH(A53&amp;"ENTRADA",Movimientos!$S$5:$S$2001,0)),"-"))</f>
        <v/>
      </c>
      <c r="C53" s="4" t="str">
        <f>IF(A53="","",IFERROR(INDEX(Movimientos!$E$5:$E$2001,MATCH(A53&amp;"ENTRADA",Movimientos!$S$5:$S$2001,0)),"-"))</f>
        <v/>
      </c>
      <c r="D53" s="4" t="str">
        <f>IF(A53="","",IFERROR(INDEX(Movimientos!$F$5:$F$2001,MATCH(A53&amp;"ENTRADA",Movimientos!$S$5:$S$2001,0)),"-"))</f>
        <v/>
      </c>
      <c r="E53" s="4" t="str">
        <f>IF(A53="","",IFERROR(INDEX(Movimientos!$L$5:$L$2001,MATCH(A53&amp;"ENTRADA",Movimientos!$S$5:$S$2001,0)),"-"))</f>
        <v/>
      </c>
      <c r="F53" s="9" t="str">
        <f>IF(A53="","",COUNTIFS(Stock_por_Lote!$B:$B,A53,Stock_por_Lote!$J:$J,"&gt;0"))</f>
        <v/>
      </c>
      <c r="G53" s="10" t="str">
        <f>IF(A53="","",SUMIFS(Movimientos!$K:$K,Movimientos!$C:$C,A53))</f>
        <v/>
      </c>
      <c r="H53" s="15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  <row r="54" spans="2:8">
      <c r="F54" s="9" t="str">
        <f>IF(A54="","",COUNTIFS(Stock_por_Lote!$B:$B,A54,Stock_por_Lote!$J:$J,"&gt;0"))</f>
        <v/>
      </c>
      <c r="G54" s="10" t="str">
        <f>IF(A54="","",SUMIFS(Movimientos!$K:$K,Movimientos!$C:$C,A54))</f>
        <v/>
      </c>
      <c r="H54" s="15" t="str">
        <f>IF(A54="","",IFERROR(IF(_xlfn.MINIFS(Stock_por_Lote!$H:$H,Stock_por_Lote!$B:$B,A54,Stock_por_Lote!$J:$J,"&gt;0")=0,"S/D",_xlfn.MINIFS(Stock_por_Lote!$H:$H,Stock_por_Lote!$B:$B,A54,Stock_por_Lote!$J:$J,"&gt;0")),"S/D"))</f>
        <v/>
      </c>
    </row>
    <row r="55" spans="2:8">
      <c r="F55" s="9" t="str">
        <f>IF(A55="","",COUNTIFS(Stock_por_Lote!$B:$B,A55,Stock_por_Lote!$J:$J,"&gt;0"))</f>
        <v/>
      </c>
      <c r="G55" s="10" t="str">
        <f>IF(A55="","",SUMIFS(Movimientos!$K:$K,Movimientos!$C:$C,A55))</f>
        <v/>
      </c>
      <c r="H55" s="15" t="str">
        <f>IF(A55="","",IFERROR(IF(_xlfn.MINIFS(Stock_por_Lote!$H:$H,Stock_por_Lote!$B:$B,A55,Stock_por_Lote!$J:$J,"&gt;0")=0,"S/D",_xlfn.MINIFS(Stock_por_Lote!$H:$H,Stock_por_Lote!$B:$B,A55,Stock_por_Lote!$J:$J,"&gt;0")),"S/D"))</f>
        <v/>
      </c>
    </row>
  </sheetData>
  <conditionalFormatting sqref="A11">
    <cfRule type="expression" dxfId="1" priority="1">
      <formula>$I11="ENTRADA"</formula>
    </cfRule>
    <cfRule type="expression" dxfId="0" priority="2">
      <formula>$I11="SALIDA"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17"/>
  <sheetViews>
    <sheetView showGridLines="0" topLeftCell="A2" workbookViewId="0">
      <selection activeCell="D18" sqref="D18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3082</v>
      </c>
    </row>
    <row r="2" spans="1:8" ht="21.75" customHeight="1">
      <c r="A2" s="25" t="s">
        <v>2102</v>
      </c>
      <c r="B2" s="25" t="s">
        <v>3083</v>
      </c>
      <c r="C2" s="25" t="s">
        <v>27</v>
      </c>
      <c r="D2" s="25" t="s">
        <v>28</v>
      </c>
      <c r="E2" s="25" t="s">
        <v>29</v>
      </c>
      <c r="F2" s="25" t="s">
        <v>3084</v>
      </c>
      <c r="G2" s="25" t="s">
        <v>34</v>
      </c>
      <c r="H2" s="25" t="s">
        <v>3085</v>
      </c>
    </row>
    <row r="3" spans="1:8">
      <c r="A3" t="s">
        <v>43</v>
      </c>
      <c r="B3" t="s">
        <v>44</v>
      </c>
      <c r="C3" s="26" t="s">
        <v>3086</v>
      </c>
      <c r="D3" s="26" t="s">
        <v>3087</v>
      </c>
      <c r="E3" s="26" t="s">
        <v>55</v>
      </c>
      <c r="F3" s="26" t="s">
        <v>47</v>
      </c>
      <c r="G3" s="26" t="s">
        <v>56</v>
      </c>
      <c r="H3" s="11" t="s">
        <v>3088</v>
      </c>
    </row>
    <row r="4" spans="1:8">
      <c r="A4" t="s">
        <v>51</v>
      </c>
      <c r="B4" t="s">
        <v>119</v>
      </c>
      <c r="C4" s="26" t="s">
        <v>3089</v>
      </c>
      <c r="D4" s="26" t="s">
        <v>3090</v>
      </c>
      <c r="E4" s="26" t="s">
        <v>91</v>
      </c>
      <c r="F4" s="26" t="s">
        <v>84</v>
      </c>
      <c r="G4" s="26" t="s">
        <v>48</v>
      </c>
      <c r="H4" s="11" t="s">
        <v>3091</v>
      </c>
    </row>
    <row r="5" spans="1:8">
      <c r="A5" t="s">
        <v>60</v>
      </c>
      <c r="B5" t="s">
        <v>61</v>
      </c>
      <c r="C5" s="26" t="s">
        <v>53</v>
      </c>
      <c r="D5" s="26" t="s">
        <v>3092</v>
      </c>
      <c r="E5" s="26" t="s">
        <v>96</v>
      </c>
      <c r="G5" s="26" t="s">
        <v>3093</v>
      </c>
      <c r="H5" s="11" t="s">
        <v>85</v>
      </c>
    </row>
    <row r="6" spans="1:8">
      <c r="A6" t="s">
        <v>64</v>
      </c>
      <c r="B6" t="s">
        <v>82</v>
      </c>
      <c r="C6" s="26" t="s">
        <v>45</v>
      </c>
      <c r="D6" s="26" t="s">
        <v>3094</v>
      </c>
      <c r="E6" s="11" t="s">
        <v>46</v>
      </c>
      <c r="G6" s="26" t="s">
        <v>3095</v>
      </c>
      <c r="H6" s="11" t="s">
        <v>109</v>
      </c>
    </row>
    <row r="7" spans="1:8">
      <c r="A7" t="s">
        <v>70</v>
      </c>
      <c r="B7" t="s">
        <v>3096</v>
      </c>
      <c r="C7" s="26" t="s">
        <v>3097</v>
      </c>
      <c r="D7" s="26" t="s">
        <v>66</v>
      </c>
      <c r="E7" s="26" t="s">
        <v>100</v>
      </c>
      <c r="G7" s="26" t="s">
        <v>92</v>
      </c>
      <c r="H7" s="11" t="s">
        <v>3098</v>
      </c>
    </row>
    <row r="8" spans="1:8">
      <c r="A8" t="s">
        <v>73</v>
      </c>
      <c r="B8" t="s">
        <v>74</v>
      </c>
      <c r="C8" s="26" t="s">
        <v>3099</v>
      </c>
      <c r="D8" s="26" t="s">
        <v>54</v>
      </c>
      <c r="E8" s="26"/>
      <c r="G8" s="26" t="s">
        <v>3100</v>
      </c>
    </row>
    <row r="9" spans="1:8">
      <c r="A9" t="s">
        <v>78</v>
      </c>
      <c r="B9" t="s">
        <v>79</v>
      </c>
      <c r="C9" s="26" t="s">
        <v>3101</v>
      </c>
      <c r="D9" s="26" t="s">
        <v>3102</v>
      </c>
      <c r="E9" s="26"/>
      <c r="G9" s="26" t="s">
        <v>75</v>
      </c>
    </row>
    <row r="10" spans="1:8">
      <c r="A10" t="s">
        <v>94</v>
      </c>
      <c r="B10" t="s">
        <v>95</v>
      </c>
      <c r="C10" s="26" t="s">
        <v>89</v>
      </c>
      <c r="D10" s="26" t="s">
        <v>3103</v>
      </c>
      <c r="E10" s="26"/>
      <c r="G10" s="11"/>
    </row>
    <row r="11" spans="1:8">
      <c r="A11" t="s">
        <v>89</v>
      </c>
      <c r="B11" t="s">
        <v>90</v>
      </c>
      <c r="C11" s="26"/>
      <c r="D11" s="26" t="s">
        <v>3104</v>
      </c>
      <c r="E11" s="26"/>
    </row>
    <row r="12" spans="1:8">
      <c r="A12" t="s">
        <v>99</v>
      </c>
      <c r="C12" s="26"/>
      <c r="D12" s="26" t="s">
        <v>3105</v>
      </c>
      <c r="E12" s="26"/>
    </row>
    <row r="13" spans="1:8">
      <c r="A13" t="s">
        <v>102</v>
      </c>
      <c r="B13" t="s">
        <v>103</v>
      </c>
      <c r="C13" s="26"/>
      <c r="D13" s="26" t="s">
        <v>3106</v>
      </c>
    </row>
    <row r="14" spans="1:8">
      <c r="A14" t="s">
        <v>105</v>
      </c>
      <c r="B14" t="s">
        <v>106</v>
      </c>
      <c r="C14" s="26"/>
      <c r="D14" s="26" t="s">
        <v>3107</v>
      </c>
    </row>
    <row r="15" spans="1:8">
      <c r="C15" s="26"/>
      <c r="D15" s="26" t="s">
        <v>3108</v>
      </c>
    </row>
    <row r="16" spans="1:8">
      <c r="C16" s="26"/>
      <c r="D16" s="26" t="s">
        <v>3109</v>
      </c>
    </row>
    <row r="17" spans="4:4">
      <c r="D17" s="26" t="s">
        <v>3110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3111</v>
      </c>
    </row>
    <row r="2" spans="1:2">
      <c r="B2" t="s">
        <v>3112</v>
      </c>
    </row>
    <row r="3" spans="1:2" ht="18" customHeight="1">
      <c r="A3" s="12" t="s">
        <v>3113</v>
      </c>
      <c r="B3" s="13"/>
    </row>
    <row r="4" spans="1:2" ht="30" customHeight="1">
      <c r="A4" s="27" t="s">
        <v>3114</v>
      </c>
      <c r="B4" s="28" t="s">
        <v>3115</v>
      </c>
    </row>
    <row r="5" spans="1:2" ht="30" customHeight="1">
      <c r="A5" s="27" t="s">
        <v>3116</v>
      </c>
      <c r="B5" s="28" t="s">
        <v>3117</v>
      </c>
    </row>
    <row r="6" spans="1:2" ht="30" customHeight="1">
      <c r="A6" s="27" t="s">
        <v>3118</v>
      </c>
      <c r="B6" s="28" t="s">
        <v>3119</v>
      </c>
    </row>
    <row r="7" spans="1:2" ht="18" customHeight="1">
      <c r="A7" s="29"/>
      <c r="B7" s="29"/>
    </row>
    <row r="8" spans="1:2" ht="18" customHeight="1">
      <c r="A8" s="12" t="s">
        <v>3120</v>
      </c>
      <c r="B8" s="13"/>
    </row>
    <row r="9" spans="1:2" ht="30" customHeight="1">
      <c r="A9" s="27" t="s">
        <v>3121</v>
      </c>
      <c r="B9" s="28" t="s">
        <v>3122</v>
      </c>
    </row>
    <row r="10" spans="1:2" ht="30" customHeight="1">
      <c r="A10" s="27" t="s">
        <v>3123</v>
      </c>
      <c r="B10" s="28" t="s">
        <v>3124</v>
      </c>
    </row>
    <row r="11" spans="1:2" ht="30" customHeight="1">
      <c r="A11" s="27" t="s">
        <v>3125</v>
      </c>
      <c r="B11" s="28" t="s">
        <v>3126</v>
      </c>
    </row>
    <row r="12" spans="1:2" ht="30" customHeight="1">
      <c r="A12" s="27" t="s">
        <v>3127</v>
      </c>
      <c r="B12" s="28" t="s">
        <v>3128</v>
      </c>
    </row>
    <row r="13" spans="1:2" ht="30" customHeight="1">
      <c r="A13" s="27" t="s">
        <v>3129</v>
      </c>
      <c r="B13" s="28" t="s">
        <v>3130</v>
      </c>
    </row>
    <row r="14" spans="1:2" ht="18" customHeight="1">
      <c r="A14" s="29"/>
      <c r="B14" s="29"/>
    </row>
    <row r="15" spans="1:2" ht="18" customHeight="1">
      <c r="A15" s="12" t="s">
        <v>3131</v>
      </c>
      <c r="B15" s="13"/>
    </row>
    <row r="16" spans="1:2" ht="30" customHeight="1">
      <c r="A16" s="27" t="s">
        <v>3132</v>
      </c>
      <c r="B16" s="28" t="s">
        <v>3133</v>
      </c>
    </row>
    <row r="17" spans="1:2" ht="18" customHeight="1">
      <c r="A17" s="29"/>
      <c r="B17" s="29"/>
    </row>
    <row r="18" spans="1:2" ht="18" customHeight="1">
      <c r="A18" s="12" t="s">
        <v>3134</v>
      </c>
      <c r="B18" s="13"/>
    </row>
    <row r="19" spans="1:2" ht="30" customHeight="1">
      <c r="A19" s="27" t="s">
        <v>3135</v>
      </c>
      <c r="B19" s="28" t="s">
        <v>3136</v>
      </c>
    </row>
    <row r="20" spans="1:2" ht="30" customHeight="1">
      <c r="A20" s="27" t="s">
        <v>3137</v>
      </c>
      <c r="B20" s="28" t="s">
        <v>3138</v>
      </c>
    </row>
    <row r="21" spans="1:2" ht="30" customHeight="1">
      <c r="A21" s="27" t="s">
        <v>3139</v>
      </c>
      <c r="B21" s="28" t="s">
        <v>3140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9F7B3009-C52E-4D66-81EE-EDC55AE40F61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FF06CDD4-6CD8-41B6-81B7-B8F8F77245D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2026-04-08T19:21:10Z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